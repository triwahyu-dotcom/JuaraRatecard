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yudiqitrick/Downloads/"/>
    </mc:Choice>
  </mc:AlternateContent>
  <xr:revisionPtr revIDLastSave="0" documentId="13_ncr:1_{E6DB630A-2C23-5447-BC55-45BAA148FF02}" xr6:coauthVersionLast="47" xr6:coauthVersionMax="47" xr10:uidLastSave="{00000000-0000-0000-0000-000000000000}"/>
  <bookViews>
    <workbookView xWindow="860" yWindow="2720" windowWidth="27240" windowHeight="15640" xr2:uid="{A047FF31-9986-5941-B873-C2B7208A2C31}"/>
  </bookViews>
  <sheets>
    <sheet name="Quotation Terupdate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55" i="1" l="1"/>
  <c r="M354" i="1"/>
  <c r="M353" i="1"/>
  <c r="M349" i="1"/>
  <c r="N347" i="1" s="1"/>
  <c r="M346" i="1"/>
  <c r="M345" i="1"/>
  <c r="M344" i="1"/>
  <c r="M343" i="1"/>
  <c r="M342" i="1"/>
  <c r="M341" i="1"/>
  <c r="M340" i="1"/>
  <c r="M339" i="1"/>
  <c r="M337" i="1"/>
  <c r="M336" i="1"/>
  <c r="M335" i="1"/>
  <c r="M331" i="1"/>
  <c r="M330" i="1"/>
  <c r="M329" i="1"/>
  <c r="M328" i="1"/>
  <c r="M327" i="1"/>
  <c r="M326" i="1"/>
  <c r="M324" i="1"/>
  <c r="M323" i="1"/>
  <c r="M322" i="1"/>
  <c r="M320" i="1"/>
  <c r="M319" i="1"/>
  <c r="M318" i="1"/>
  <c r="M316" i="1"/>
  <c r="M315" i="1"/>
  <c r="M314" i="1"/>
  <c r="M312" i="1"/>
  <c r="M310" i="1"/>
  <c r="M309" i="1"/>
  <c r="M308" i="1"/>
  <c r="M307" i="1"/>
  <c r="M305" i="1"/>
  <c r="M304" i="1"/>
  <c r="M302" i="1"/>
  <c r="M301" i="1"/>
  <c r="M297" i="1"/>
  <c r="M296" i="1"/>
  <c r="M295" i="1"/>
  <c r="M294" i="1"/>
  <c r="M293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49" i="1"/>
  <c r="M248" i="1"/>
  <c r="M243" i="1"/>
  <c r="M241" i="1"/>
  <c r="M229" i="1"/>
  <c r="M228" i="1"/>
  <c r="M227" i="1"/>
  <c r="M226" i="1"/>
  <c r="M224" i="1"/>
  <c r="M223" i="1"/>
  <c r="M222" i="1"/>
  <c r="M221" i="1"/>
  <c r="M220" i="1"/>
  <c r="M219" i="1"/>
  <c r="M218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1" i="1"/>
  <c r="M198" i="1"/>
  <c r="M197" i="1"/>
  <c r="M196" i="1"/>
  <c r="M194" i="1"/>
  <c r="M191" i="1"/>
  <c r="M190" i="1"/>
  <c r="M186" i="1"/>
  <c r="M185" i="1"/>
  <c r="M184" i="1"/>
  <c r="M183" i="1"/>
  <c r="M182" i="1"/>
  <c r="M181" i="1"/>
  <c r="M180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0" i="1"/>
  <c r="M159" i="1"/>
  <c r="M158" i="1"/>
  <c r="M157" i="1"/>
  <c r="M156" i="1"/>
  <c r="M155" i="1"/>
  <c r="M154" i="1"/>
  <c r="M151" i="1"/>
  <c r="M150" i="1"/>
  <c r="M149" i="1"/>
  <c r="M148" i="1"/>
  <c r="M147" i="1"/>
  <c r="M146" i="1"/>
  <c r="M145" i="1"/>
  <c r="M142" i="1"/>
  <c r="M141" i="1"/>
  <c r="M140" i="1"/>
  <c r="H139" i="1"/>
  <c r="M139" i="1" s="1"/>
  <c r="M138" i="1"/>
  <c r="M137" i="1"/>
  <c r="M136" i="1"/>
  <c r="M135" i="1"/>
  <c r="M134" i="1"/>
  <c r="M131" i="1"/>
  <c r="M130" i="1"/>
  <c r="M129" i="1"/>
  <c r="M128" i="1"/>
  <c r="M127" i="1"/>
  <c r="M126" i="1"/>
  <c r="M125" i="1"/>
  <c r="M123" i="1"/>
  <c r="M122" i="1"/>
  <c r="M121" i="1"/>
  <c r="M120" i="1"/>
  <c r="M119" i="1"/>
  <c r="M116" i="1"/>
  <c r="M115" i="1"/>
  <c r="M114" i="1"/>
  <c r="M111" i="1"/>
  <c r="M109" i="1"/>
  <c r="M107" i="1"/>
  <c r="M106" i="1"/>
  <c r="M105" i="1"/>
  <c r="M104" i="1"/>
  <c r="M103" i="1"/>
  <c r="M101" i="1"/>
  <c r="M100" i="1"/>
  <c r="M99" i="1"/>
  <c r="M98" i="1"/>
  <c r="M97" i="1"/>
  <c r="M96" i="1"/>
  <c r="M95" i="1"/>
  <c r="M94" i="1"/>
  <c r="M93" i="1"/>
  <c r="M89" i="1"/>
  <c r="M88" i="1"/>
  <c r="M87" i="1"/>
  <c r="M86" i="1"/>
  <c r="M85" i="1"/>
  <c r="M84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51" i="1"/>
  <c r="M50" i="1"/>
  <c r="M49" i="1"/>
  <c r="M48" i="1"/>
  <c r="M47" i="1"/>
  <c r="M46" i="1"/>
  <c r="M45" i="1"/>
  <c r="M44" i="1"/>
  <c r="M31" i="1"/>
  <c r="M26" i="1"/>
  <c r="M15" i="1"/>
  <c r="M11" i="1"/>
  <c r="N9" i="1" l="1"/>
  <c r="N33" i="1"/>
  <c r="N217" i="1"/>
  <c r="N299" i="1"/>
  <c r="N333" i="1"/>
  <c r="M359" i="1"/>
  <c r="N251" i="1"/>
  <c r="N53" i="1"/>
  <c r="N203" i="1"/>
  <c r="N351" i="1"/>
  <c r="N359" i="1" l="1"/>
  <c r="M360" i="1"/>
  <c r="M361" i="1" s="1"/>
  <c r="M362" i="1" s="1"/>
</calcChain>
</file>

<file path=xl/sharedStrings.xml><?xml version="1.0" encoding="utf-8"?>
<sst xmlns="http://schemas.openxmlformats.org/spreadsheetml/2006/main" count="995" uniqueCount="449">
  <si>
    <t>CLIENT</t>
  </si>
  <si>
    <t>: PSI</t>
  </si>
  <si>
    <t>EVENT TITLE</t>
  </si>
  <si>
    <t>: Kongres Nasional PSI</t>
  </si>
  <si>
    <t>DATE</t>
  </si>
  <si>
    <t>: 20 Juli 2025</t>
  </si>
  <si>
    <t>VENUE</t>
  </si>
  <si>
    <t>: Edutorium UMS</t>
  </si>
  <si>
    <t>CITY</t>
  </si>
  <si>
    <t>: Solo</t>
  </si>
  <si>
    <t>QUOTATION</t>
  </si>
  <si>
    <t>QUOTATION I - 31 Mei 2025</t>
  </si>
  <si>
    <t xml:space="preserve">NO </t>
  </si>
  <si>
    <t>ITEM / TASK</t>
  </si>
  <si>
    <t>SPECIFICATION</t>
  </si>
  <si>
    <t>QTY</t>
  </si>
  <si>
    <t>FRQ</t>
  </si>
  <si>
    <t>PRICE</t>
  </si>
  <si>
    <t>SUB TOTAL</t>
  </si>
  <si>
    <t>AMOUNT</t>
  </si>
  <si>
    <t>A</t>
  </si>
  <si>
    <t>PLANNING &amp; REPORTING</t>
  </si>
  <si>
    <t>Planning</t>
  </si>
  <si>
    <t>Project Plan</t>
  </si>
  <si>
    <t>pckg</t>
  </si>
  <si>
    <t>event</t>
  </si>
  <si>
    <t>Creative Plan</t>
  </si>
  <si>
    <t>3D Design</t>
  </si>
  <si>
    <t>2D Design</t>
  </si>
  <si>
    <t>Visual Content</t>
  </si>
  <si>
    <t>Bumper</t>
  </si>
  <si>
    <t>Bumper Animation Transition Logo PSI</t>
  </si>
  <si>
    <t>Bumper Animation Fashion Show</t>
  </si>
  <si>
    <t>Bumper Animation Opening</t>
  </si>
  <si>
    <t>Bumper Speakers</t>
  </si>
  <si>
    <t>Bumper Still Event</t>
  </si>
  <si>
    <t>VT</t>
  </si>
  <si>
    <t>VT Behind the Scene</t>
  </si>
  <si>
    <t>Pemilihan KETUM dan KONGRES</t>
  </si>
  <si>
    <t>VT Lukisan Tanah Nusantara</t>
  </si>
  <si>
    <t>VT Harmonisasi Jokowi &amp; Prabowo</t>
  </si>
  <si>
    <t>Safety Security &amp; Services Plan</t>
  </si>
  <si>
    <t>Manual Book Kepesertaan</t>
  </si>
  <si>
    <t>Registration Flow</t>
  </si>
  <si>
    <t>Flow Planning</t>
  </si>
  <si>
    <t>Animation</t>
  </si>
  <si>
    <t>Event Reporting</t>
  </si>
  <si>
    <t>B</t>
  </si>
  <si>
    <t>PERMIT</t>
  </si>
  <si>
    <t>Permit</t>
  </si>
  <si>
    <t>pax</t>
  </si>
  <si>
    <t>by PSI</t>
  </si>
  <si>
    <t>By PSI</t>
  </si>
  <si>
    <t>Polda</t>
  </si>
  <si>
    <t>Polres</t>
  </si>
  <si>
    <t>Polsek</t>
  </si>
  <si>
    <t>Kodam</t>
  </si>
  <si>
    <t>Kodim</t>
  </si>
  <si>
    <t>Koramil</t>
  </si>
  <si>
    <t>Voojrider</t>
  </si>
  <si>
    <t>Satpol PP</t>
  </si>
  <si>
    <t>Dishub</t>
  </si>
  <si>
    <t>Risk Assesment</t>
  </si>
  <si>
    <t>Koordinasi Lintas Sektor</t>
  </si>
  <si>
    <t>Polisi, Paspampres, Dishub</t>
  </si>
  <si>
    <t xml:space="preserve">PAM </t>
  </si>
  <si>
    <t>prsn</t>
  </si>
  <si>
    <t>day</t>
  </si>
  <si>
    <t>PASPAMPRES</t>
  </si>
  <si>
    <t xml:space="preserve">Ambulance </t>
  </si>
  <si>
    <t xml:space="preserve">mini ICU setup </t>
  </si>
  <si>
    <t>unit</t>
  </si>
  <si>
    <t>Doctor</t>
  </si>
  <si>
    <t>Ambulance</t>
  </si>
  <si>
    <t>for participants</t>
  </si>
  <si>
    <t>shift</t>
  </si>
  <si>
    <t>Damkar</t>
  </si>
  <si>
    <t>C</t>
  </si>
  <si>
    <t>VENUE - SYSTEM - SETUP</t>
  </si>
  <si>
    <t>Rent Venue</t>
  </si>
  <si>
    <t>weekend</t>
  </si>
  <si>
    <t>lot</t>
  </si>
  <si>
    <t>Tribune lantai 2</t>
  </si>
  <si>
    <t>Tribune lantai 3</t>
  </si>
  <si>
    <t>Loading H-3</t>
  </si>
  <si>
    <t>Loading H-2</t>
  </si>
  <si>
    <t>Parkir Area</t>
  </si>
  <si>
    <t>area</t>
  </si>
  <si>
    <t>SETUP</t>
  </si>
  <si>
    <t>Outdoor Area</t>
  </si>
  <si>
    <t>Tenda Pengamanan</t>
  </si>
  <si>
    <t>Sarnavil 5x5 m, incl. flooring</t>
  </si>
  <si>
    <t>Fascade</t>
  </si>
  <si>
    <t>vertical and horizontal</t>
  </si>
  <si>
    <t>Square Table</t>
  </si>
  <si>
    <t>Futura Chair</t>
  </si>
  <si>
    <t>with cover</t>
  </si>
  <si>
    <t>Misty Fan</t>
  </si>
  <si>
    <t>Tenda Medis</t>
  </si>
  <si>
    <t>Tenda Pembagian Air Mineral</t>
  </si>
  <si>
    <t>Signage Area</t>
  </si>
  <si>
    <t>dim.1.2x2.44</t>
  </si>
  <si>
    <t>Giant Map</t>
  </si>
  <si>
    <t>dim.244x610, Gate Area</t>
  </si>
  <si>
    <t>dim.366x732, F&amp;B Area</t>
  </si>
  <si>
    <t>Tripod Signage</t>
  </si>
  <si>
    <t>dim.A2</t>
  </si>
  <si>
    <t>Generator 80KVA</t>
  </si>
  <si>
    <t>Toilet Portable</t>
  </si>
  <si>
    <t>Mushollah 5x10</t>
  </si>
  <si>
    <t>dim.5x10 Incl.tempat wudhu 10 kran, sajadah</t>
  </si>
  <si>
    <t>Giant Screen</t>
  </si>
  <si>
    <t>Base LED</t>
  </si>
  <si>
    <t>dim.122x366</t>
  </si>
  <si>
    <t>Rigging LED</t>
  </si>
  <si>
    <t>dim.4x6</t>
  </si>
  <si>
    <t>LED System</t>
  </si>
  <si>
    <t>Giant screen, dim.6x4 | 2 unit</t>
  </si>
  <si>
    <t>meter</t>
  </si>
  <si>
    <t>Cable Installation</t>
  </si>
  <si>
    <t>Sound System</t>
  </si>
  <si>
    <t>10.000 watt</t>
  </si>
  <si>
    <t>Genset</t>
  </si>
  <si>
    <t>60KVA</t>
  </si>
  <si>
    <t>Transit Room Area</t>
  </si>
  <si>
    <t>VVIP Transit</t>
  </si>
  <si>
    <t>Round Table</t>
  </si>
  <si>
    <t>Centerpiece</t>
  </si>
  <si>
    <t>Fresh flower arrangement</t>
  </si>
  <si>
    <t xml:space="preserve">Sofa </t>
  </si>
  <si>
    <t>Coffee Table</t>
  </si>
  <si>
    <t>Pataka</t>
  </si>
  <si>
    <t>Foto Presiden</t>
  </si>
  <si>
    <t>Foto Wapres</t>
  </si>
  <si>
    <t>Foto Garuda</t>
  </si>
  <si>
    <t>DPP Partai Solidaritas Indonesia</t>
  </si>
  <si>
    <t>Dekorasi Ruang</t>
  </si>
  <si>
    <t>incl. black curtain</t>
  </si>
  <si>
    <t>Curtain</t>
  </si>
  <si>
    <t>Set Up Ruangan OC</t>
  </si>
  <si>
    <t>untuk prasmanan</t>
  </si>
  <si>
    <t>by catering</t>
  </si>
  <si>
    <t>Kursi Futura</t>
  </si>
  <si>
    <t>Unit</t>
  </si>
  <si>
    <t>Data Center Area</t>
  </si>
  <si>
    <t>IBM Table</t>
  </si>
  <si>
    <t>Listrik</t>
  </si>
  <si>
    <t>titik</t>
  </si>
  <si>
    <t>Foyer Area</t>
  </si>
  <si>
    <t>Booth Pameran</t>
  </si>
  <si>
    <t>dim. 2x3 M</t>
  </si>
  <si>
    <t>Main Gate</t>
  </si>
  <si>
    <t>LED Construction</t>
  </si>
  <si>
    <t>Generator 100KVA</t>
  </si>
  <si>
    <t>Gate Lobby Timur</t>
  </si>
  <si>
    <t>Rowing</t>
  </si>
  <si>
    <t>AI Photobooth</t>
  </si>
  <si>
    <t>Photobooth Spot</t>
  </si>
  <si>
    <t>AI Photobooth System</t>
  </si>
  <si>
    <t>Wall of Fame Photospot A</t>
  </si>
  <si>
    <t>dim. 3 x 8 m</t>
  </si>
  <si>
    <t>Wall of Fame Photospot B</t>
  </si>
  <si>
    <t>dim. 3 x 6 m</t>
  </si>
  <si>
    <t xml:space="preserve">Booth PSI Store </t>
  </si>
  <si>
    <t xml:space="preserve">dim. 4x12 M custom construction </t>
  </si>
  <si>
    <t>Wish Totem</t>
  </si>
  <si>
    <t>dim. 2.44 x 4.88 M</t>
  </si>
  <si>
    <t>Q-Line</t>
  </si>
  <si>
    <t>untuk antrian masuk Main Hall</t>
  </si>
  <si>
    <t>F&amp;B Area</t>
  </si>
  <si>
    <t>Tenda Tratak</t>
  </si>
  <si>
    <t>dim. 12 x 24 M</t>
  </si>
  <si>
    <t>Facade</t>
  </si>
  <si>
    <t>Meja Bangku</t>
  </si>
  <si>
    <t>set</t>
  </si>
  <si>
    <t>Signage Tenant</t>
  </si>
  <si>
    <t xml:space="preserve">Electrical </t>
  </si>
  <si>
    <t xml:space="preserve">Genset </t>
  </si>
  <si>
    <t>100 kVA</t>
  </si>
  <si>
    <t>Main Hall Area</t>
  </si>
  <si>
    <t>Red Carpet</t>
  </si>
  <si>
    <t>dim. 2 x 51 M</t>
  </si>
  <si>
    <t>Single Sofa</t>
  </si>
  <si>
    <t>Futura Chair with cover</t>
  </si>
  <si>
    <t>for VIP</t>
  </si>
  <si>
    <t>Futura Chair non cover</t>
  </si>
  <si>
    <t>AC Portable</t>
  </si>
  <si>
    <t>Backstage Area (Fashion Show)</t>
  </si>
  <si>
    <t>Dressing Table</t>
  </si>
  <si>
    <t>for MUA Model</t>
  </si>
  <si>
    <t>for Hairdo Model</t>
  </si>
  <si>
    <t>Garment rack</t>
  </si>
  <si>
    <t>2 for each designer</t>
  </si>
  <si>
    <t>Hanger</t>
  </si>
  <si>
    <t>Giant Mirror</t>
  </si>
  <si>
    <t>minimum size 1.22 x 2.44 M</t>
  </si>
  <si>
    <t>Garment Steamer</t>
  </si>
  <si>
    <t>Stage Area</t>
  </si>
  <si>
    <t>Flooring Main Stage</t>
  </si>
  <si>
    <t>dim. 11.75x31.15 M</t>
  </si>
  <si>
    <t>Band Stage</t>
  </si>
  <si>
    <t>dim. 4x6 M</t>
  </si>
  <si>
    <t>Additional Stage</t>
  </si>
  <si>
    <t>lidah stage. dim. 2x20 M</t>
  </si>
  <si>
    <t>Floor LED</t>
  </si>
  <si>
    <t>hexagon</t>
  </si>
  <si>
    <t>Main LED</t>
  </si>
  <si>
    <t>Main 4 x 18 M | Sliding System</t>
  </si>
  <si>
    <t>Curve LED</t>
  </si>
  <si>
    <t>4 x 5 M, 2 set</t>
  </si>
  <si>
    <t>Main Stage Decoration</t>
  </si>
  <si>
    <t>LED Flat Screen</t>
  </si>
  <si>
    <t>dim. 4 x 5 M | Kanan &amp; Kiri</t>
  </si>
  <si>
    <t>60.000 watt</t>
  </si>
  <si>
    <t xml:space="preserve">Delay Speaker </t>
  </si>
  <si>
    <t>Lighting System</t>
  </si>
  <si>
    <t>Laser system</t>
  </si>
  <si>
    <t>for logo transition</t>
  </si>
  <si>
    <t>Rigging System</t>
  </si>
  <si>
    <t>Generator 100 KVA</t>
  </si>
  <si>
    <t>Live Camera System</t>
  </si>
  <si>
    <t>Live Streaming System</t>
  </si>
  <si>
    <t>Hardware &amp; Software</t>
  </si>
  <si>
    <t xml:space="preserve">Wings LED </t>
  </si>
  <si>
    <t>dim. 6x4 M | 2 unit</t>
  </si>
  <si>
    <t>Rigging System Wings LED</t>
  </si>
  <si>
    <t>dim. 6x6 M | 2 unit</t>
  </si>
  <si>
    <t>Podium</t>
  </si>
  <si>
    <t>Goose neck</t>
  </si>
  <si>
    <t>Mic Podium</t>
  </si>
  <si>
    <t>Prompter</t>
  </si>
  <si>
    <t>Holographic System Package</t>
  </si>
  <si>
    <t>Hollow Screen + Projector</t>
  </si>
  <si>
    <t>Konten Multimedia Hologram</t>
  </si>
  <si>
    <t>Special Effects</t>
  </si>
  <si>
    <t>CO2</t>
  </si>
  <si>
    <t>Giant Confetti</t>
  </si>
  <si>
    <t>kertas bentuk logo baru</t>
  </si>
  <si>
    <t>Safety &amp; Security System</t>
  </si>
  <si>
    <t>CCTV System</t>
  </si>
  <si>
    <t>indoor &amp; outdoor</t>
  </si>
  <si>
    <t>Registration System</t>
  </si>
  <si>
    <t>Gate Entrance System</t>
  </si>
  <si>
    <t>Caribe</t>
  </si>
  <si>
    <t>Secdoor</t>
  </si>
  <si>
    <t>Loading In &amp; Out</t>
  </si>
  <si>
    <t>Operasional Loading</t>
  </si>
  <si>
    <t>Loading in &amp; out</t>
  </si>
  <si>
    <t>D</t>
  </si>
  <si>
    <t>TALENT</t>
  </si>
  <si>
    <t>MC - Kiky Saputri</t>
  </si>
  <si>
    <t>Riders</t>
  </si>
  <si>
    <t>MC - Choky Sitohang</t>
  </si>
  <si>
    <t>OM Lorenza</t>
  </si>
  <si>
    <t>Jono Joni</t>
  </si>
  <si>
    <t>Tipe-X</t>
  </si>
  <si>
    <t xml:space="preserve">Dancer </t>
  </si>
  <si>
    <t>E</t>
  </si>
  <si>
    <t>PARTICIPANT</t>
  </si>
  <si>
    <t>ID Card VIP dan DPP</t>
  </si>
  <si>
    <t xml:space="preserve">PVC </t>
  </si>
  <si>
    <t>pcs</t>
  </si>
  <si>
    <t>Tyvec Peserta</t>
  </si>
  <si>
    <t>Sticker Kendaraan</t>
  </si>
  <si>
    <t>Nasi Kotak Kedatangan Peserta</t>
  </si>
  <si>
    <t>Meals saat datang</t>
  </si>
  <si>
    <t>Nasi Kotak Kepulangan Peserta</t>
  </si>
  <si>
    <t>Meals saat pulang</t>
  </si>
  <si>
    <t>ID Card Vendor, Talent dan Tenant</t>
  </si>
  <si>
    <t>Voucher F&amp;B</t>
  </si>
  <si>
    <t>Printing</t>
  </si>
  <si>
    <t>VIP Treatment</t>
  </si>
  <si>
    <t>VVIP Treatment</t>
  </si>
  <si>
    <t>Catering VIP</t>
  </si>
  <si>
    <t>Catering VVIP</t>
  </si>
  <si>
    <t>VVIP Table Setup</t>
  </si>
  <si>
    <t>Fresh fruit, snack</t>
  </si>
  <si>
    <t>VIP Mineral Water</t>
  </si>
  <si>
    <t>VVIP Mineral Water</t>
  </si>
  <si>
    <t>Equil</t>
  </si>
  <si>
    <t xml:space="preserve">RI-1 Treatment </t>
  </si>
  <si>
    <t>pkg</t>
  </si>
  <si>
    <t>Sandal</t>
  </si>
  <si>
    <t>Tissue Kering</t>
  </si>
  <si>
    <t>Tissue Basah</t>
  </si>
  <si>
    <t>Sabun Cuci Tangan</t>
  </si>
  <si>
    <t>Sabun Mandi</t>
  </si>
  <si>
    <t>Ember</t>
  </si>
  <si>
    <t>Gayung</t>
  </si>
  <si>
    <t>Sajadah</t>
  </si>
  <si>
    <t>Tempat Sampah Rotan</t>
  </si>
  <si>
    <t>Air Mineral 330 ML</t>
  </si>
  <si>
    <t>Carton</t>
  </si>
  <si>
    <t>Hand Sanitizer</t>
  </si>
  <si>
    <t>OC Treatment</t>
  </si>
  <si>
    <t>Catering OC</t>
  </si>
  <si>
    <t xml:space="preserve">Include Air Putih </t>
  </si>
  <si>
    <t>Mobilisasi OC</t>
  </si>
  <si>
    <t>Bus capacity 50 seat</t>
  </si>
  <si>
    <t>F</t>
  </si>
  <si>
    <t>COMMITTEE</t>
  </si>
  <si>
    <t>Project Team</t>
  </si>
  <si>
    <t>Project Director</t>
  </si>
  <si>
    <t>Project Officer</t>
  </si>
  <si>
    <t>Traffic &amp; Administrator</t>
  </si>
  <si>
    <t>Production Manager</t>
  </si>
  <si>
    <t xml:space="preserve">Production Staff </t>
  </si>
  <si>
    <t>Floor Manager</t>
  </si>
  <si>
    <t>Floor Staff</t>
  </si>
  <si>
    <t>Usher</t>
  </si>
  <si>
    <t>incl. wardrobe</t>
  </si>
  <si>
    <t>Koordinator Pembagian Air</t>
  </si>
  <si>
    <t>Staff</t>
  </si>
  <si>
    <t>Logistic Manager</t>
  </si>
  <si>
    <t>Logistic Staff</t>
  </si>
  <si>
    <t>Logistic Staff Loading</t>
  </si>
  <si>
    <t>Meals Handling</t>
  </si>
  <si>
    <t>Show Management</t>
  </si>
  <si>
    <t>incl. lighting designer</t>
  </si>
  <si>
    <t>team</t>
  </si>
  <si>
    <t>Lighting Designer</t>
  </si>
  <si>
    <t>Floor Director</t>
  </si>
  <si>
    <t>Head Facility Care</t>
  </si>
  <si>
    <t>cleaning service</t>
  </si>
  <si>
    <t>Facility Care Loading</t>
  </si>
  <si>
    <t>Facility Care D-Day Event</t>
  </si>
  <si>
    <t>Talent Coordinator</t>
  </si>
  <si>
    <t>LO Talent</t>
  </si>
  <si>
    <t>Koordinator FNB</t>
  </si>
  <si>
    <t>Crew FNB</t>
  </si>
  <si>
    <t>Safety, Security &amp; Services Team</t>
  </si>
  <si>
    <t>Safety Security Officer</t>
  </si>
  <si>
    <t>Safety Security Supervisor</t>
  </si>
  <si>
    <t>Technical Supervisor</t>
  </si>
  <si>
    <t>Crew Gate</t>
  </si>
  <si>
    <t>Head Security</t>
  </si>
  <si>
    <t>Security</t>
  </si>
  <si>
    <t>Head Crowd Control</t>
  </si>
  <si>
    <t>Crowd Control</t>
  </si>
  <si>
    <t>PIC Kepesertaan</t>
  </si>
  <si>
    <t>Kepesertaan Staff</t>
  </si>
  <si>
    <t>Parking Koordinator</t>
  </si>
  <si>
    <t>Parking Staff</t>
  </si>
  <si>
    <t>VVIP Handling</t>
  </si>
  <si>
    <t>Protokoler Liasion</t>
  </si>
  <si>
    <t>Paspampres Liasion</t>
  </si>
  <si>
    <t>VVIP Escort</t>
  </si>
  <si>
    <t>VIP Escort</t>
  </si>
  <si>
    <t>Seating Arrangement</t>
  </si>
  <si>
    <t>G</t>
  </si>
  <si>
    <t>EQUIPMENT &amp; OPERATIONAL</t>
  </si>
  <si>
    <t>Transportation</t>
  </si>
  <si>
    <t>Rent Car Project Team</t>
  </si>
  <si>
    <t>Rent Car Safety, Security</t>
  </si>
  <si>
    <t xml:space="preserve"> day</t>
  </si>
  <si>
    <t>Accomodation</t>
  </si>
  <si>
    <t>Safety &amp; Security Team</t>
  </si>
  <si>
    <t>room</t>
  </si>
  <si>
    <t>night</t>
  </si>
  <si>
    <t>Meals &amp; Refreshment</t>
  </si>
  <si>
    <t>Snack Team Project &amp; Safety Security</t>
  </si>
  <si>
    <t>prs</t>
  </si>
  <si>
    <t xml:space="preserve">Snack Pengamanan </t>
  </si>
  <si>
    <t>Meals Team Project &amp; Safety Security</t>
  </si>
  <si>
    <t xml:space="preserve">Meals Pengamanan </t>
  </si>
  <si>
    <t>AMDK</t>
  </si>
  <si>
    <t>crtn</t>
  </si>
  <si>
    <t>Refreshment Loading</t>
  </si>
  <si>
    <t>Acreditation</t>
  </si>
  <si>
    <t>ID Card &amp; Lanyard Team EO</t>
  </si>
  <si>
    <t>1</t>
  </si>
  <si>
    <t xml:space="preserve">Legalisir Hologram </t>
  </si>
  <si>
    <t>participant &amp; Panitia</t>
  </si>
  <si>
    <t>HT</t>
  </si>
  <si>
    <t>Internet</t>
  </si>
  <si>
    <t>Dedicated 100MBPS</t>
  </si>
  <si>
    <t>1.5</t>
  </si>
  <si>
    <t>Icom</t>
  </si>
  <si>
    <t>2</t>
  </si>
  <si>
    <t>Repeater</t>
  </si>
  <si>
    <t>HT Satelite</t>
  </si>
  <si>
    <t>7</t>
  </si>
  <si>
    <t>Stationeries</t>
  </si>
  <si>
    <t xml:space="preserve">Laptop </t>
  </si>
  <si>
    <t>Printer</t>
  </si>
  <si>
    <t>ATK</t>
  </si>
  <si>
    <t>Cleaning Service</t>
  </si>
  <si>
    <t>Trash Bin 120L</t>
  </si>
  <si>
    <t>Trash Bin 660L</t>
  </si>
  <si>
    <t>Trashbag</t>
  </si>
  <si>
    <t>Biaya Angkut Sampah</t>
  </si>
  <si>
    <t>Jas Hujan</t>
  </si>
  <si>
    <t>time</t>
  </si>
  <si>
    <t>Payung</t>
  </si>
  <si>
    <t>H</t>
  </si>
  <si>
    <t>PUBLICATION &amp; PROMOTION</t>
  </si>
  <si>
    <t>Penggunaan Property Venue</t>
  </si>
  <si>
    <t>T-Banner</t>
  </si>
  <si>
    <t>Baliho</t>
  </si>
  <si>
    <t>dim 2x8 M</t>
  </si>
  <si>
    <t>dim 4x6 M</t>
  </si>
  <si>
    <t>Cetak dan Pasang</t>
  </si>
  <si>
    <t>Hanging Banner</t>
  </si>
  <si>
    <t>1.5x4 M, Main Hall | incl.Install &amp; Dismantle</t>
  </si>
  <si>
    <t>Umbul-umbul</t>
  </si>
  <si>
    <t>Bendera Partai</t>
  </si>
  <si>
    <t>Spanduk</t>
  </si>
  <si>
    <t>Event Documentation</t>
  </si>
  <si>
    <t>incl. photographer, videographer, event highlight, event bumper video, daylapse video</t>
  </si>
  <si>
    <t>I</t>
  </si>
  <si>
    <t>SOUVENIR</t>
  </si>
  <si>
    <t>Lukisan</t>
  </si>
  <si>
    <t>For RI-1</t>
  </si>
  <si>
    <t>Action Figure</t>
  </si>
  <si>
    <t>For RI-2</t>
  </si>
  <si>
    <t>J</t>
  </si>
  <si>
    <t>FEES</t>
  </si>
  <si>
    <t>Survey</t>
  </si>
  <si>
    <t>Per Diem</t>
  </si>
  <si>
    <t>Transport</t>
  </si>
  <si>
    <t>Konsumsi</t>
  </si>
  <si>
    <t>Cost</t>
  </si>
  <si>
    <t>Tax Base</t>
  </si>
  <si>
    <t>PPN 12%</t>
  </si>
  <si>
    <t>Total Cost</t>
  </si>
  <si>
    <t>NOTE :</t>
  </si>
  <si>
    <t>1. Offering Validations:</t>
  </si>
  <si>
    <t>The offer price above valid as long as the term specified</t>
  </si>
  <si>
    <t>2. Tax:</t>
  </si>
  <si>
    <t>The offer price above included government tax</t>
  </si>
  <si>
    <t>3. Term of Payment:</t>
  </si>
  <si>
    <t>50% Down Payment after contract is signed; maximum 14 days before event</t>
  </si>
  <si>
    <t>50% Final Payment 14 days after event</t>
  </si>
  <si>
    <t>4. Payments are Transferred to:</t>
  </si>
  <si>
    <t>Bank : Bank Central Asia (BCA)</t>
  </si>
  <si>
    <t>Account Name : PT Juara Berhasil Berkah Sejahtera </t>
  </si>
  <si>
    <t>Accounts Number : 005-767 8899</t>
  </si>
  <si>
    <t>Branch : Wisma Millenia - MT Haryono</t>
  </si>
  <si>
    <t>5. For further information, please contact:</t>
  </si>
  <si>
    <t>PT Juara Berhasil Berkah Sejahtera</t>
  </si>
  <si>
    <t>Head Office</t>
  </si>
  <si>
    <t>Jl. Gudang Peluru Timur Blok K No. 257, Tebet</t>
  </si>
  <si>
    <t>Jakarta Selatan - Indonesia</t>
  </si>
  <si>
    <t>Contact Persons :</t>
  </si>
  <si>
    <t>Bram Hadi Sulton</t>
  </si>
  <si>
    <t>081290977622</t>
  </si>
  <si>
    <t>bram@juaraevent.id</t>
  </si>
  <si>
    <t>Jakarta, 25 Juni 2025</t>
  </si>
  <si>
    <t xml:space="preserve">Submitted by,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</si>
</sst>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"/>
  </numFmts>
  <fonts count="13" x14ac:knownFonts="1"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/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vertical="center"/>
    </xf>
    <xf numFmtId="3" fontId="1" fillId="5" borderId="9" xfId="0" applyNumberFormat="1" applyFont="1" applyFill="1" applyBorder="1" applyAlignment="1">
      <alignment horizontal="left" vertical="center"/>
    </xf>
    <xf numFmtId="3" fontId="1" fillId="5" borderId="10" xfId="0" applyNumberFormat="1" applyFont="1" applyFill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 vertical="center" shrinkToFit="1"/>
    </xf>
    <xf numFmtId="0" fontId="7" fillId="5" borderId="11" xfId="0" applyFont="1" applyFill="1" applyBorder="1" applyAlignment="1">
      <alignment horizontal="center" vertical="center" wrapText="1"/>
    </xf>
    <xf numFmtId="3" fontId="1" fillId="5" borderId="11" xfId="0" applyNumberFormat="1" applyFont="1" applyFill="1" applyBorder="1" applyAlignment="1">
      <alignment horizontal="right" vertical="center"/>
    </xf>
    <xf numFmtId="3" fontId="1" fillId="5" borderId="12" xfId="0" applyNumberFormat="1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0" fontId="2" fillId="6" borderId="6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vertical="center"/>
    </xf>
    <xf numFmtId="3" fontId="3" fillId="6" borderId="14" xfId="0" applyNumberFormat="1" applyFont="1" applyFill="1" applyBorder="1" applyAlignment="1">
      <alignment vertical="center"/>
    </xf>
    <xf numFmtId="3" fontId="3" fillId="6" borderId="10" xfId="0" applyNumberFormat="1" applyFont="1" applyFill="1" applyBorder="1" applyAlignment="1">
      <alignment vertical="center"/>
    </xf>
    <xf numFmtId="3" fontId="8" fillId="6" borderId="10" xfId="0" applyNumberFormat="1" applyFont="1" applyFill="1" applyBorder="1" applyAlignment="1">
      <alignment horizontal="center" vertical="center"/>
    </xf>
    <xf numFmtId="1" fontId="3" fillId="6" borderId="15" xfId="0" applyNumberFormat="1" applyFont="1" applyFill="1" applyBorder="1" applyAlignment="1">
      <alignment horizontal="center" vertical="center"/>
    </xf>
    <xf numFmtId="3" fontId="3" fillId="6" borderId="10" xfId="0" applyNumberFormat="1" applyFont="1" applyFill="1" applyBorder="1" applyAlignment="1">
      <alignment horizontal="center" vertical="center" wrapText="1"/>
    </xf>
    <xf numFmtId="1" fontId="3" fillId="6" borderId="10" xfId="0" applyNumberFormat="1" applyFont="1" applyFill="1" applyBorder="1" applyAlignment="1">
      <alignment horizontal="center" vertical="center"/>
    </xf>
    <xf numFmtId="3" fontId="3" fillId="6" borderId="15" xfId="0" applyNumberFormat="1" applyFont="1" applyFill="1" applyBorder="1" applyAlignment="1">
      <alignment horizontal="right" vertical="center"/>
    </xf>
    <xf numFmtId="3" fontId="2" fillId="6" borderId="11" xfId="0" applyNumberFormat="1" applyFont="1" applyFill="1" applyBorder="1" applyAlignment="1">
      <alignment horizontal="right" vertical="center"/>
    </xf>
    <xf numFmtId="3" fontId="2" fillId="6" borderId="12" xfId="0" applyNumberFormat="1" applyFont="1" applyFill="1" applyBorder="1" applyAlignment="1">
      <alignment horizontal="right" vertical="center"/>
    </xf>
    <xf numFmtId="0" fontId="3" fillId="6" borderId="10" xfId="0" applyFont="1" applyFill="1" applyBorder="1" applyAlignment="1">
      <alignment horizontal="center" vertical="center" wrapText="1"/>
    </xf>
    <xf numFmtId="3" fontId="2" fillId="6" borderId="10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3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9" fillId="0" borderId="10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vertical="center"/>
    </xf>
    <xf numFmtId="3" fontId="3" fillId="0" borderId="11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3" fontId="3" fillId="6" borderId="13" xfId="0" applyNumberFormat="1" applyFont="1" applyFill="1" applyBorder="1" applyAlignment="1">
      <alignment vertical="center"/>
    </xf>
    <xf numFmtId="3" fontId="3" fillId="6" borderId="9" xfId="0" applyNumberFormat="1" applyFont="1" applyFill="1" applyBorder="1" applyAlignment="1">
      <alignment vertical="center"/>
    </xf>
    <xf numFmtId="3" fontId="3" fillId="6" borderId="10" xfId="0" applyNumberFormat="1" applyFont="1" applyFill="1" applyBorder="1" applyAlignment="1">
      <alignment horizontal="center" vertical="center"/>
    </xf>
    <xf numFmtId="3" fontId="3" fillId="6" borderId="15" xfId="0" applyNumberFormat="1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" fontId="3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" fontId="2" fillId="0" borderId="15" xfId="0" applyNumberFormat="1" applyFont="1" applyBorder="1" applyAlignment="1">
      <alignment horizontal="center" vertical="center" shrinkToFit="1"/>
    </xf>
    <xf numFmtId="1" fontId="2" fillId="0" borderId="10" xfId="0" applyNumberFormat="1" applyFont="1" applyBorder="1" applyAlignment="1">
      <alignment horizontal="center" vertical="center" shrinkToFit="1"/>
    </xf>
    <xf numFmtId="0" fontId="2" fillId="6" borderId="7" xfId="0" applyFont="1" applyFill="1" applyBorder="1" applyAlignment="1">
      <alignment horizontal="left" vertical="center"/>
    </xf>
    <xf numFmtId="0" fontId="7" fillId="6" borderId="8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3" fontId="2" fillId="6" borderId="9" xfId="0" applyNumberFormat="1" applyFont="1" applyFill="1" applyBorder="1" applyAlignment="1">
      <alignment horizontal="left" vertical="center"/>
    </xf>
    <xf numFmtId="1" fontId="2" fillId="6" borderId="15" xfId="0" applyNumberFormat="1" applyFont="1" applyFill="1" applyBorder="1" applyAlignment="1">
      <alignment horizontal="center" vertical="center" shrinkToFit="1"/>
    </xf>
    <xf numFmtId="1" fontId="2" fillId="6" borderId="10" xfId="0" applyNumberFormat="1" applyFont="1" applyFill="1" applyBorder="1" applyAlignment="1">
      <alignment horizontal="center" vertical="center" shrinkToFit="1"/>
    </xf>
    <xf numFmtId="3" fontId="3" fillId="6" borderId="8" xfId="0" applyNumberFormat="1" applyFont="1" applyFill="1" applyBorder="1" applyAlignment="1">
      <alignment vertical="center"/>
    </xf>
    <xf numFmtId="3" fontId="3" fillId="6" borderId="11" xfId="0" applyNumberFormat="1" applyFont="1" applyFill="1" applyBorder="1" applyAlignment="1">
      <alignment horizontal="right" vertical="center"/>
    </xf>
    <xf numFmtId="3" fontId="2" fillId="6" borderId="7" xfId="0" applyNumberFormat="1" applyFont="1" applyFill="1" applyBorder="1" applyAlignment="1">
      <alignment horizontal="left" vertical="center"/>
    </xf>
    <xf numFmtId="3" fontId="7" fillId="6" borderId="8" xfId="0" applyNumberFormat="1" applyFont="1" applyFill="1" applyBorder="1" applyAlignment="1">
      <alignment vertical="center"/>
    </xf>
    <xf numFmtId="3" fontId="2" fillId="6" borderId="10" xfId="0" applyNumberFormat="1" applyFont="1" applyFill="1" applyBorder="1" applyAlignment="1">
      <alignment horizontal="center" vertical="center" wrapText="1"/>
    </xf>
    <xf numFmtId="3" fontId="10" fillId="6" borderId="10" xfId="0" applyNumberFormat="1" applyFont="1" applyFill="1" applyBorder="1" applyAlignment="1">
      <alignment vertical="center"/>
    </xf>
    <xf numFmtId="3" fontId="3" fillId="6" borderId="8" xfId="0" applyNumberFormat="1" applyFont="1" applyFill="1" applyBorder="1" applyAlignment="1">
      <alignment vertical="center"/>
    </xf>
    <xf numFmtId="0" fontId="4" fillId="0" borderId="9" xfId="0" applyFont="1" applyBorder="1"/>
    <xf numFmtId="3" fontId="10" fillId="6" borderId="9" xfId="0" applyNumberFormat="1" applyFont="1" applyFill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3" fontId="2" fillId="0" borderId="23" xfId="0" applyNumberFormat="1" applyFont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3" fillId="6" borderId="22" xfId="0" applyFont="1" applyFill="1" applyBorder="1" applyAlignment="1">
      <alignment vertical="center"/>
    </xf>
    <xf numFmtId="3" fontId="3" fillId="6" borderId="22" xfId="0" applyNumberFormat="1" applyFont="1" applyFill="1" applyBorder="1" applyAlignment="1">
      <alignment vertical="center"/>
    </xf>
    <xf numFmtId="3" fontId="2" fillId="6" borderId="23" xfId="0" applyNumberFormat="1" applyFont="1" applyFill="1" applyBorder="1" applyAlignment="1">
      <alignment horizontal="left" vertical="center"/>
    </xf>
    <xf numFmtId="3" fontId="7" fillId="6" borderId="22" xfId="0" applyNumberFormat="1" applyFont="1" applyFill="1" applyBorder="1" applyAlignment="1">
      <alignment vertical="center"/>
    </xf>
    <xf numFmtId="3" fontId="1" fillId="0" borderId="12" xfId="0" applyNumberFormat="1" applyFont="1" applyBorder="1" applyAlignment="1">
      <alignment horizontal="right" vertical="center"/>
    </xf>
    <xf numFmtId="3" fontId="8" fillId="6" borderId="11" xfId="0" applyNumberFormat="1" applyFont="1" applyFill="1" applyBorder="1" applyAlignment="1">
      <alignment horizontal="center" vertical="center"/>
    </xf>
    <xf numFmtId="0" fontId="4" fillId="0" borderId="8" xfId="0" applyFont="1" applyBorder="1"/>
    <xf numFmtId="3" fontId="10" fillId="6" borderId="8" xfId="0" applyNumberFormat="1" applyFont="1" applyFill="1" applyBorder="1" applyAlignment="1">
      <alignment vertical="center"/>
    </xf>
    <xf numFmtId="1" fontId="10" fillId="6" borderId="15" xfId="0" applyNumberFormat="1" applyFont="1" applyFill="1" applyBorder="1" applyAlignment="1">
      <alignment vertical="center"/>
    </xf>
    <xf numFmtId="3" fontId="3" fillId="6" borderId="15" xfId="0" applyNumberFormat="1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shrinkToFit="1"/>
    </xf>
    <xf numFmtId="1" fontId="2" fillId="6" borderId="24" xfId="0" applyNumberFormat="1" applyFont="1" applyFill="1" applyBorder="1" applyAlignment="1">
      <alignment horizontal="center" vertical="center" shrinkToFit="1"/>
    </xf>
    <xf numFmtId="0" fontId="3" fillId="6" borderId="25" xfId="0" applyFont="1" applyFill="1" applyBorder="1" applyAlignment="1">
      <alignment horizontal="center" vertical="center" wrapText="1"/>
    </xf>
    <xf numFmtId="1" fontId="2" fillId="6" borderId="26" xfId="0" applyNumberFormat="1" applyFont="1" applyFill="1" applyBorder="1" applyAlignment="1">
      <alignment horizontal="center" vertical="center" shrinkToFit="1"/>
    </xf>
    <xf numFmtId="3" fontId="2" fillId="6" borderId="26" xfId="0" applyNumberFormat="1" applyFont="1" applyFill="1" applyBorder="1" applyAlignment="1">
      <alignment horizontal="right" vertical="center"/>
    </xf>
    <xf numFmtId="3" fontId="3" fillId="6" borderId="22" xfId="0" applyNumberFormat="1" applyFont="1" applyFill="1" applyBorder="1" applyAlignment="1">
      <alignment vertical="center"/>
    </xf>
    <xf numFmtId="0" fontId="4" fillId="0" borderId="22" xfId="0" applyFont="1" applyBorder="1"/>
    <xf numFmtId="0" fontId="4" fillId="0" borderId="23" xfId="0" applyFont="1" applyBorder="1"/>
    <xf numFmtId="3" fontId="2" fillId="6" borderId="11" xfId="0" applyNumberFormat="1" applyFont="1" applyFill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3" fontId="3" fillId="6" borderId="9" xfId="0" applyNumberFormat="1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0" xfId="0" applyFont="1" applyBorder="1"/>
    <xf numFmtId="0" fontId="2" fillId="6" borderId="27" xfId="0" applyFont="1" applyFill="1" applyBorder="1" applyAlignment="1">
      <alignment horizontal="left" vertical="center"/>
    </xf>
    <xf numFmtId="0" fontId="3" fillId="6" borderId="0" xfId="0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6" borderId="11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164" fontId="2" fillId="6" borderId="11" xfId="0" applyNumberFormat="1" applyFont="1" applyFill="1" applyBorder="1" applyAlignment="1">
      <alignment horizontal="center" vertical="center" shrinkToFit="1"/>
    </xf>
    <xf numFmtId="3" fontId="10" fillId="6" borderId="11" xfId="0" applyNumberFormat="1" applyFont="1" applyFill="1" applyBorder="1" applyAlignment="1">
      <alignment vertical="center"/>
    </xf>
    <xf numFmtId="164" fontId="2" fillId="6" borderId="10" xfId="0" applyNumberFormat="1" applyFont="1" applyFill="1" applyBorder="1" applyAlignment="1">
      <alignment horizontal="center" vertical="center" shrinkToFit="1"/>
    </xf>
    <xf numFmtId="0" fontId="3" fillId="6" borderId="14" xfId="0" applyFont="1" applyFill="1" applyBorder="1" applyAlignment="1">
      <alignment vertical="center"/>
    </xf>
    <xf numFmtId="0" fontId="11" fillId="6" borderId="22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vertical="center"/>
    </xf>
    <xf numFmtId="3" fontId="1" fillId="5" borderId="23" xfId="0" applyNumberFormat="1" applyFont="1" applyFill="1" applyBorder="1" applyAlignment="1">
      <alignment horizontal="left" vertical="center"/>
    </xf>
    <xf numFmtId="3" fontId="2" fillId="0" borderId="10" xfId="0" applyNumberFormat="1" applyFont="1" applyBorder="1" applyAlignment="1">
      <alignment horizontal="center" vertical="center" wrapText="1"/>
    </xf>
    <xf numFmtId="3" fontId="3" fillId="6" borderId="7" xfId="0" applyNumberFormat="1" applyFont="1" applyFill="1" applyBorder="1" applyAlignment="1">
      <alignment vertical="center"/>
    </xf>
    <xf numFmtId="3" fontId="7" fillId="0" borderId="7" xfId="0" applyNumberFormat="1" applyFont="1" applyBorder="1" applyAlignment="1">
      <alignment vertical="center"/>
    </xf>
    <xf numFmtId="3" fontId="10" fillId="0" borderId="8" xfId="0" applyNumberFormat="1" applyFont="1" applyBorder="1" applyAlignment="1">
      <alignment vertical="center"/>
    </xf>
    <xf numFmtId="3" fontId="10" fillId="0" borderId="9" xfId="0" applyNumberFormat="1" applyFont="1" applyBorder="1" applyAlignment="1">
      <alignment vertical="center"/>
    </xf>
    <xf numFmtId="3" fontId="10" fillId="6" borderId="21" xfId="0" applyNumberFormat="1" applyFont="1" applyFill="1" applyBorder="1" applyAlignment="1">
      <alignment vertical="center"/>
    </xf>
    <xf numFmtId="3" fontId="9" fillId="6" borderId="15" xfId="0" applyNumberFormat="1" applyFont="1" applyFill="1" applyBorder="1" applyAlignment="1">
      <alignment horizontal="center" vertical="center"/>
    </xf>
    <xf numFmtId="3" fontId="10" fillId="6" borderId="22" xfId="0" applyNumberFormat="1" applyFont="1" applyFill="1" applyBorder="1" applyAlignment="1">
      <alignment vertical="center"/>
    </xf>
    <xf numFmtId="3" fontId="10" fillId="6" borderId="23" xfId="0" applyNumberFormat="1" applyFont="1" applyFill="1" applyBorder="1" applyAlignment="1">
      <alignment vertical="center"/>
    </xf>
    <xf numFmtId="1" fontId="2" fillId="6" borderId="25" xfId="0" applyNumberFormat="1" applyFont="1" applyFill="1" applyBorder="1" applyAlignment="1">
      <alignment horizontal="center" vertical="center" shrinkToFit="1"/>
    </xf>
    <xf numFmtId="3" fontId="7" fillId="0" borderId="21" xfId="0" applyNumberFormat="1" applyFont="1" applyBorder="1" applyAlignment="1">
      <alignment vertical="center"/>
    </xf>
    <xf numFmtId="3" fontId="10" fillId="0" borderId="10" xfId="0" applyNumberFormat="1" applyFont="1" applyBorder="1" applyAlignment="1">
      <alignment vertical="center"/>
    </xf>
    <xf numFmtId="1" fontId="2" fillId="6" borderId="11" xfId="0" applyNumberFormat="1" applyFont="1" applyFill="1" applyBorder="1" applyAlignment="1">
      <alignment horizontal="center" vertical="center" shrinkToFit="1"/>
    </xf>
    <xf numFmtId="3" fontId="2" fillId="6" borderId="15" xfId="0" applyNumberFormat="1" applyFont="1" applyFill="1" applyBorder="1" applyAlignment="1">
      <alignment horizontal="right" vertical="center"/>
    </xf>
    <xf numFmtId="0" fontId="7" fillId="0" borderId="21" xfId="0" applyFont="1" applyBorder="1" applyAlignment="1">
      <alignment vertical="center"/>
    </xf>
    <xf numFmtId="3" fontId="3" fillId="0" borderId="22" xfId="0" applyNumberFormat="1" applyFont="1" applyBorder="1" applyAlignment="1">
      <alignment vertical="center"/>
    </xf>
    <xf numFmtId="3" fontId="3" fillId="0" borderId="23" xfId="0" applyNumberFormat="1" applyFont="1" applyBorder="1" applyAlignment="1">
      <alignment vertical="center"/>
    </xf>
    <xf numFmtId="3" fontId="3" fillId="0" borderId="21" xfId="0" applyNumberFormat="1" applyFont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0" fontId="3" fillId="0" borderId="15" xfId="0" applyFont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165" fontId="2" fillId="0" borderId="12" xfId="0" applyNumberFormat="1" applyFont="1" applyBorder="1" applyAlignment="1">
      <alignment horizontal="right" vertical="center"/>
    </xf>
    <xf numFmtId="3" fontId="7" fillId="0" borderId="12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0" fontId="7" fillId="0" borderId="12" xfId="0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3" fontId="7" fillId="0" borderId="12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4" fontId="7" fillId="0" borderId="12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" fillId="5" borderId="13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vertical="center"/>
    </xf>
    <xf numFmtId="3" fontId="1" fillId="5" borderId="10" xfId="0" applyNumberFormat="1" applyFont="1" applyFill="1" applyBorder="1" applyAlignment="1">
      <alignment horizontal="left" vertical="center"/>
    </xf>
    <xf numFmtId="1" fontId="2" fillId="0" borderId="11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/>
    </xf>
    <xf numFmtId="3" fontId="3" fillId="0" borderId="23" xfId="0" applyNumberFormat="1" applyFont="1" applyBorder="1" applyAlignment="1">
      <alignment horizontal="left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3" fontId="2" fillId="0" borderId="26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2" fillId="6" borderId="22" xfId="0" applyFont="1" applyFill="1" applyBorder="1" applyAlignment="1">
      <alignment horizontal="left" vertical="center"/>
    </xf>
    <xf numFmtId="3" fontId="3" fillId="6" borderId="23" xfId="0" applyNumberFormat="1" applyFont="1" applyFill="1" applyBorder="1" applyAlignment="1">
      <alignment horizontal="left" vertical="center"/>
    </xf>
    <xf numFmtId="3" fontId="3" fillId="6" borderId="26" xfId="0" applyNumberFormat="1" applyFont="1" applyFill="1" applyBorder="1" applyAlignment="1">
      <alignment horizontal="center" vertical="center"/>
    </xf>
    <xf numFmtId="49" fontId="2" fillId="6" borderId="15" xfId="0" applyNumberFormat="1" applyFont="1" applyFill="1" applyBorder="1" applyAlignment="1">
      <alignment horizontal="center" vertical="center"/>
    </xf>
    <xf numFmtId="49" fontId="3" fillId="6" borderId="26" xfId="0" applyNumberFormat="1" applyFont="1" applyFill="1" applyBorder="1" applyAlignment="1">
      <alignment horizontal="center" vertical="center"/>
    </xf>
    <xf numFmtId="49" fontId="2" fillId="6" borderId="26" xfId="0" applyNumberFormat="1" applyFont="1" applyFill="1" applyBorder="1" applyAlignment="1">
      <alignment horizontal="center" vertical="center"/>
    </xf>
    <xf numFmtId="3" fontId="2" fillId="6" borderId="26" xfId="0" applyNumberFormat="1" applyFont="1" applyFill="1" applyBorder="1" applyAlignment="1">
      <alignment horizontal="right" vertical="center"/>
    </xf>
    <xf numFmtId="49" fontId="3" fillId="0" borderId="23" xfId="0" applyNumberFormat="1" applyFont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23" xfId="0" applyNumberFormat="1" applyFont="1" applyFill="1" applyBorder="1" applyAlignment="1">
      <alignment horizontal="center" vertical="center"/>
    </xf>
    <xf numFmtId="3" fontId="2" fillId="0" borderId="26" xfId="0" applyNumberFormat="1" applyFont="1" applyBorder="1" applyAlignment="1">
      <alignment vertical="center"/>
    </xf>
    <xf numFmtId="0" fontId="2" fillId="6" borderId="23" xfId="0" applyFont="1" applyFill="1" applyBorder="1" applyAlignment="1">
      <alignment horizontal="left" vertical="center"/>
    </xf>
    <xf numFmtId="3" fontId="2" fillId="6" borderId="26" xfId="0" applyNumberFormat="1" applyFont="1" applyFill="1" applyBorder="1" applyAlignment="1">
      <alignment horizontal="center" vertical="center"/>
    </xf>
    <xf numFmtId="49" fontId="2" fillId="6" borderId="23" xfId="0" applyNumberFormat="1" applyFont="1" applyFill="1" applyBorder="1" applyAlignment="1">
      <alignment horizontal="center" vertical="center"/>
    </xf>
    <xf numFmtId="3" fontId="2" fillId="6" borderId="26" xfId="0" applyNumberFormat="1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49" fontId="2" fillId="6" borderId="9" xfId="0" applyNumberFormat="1" applyFont="1" applyFill="1" applyBorder="1" applyAlignment="1">
      <alignment horizontal="center" vertical="center"/>
    </xf>
    <xf numFmtId="3" fontId="2" fillId="6" borderId="11" xfId="0" applyNumberFormat="1" applyFont="1" applyFill="1" applyBorder="1" applyAlignment="1">
      <alignment vertical="center"/>
    </xf>
    <xf numFmtId="3" fontId="7" fillId="6" borderId="12" xfId="0" applyNumberFormat="1" applyFont="1" applyFill="1" applyBorder="1" applyAlignment="1">
      <alignment horizontal="right" vertical="center"/>
    </xf>
    <xf numFmtId="3" fontId="3" fillId="0" borderId="9" xfId="0" applyNumberFormat="1" applyFont="1" applyBorder="1" applyAlignment="1">
      <alignment horizontal="left" vertical="center"/>
    </xf>
    <xf numFmtId="165" fontId="2" fillId="0" borderId="11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3" fontId="2" fillId="0" borderId="31" xfId="0" applyNumberFormat="1" applyFont="1" applyBorder="1" applyAlignment="1">
      <alignment horizontal="left" vertical="center"/>
    </xf>
    <xf numFmtId="3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3" fontId="2" fillId="0" borderId="32" xfId="0" applyNumberFormat="1" applyFont="1" applyBorder="1" applyAlignment="1">
      <alignment vertical="center"/>
    </xf>
    <xf numFmtId="3" fontId="2" fillId="0" borderId="32" xfId="0" applyNumberFormat="1" applyFont="1" applyBorder="1" applyAlignment="1">
      <alignment horizontal="right" vertical="center"/>
    </xf>
    <xf numFmtId="3" fontId="7" fillId="0" borderId="33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7" fillId="7" borderId="15" xfId="0" applyNumberFormat="1" applyFont="1" applyFill="1" applyBorder="1" applyAlignment="1">
      <alignment horizontal="right" vertical="center"/>
    </xf>
    <xf numFmtId="3" fontId="7" fillId="7" borderId="1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12" fillId="0" borderId="33" xfId="0" applyFont="1" applyBorder="1" applyAlignment="1">
      <alignment horizontal="right" vertical="center"/>
    </xf>
    <xf numFmtId="3" fontId="3" fillId="0" borderId="0" xfId="0" applyNumberFormat="1" applyFont="1"/>
    <xf numFmtId="3" fontId="9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2133600" cy="638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CE34F6B-50E0-2040-B8C4-123CC12339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164550" y="0"/>
          <a:ext cx="2133600" cy="6381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78C0-314F-C64C-AF55-5868868A55C4}">
  <sheetPr>
    <tabColor rgb="FF0000FF"/>
  </sheetPr>
  <dimension ref="A1:Q1226"/>
  <sheetViews>
    <sheetView tabSelected="1" topLeftCell="D1" workbookViewId="0">
      <pane ySplit="8" topLeftCell="A229" activePane="bottomLeft" state="frozen"/>
      <selection pane="bottomLeft" activeCell="F403" sqref="F403"/>
    </sheetView>
  </sheetViews>
  <sheetFormatPr baseColWidth="10" defaultColWidth="12.6640625" defaultRowHeight="15" customHeight="1" x14ac:dyDescent="0.15"/>
  <cols>
    <col min="1" max="1" width="13.6640625" customWidth="1"/>
    <col min="2" max="2" width="2.33203125" customWidth="1"/>
    <col min="3" max="5" width="2.1640625" customWidth="1"/>
    <col min="6" max="6" width="28.33203125" customWidth="1"/>
    <col min="7" max="7" width="37" customWidth="1"/>
    <col min="8" max="8" width="6.6640625" customWidth="1"/>
    <col min="9" max="9" width="7.5" customWidth="1"/>
    <col min="10" max="10" width="4.5" customWidth="1"/>
    <col min="11" max="11" width="6.83203125" customWidth="1"/>
    <col min="12" max="12" width="14.1640625" customWidth="1"/>
    <col min="13" max="14" width="20.1640625" customWidth="1"/>
    <col min="15" max="15" width="5.1640625" customWidth="1"/>
    <col min="16" max="17" width="14.1640625" customWidth="1"/>
  </cols>
  <sheetData>
    <row r="1" spans="1:17" ht="15" customHeight="1" x14ac:dyDescent="0.15">
      <c r="A1" s="1" t="s">
        <v>0</v>
      </c>
      <c r="B1" s="2" t="s">
        <v>1</v>
      </c>
      <c r="C1" s="2"/>
      <c r="D1" s="2"/>
      <c r="E1" s="2"/>
      <c r="F1" s="3"/>
      <c r="G1" s="4"/>
      <c r="H1" s="4"/>
      <c r="I1" s="2"/>
      <c r="J1" s="2"/>
      <c r="K1" s="2"/>
      <c r="L1" s="2"/>
      <c r="M1" s="3"/>
      <c r="N1" s="3"/>
      <c r="O1" s="3"/>
      <c r="P1" s="3"/>
      <c r="Q1" s="3"/>
    </row>
    <row r="2" spans="1:17" ht="15" customHeight="1" x14ac:dyDescent="0.15">
      <c r="A2" s="1" t="s">
        <v>2</v>
      </c>
      <c r="B2" s="1" t="s">
        <v>3</v>
      </c>
      <c r="C2" s="2"/>
      <c r="D2" s="2"/>
      <c r="E2" s="2"/>
      <c r="F2" s="3"/>
      <c r="G2" s="4"/>
      <c r="H2" s="4"/>
      <c r="I2" s="2"/>
      <c r="J2" s="2"/>
      <c r="K2" s="2"/>
      <c r="L2" s="2"/>
      <c r="M2" s="5"/>
      <c r="N2" s="5"/>
      <c r="O2" s="5"/>
      <c r="P2" s="5"/>
      <c r="Q2" s="5"/>
    </row>
    <row r="3" spans="1:17" ht="15" customHeight="1" x14ac:dyDescent="0.15">
      <c r="A3" s="1" t="s">
        <v>4</v>
      </c>
      <c r="B3" s="2" t="s">
        <v>5</v>
      </c>
      <c r="C3" s="2"/>
      <c r="D3" s="2"/>
      <c r="E3" s="2"/>
      <c r="F3" s="3"/>
      <c r="G3" s="4"/>
      <c r="H3" s="4"/>
      <c r="I3" s="2"/>
      <c r="J3" s="2"/>
      <c r="K3" s="2"/>
      <c r="L3" s="2"/>
      <c r="M3" s="5"/>
      <c r="N3" s="5"/>
      <c r="O3" s="5"/>
      <c r="P3" s="5"/>
      <c r="Q3" s="5"/>
    </row>
    <row r="4" spans="1:17" ht="15" customHeight="1" x14ac:dyDescent="0.15">
      <c r="A4" s="1" t="s">
        <v>6</v>
      </c>
      <c r="B4" s="2" t="s">
        <v>7</v>
      </c>
      <c r="C4" s="2"/>
      <c r="D4" s="2"/>
      <c r="E4" s="2"/>
      <c r="F4" s="3"/>
      <c r="G4" s="4"/>
      <c r="H4" s="4"/>
      <c r="I4" s="6"/>
      <c r="J4" s="6"/>
      <c r="K4" s="7"/>
      <c r="L4" s="8"/>
      <c r="M4" s="8"/>
      <c r="N4" s="2"/>
      <c r="O4" s="2"/>
      <c r="P4" s="2"/>
      <c r="Q4" s="2"/>
    </row>
    <row r="5" spans="1:17" ht="15" customHeight="1" x14ac:dyDescent="0.15">
      <c r="A5" s="1" t="s">
        <v>8</v>
      </c>
      <c r="B5" s="2" t="s">
        <v>9</v>
      </c>
      <c r="C5" s="2"/>
      <c r="D5" s="2"/>
      <c r="E5" s="2"/>
      <c r="F5" s="3"/>
      <c r="G5" s="4"/>
      <c r="H5" s="4"/>
      <c r="I5" s="6"/>
      <c r="J5" s="6"/>
      <c r="K5" s="9"/>
      <c r="L5" s="2"/>
      <c r="M5" s="2"/>
      <c r="N5" s="2"/>
      <c r="O5" s="2"/>
      <c r="P5" s="2"/>
      <c r="Q5" s="2"/>
    </row>
    <row r="6" spans="1:17" ht="15" customHeight="1" thickBot="1" x14ac:dyDescent="0.2">
      <c r="A6" s="1" t="s">
        <v>10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5" customHeight="1" thickBot="1" x14ac:dyDescent="0.2">
      <c r="A7" s="268" t="s">
        <v>11</v>
      </c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70"/>
      <c r="O7" s="5"/>
      <c r="P7" s="5"/>
      <c r="Q7" s="5"/>
    </row>
    <row r="8" spans="1:17" ht="15" customHeight="1" x14ac:dyDescent="0.15">
      <c r="A8" s="11" t="s">
        <v>12</v>
      </c>
      <c r="B8" s="266" t="s">
        <v>13</v>
      </c>
      <c r="C8" s="267"/>
      <c r="D8" s="267"/>
      <c r="E8" s="267"/>
      <c r="F8" s="267"/>
      <c r="G8" s="12" t="s">
        <v>14</v>
      </c>
      <c r="H8" s="13" t="s">
        <v>15</v>
      </c>
      <c r="I8" s="265"/>
      <c r="J8" s="14" t="s">
        <v>16</v>
      </c>
      <c r="K8" s="264"/>
      <c r="L8" s="15" t="s">
        <v>17</v>
      </c>
      <c r="M8" s="15" t="s">
        <v>18</v>
      </c>
      <c r="N8" s="16" t="s">
        <v>19</v>
      </c>
      <c r="O8" s="17"/>
      <c r="P8" s="17"/>
      <c r="Q8" s="17"/>
    </row>
    <row r="9" spans="1:17" ht="16" x14ac:dyDescent="0.15">
      <c r="A9" s="18" t="s">
        <v>20</v>
      </c>
      <c r="B9" s="19" t="s">
        <v>21</v>
      </c>
      <c r="C9" s="20"/>
      <c r="D9" s="20"/>
      <c r="E9" s="20"/>
      <c r="F9" s="21"/>
      <c r="G9" s="22"/>
      <c r="H9" s="23"/>
      <c r="I9" s="24"/>
      <c r="J9" s="23"/>
      <c r="K9" s="24"/>
      <c r="L9" s="25"/>
      <c r="M9" s="25"/>
      <c r="N9" s="26">
        <f>SUM(M10:M32)</f>
        <v>230000000</v>
      </c>
      <c r="O9" s="219"/>
      <c r="P9" s="184"/>
      <c r="Q9" s="184"/>
    </row>
    <row r="10" spans="1:17" ht="16" x14ac:dyDescent="0.15">
      <c r="A10" s="27"/>
      <c r="B10" s="28" t="s">
        <v>22</v>
      </c>
      <c r="C10" s="29"/>
      <c r="D10" s="29"/>
      <c r="E10" s="29"/>
      <c r="F10" s="30"/>
      <c r="G10" s="31"/>
      <c r="H10" s="32"/>
      <c r="I10" s="33"/>
      <c r="J10" s="34"/>
      <c r="K10" s="33"/>
      <c r="L10" s="35"/>
      <c r="M10" s="36"/>
      <c r="N10" s="37"/>
      <c r="O10" s="219"/>
      <c r="P10" s="79"/>
      <c r="Q10" s="79"/>
    </row>
    <row r="11" spans="1:17" ht="17" x14ac:dyDescent="0.15">
      <c r="A11" s="27"/>
      <c r="B11" s="28"/>
      <c r="C11" s="29" t="s">
        <v>23</v>
      </c>
      <c r="D11" s="29"/>
      <c r="E11" s="29"/>
      <c r="F11" s="30"/>
      <c r="G11" s="31"/>
      <c r="H11" s="32">
        <v>1</v>
      </c>
      <c r="I11" s="33" t="s">
        <v>24</v>
      </c>
      <c r="J11" s="34">
        <v>1</v>
      </c>
      <c r="K11" s="33" t="s">
        <v>25</v>
      </c>
      <c r="L11" s="35">
        <v>35000000</v>
      </c>
      <c r="M11" s="36">
        <f>L11*J11*H11</f>
        <v>35000000</v>
      </c>
      <c r="N11" s="37"/>
      <c r="O11" s="219"/>
      <c r="P11" s="187"/>
      <c r="Q11" s="187"/>
    </row>
    <row r="12" spans="1:17" ht="16" x14ac:dyDescent="0.15">
      <c r="A12" s="27"/>
      <c r="B12" s="28"/>
      <c r="C12" s="29"/>
      <c r="D12" s="29" t="s">
        <v>26</v>
      </c>
      <c r="E12" s="29"/>
      <c r="F12" s="30"/>
      <c r="G12" s="31"/>
      <c r="H12" s="32"/>
      <c r="I12" s="33"/>
      <c r="J12" s="34"/>
      <c r="K12" s="33"/>
      <c r="L12" s="35"/>
      <c r="M12" s="36"/>
      <c r="N12" s="37"/>
      <c r="O12" s="219"/>
      <c r="P12" s="79"/>
      <c r="Q12" s="79"/>
    </row>
    <row r="13" spans="1:17" ht="16" x14ac:dyDescent="0.15">
      <c r="A13" s="27"/>
      <c r="B13" s="28"/>
      <c r="C13" s="29"/>
      <c r="D13" s="29" t="s">
        <v>27</v>
      </c>
      <c r="E13" s="29"/>
      <c r="F13" s="30"/>
      <c r="G13" s="31"/>
      <c r="H13" s="32"/>
      <c r="I13" s="33"/>
      <c r="J13" s="34"/>
      <c r="K13" s="33"/>
      <c r="L13" s="35"/>
      <c r="M13" s="36"/>
      <c r="N13" s="37"/>
      <c r="O13" s="219"/>
      <c r="P13" s="79"/>
      <c r="Q13" s="79"/>
    </row>
    <row r="14" spans="1:17" ht="16" x14ac:dyDescent="0.15">
      <c r="A14" s="27"/>
      <c r="B14" s="28"/>
      <c r="C14" s="29"/>
      <c r="D14" s="29" t="s">
        <v>28</v>
      </c>
      <c r="E14" s="29"/>
      <c r="F14" s="30"/>
      <c r="G14" s="31"/>
      <c r="H14" s="32"/>
      <c r="I14" s="33"/>
      <c r="J14" s="34"/>
      <c r="K14" s="33"/>
      <c r="L14" s="35"/>
      <c r="M14" s="36"/>
      <c r="N14" s="37"/>
      <c r="O14" s="219"/>
      <c r="P14" s="79"/>
      <c r="Q14" s="79"/>
    </row>
    <row r="15" spans="1:17" ht="17" x14ac:dyDescent="0.15">
      <c r="A15" s="38"/>
      <c r="B15" s="39"/>
      <c r="C15" s="40" t="s">
        <v>29</v>
      </c>
      <c r="D15" s="40"/>
      <c r="E15" s="40"/>
      <c r="F15" s="41"/>
      <c r="G15" s="42"/>
      <c r="H15" s="43">
        <v>1</v>
      </c>
      <c r="I15" s="44" t="s">
        <v>24</v>
      </c>
      <c r="J15" s="45">
        <v>1</v>
      </c>
      <c r="K15" s="44" t="s">
        <v>25</v>
      </c>
      <c r="L15" s="46">
        <v>160000000</v>
      </c>
      <c r="M15" s="47">
        <f>L15*J15*H15</f>
        <v>160000000</v>
      </c>
      <c r="N15" s="48"/>
      <c r="O15" s="219"/>
      <c r="P15" s="79"/>
      <c r="Q15" s="79"/>
    </row>
    <row r="16" spans="1:17" ht="16" x14ac:dyDescent="0.15">
      <c r="A16" s="38"/>
      <c r="B16" s="39"/>
      <c r="C16" s="40"/>
      <c r="D16" s="40" t="s">
        <v>30</v>
      </c>
      <c r="E16" s="40"/>
      <c r="F16" s="41"/>
      <c r="G16" s="42"/>
      <c r="H16" s="43"/>
      <c r="I16" s="49"/>
      <c r="J16" s="45"/>
      <c r="K16" s="49"/>
      <c r="L16" s="46"/>
      <c r="M16" s="47"/>
      <c r="N16" s="48"/>
      <c r="O16" s="219"/>
      <c r="P16" s="79"/>
      <c r="Q16" s="79"/>
    </row>
    <row r="17" spans="1:17" ht="16" x14ac:dyDescent="0.15">
      <c r="A17" s="38"/>
      <c r="B17" s="39"/>
      <c r="C17" s="40"/>
      <c r="D17" s="40"/>
      <c r="E17" s="40" t="s">
        <v>31</v>
      </c>
      <c r="F17" s="41"/>
      <c r="G17" s="42"/>
      <c r="H17" s="43"/>
      <c r="I17" s="49"/>
      <c r="J17" s="45"/>
      <c r="K17" s="49"/>
      <c r="L17" s="46"/>
      <c r="M17" s="47"/>
      <c r="N17" s="48"/>
      <c r="O17" s="219"/>
      <c r="P17" s="219"/>
      <c r="Q17" s="219"/>
    </row>
    <row r="18" spans="1:17" ht="16" x14ac:dyDescent="0.15">
      <c r="A18" s="38"/>
      <c r="B18" s="39"/>
      <c r="C18" s="40"/>
      <c r="D18" s="40"/>
      <c r="E18" s="40" t="s">
        <v>32</v>
      </c>
      <c r="F18" s="41"/>
      <c r="G18" s="42"/>
      <c r="H18" s="43"/>
      <c r="I18" s="49"/>
      <c r="J18" s="45"/>
      <c r="K18" s="49"/>
      <c r="L18" s="46"/>
      <c r="M18" s="47"/>
      <c r="N18" s="48"/>
      <c r="O18" s="219"/>
      <c r="P18" s="219"/>
      <c r="Q18" s="219"/>
    </row>
    <row r="19" spans="1:17" ht="16" x14ac:dyDescent="0.15">
      <c r="A19" s="38"/>
      <c r="B19" s="39"/>
      <c r="C19" s="40"/>
      <c r="D19" s="40"/>
      <c r="E19" s="40" t="s">
        <v>33</v>
      </c>
      <c r="F19" s="41"/>
      <c r="G19" s="42"/>
      <c r="H19" s="43"/>
      <c r="I19" s="49"/>
      <c r="J19" s="45"/>
      <c r="K19" s="49"/>
      <c r="L19" s="46"/>
      <c r="M19" s="47"/>
      <c r="N19" s="48"/>
      <c r="O19" s="219"/>
      <c r="P19" s="219"/>
      <c r="Q19" s="219"/>
    </row>
    <row r="20" spans="1:17" ht="16" x14ac:dyDescent="0.15">
      <c r="A20" s="38"/>
      <c r="B20" s="39"/>
      <c r="C20" s="40"/>
      <c r="D20" s="40"/>
      <c r="E20" s="40" t="s">
        <v>34</v>
      </c>
      <c r="F20" s="41"/>
      <c r="G20" s="42"/>
      <c r="H20" s="43"/>
      <c r="I20" s="49"/>
      <c r="J20" s="45"/>
      <c r="K20" s="49"/>
      <c r="L20" s="46"/>
      <c r="M20" s="47"/>
      <c r="N20" s="48"/>
      <c r="O20" s="219"/>
      <c r="P20" s="219"/>
      <c r="Q20" s="219"/>
    </row>
    <row r="21" spans="1:17" ht="16" x14ac:dyDescent="0.15">
      <c r="A21" s="38"/>
      <c r="B21" s="39"/>
      <c r="C21" s="40"/>
      <c r="D21" s="40"/>
      <c r="E21" s="40" t="s">
        <v>35</v>
      </c>
      <c r="F21" s="41"/>
      <c r="G21" s="42"/>
      <c r="H21" s="43"/>
      <c r="I21" s="49"/>
      <c r="J21" s="45"/>
      <c r="K21" s="49"/>
      <c r="L21" s="46"/>
      <c r="M21" s="47"/>
      <c r="N21" s="48"/>
      <c r="O21" s="219"/>
      <c r="P21" s="219"/>
      <c r="Q21" s="219"/>
    </row>
    <row r="22" spans="1:17" ht="16" x14ac:dyDescent="0.15">
      <c r="A22" s="38"/>
      <c r="B22" s="39"/>
      <c r="C22" s="40"/>
      <c r="D22" s="40" t="s">
        <v>36</v>
      </c>
      <c r="E22" s="40"/>
      <c r="F22" s="41"/>
      <c r="G22" s="42"/>
      <c r="H22" s="43"/>
      <c r="I22" s="49"/>
      <c r="J22" s="45"/>
      <c r="K22" s="49"/>
      <c r="L22" s="46"/>
      <c r="M22" s="47"/>
      <c r="N22" s="48"/>
      <c r="O22" s="219"/>
      <c r="P22" s="219"/>
      <c r="Q22" s="219"/>
    </row>
    <row r="23" spans="1:17" ht="16" x14ac:dyDescent="0.15">
      <c r="A23" s="38"/>
      <c r="B23" s="39"/>
      <c r="C23" s="40"/>
      <c r="D23" s="40"/>
      <c r="E23" s="40" t="s">
        <v>37</v>
      </c>
      <c r="F23" s="41"/>
      <c r="G23" s="50" t="s">
        <v>38</v>
      </c>
      <c r="H23" s="43"/>
      <c r="I23" s="49"/>
      <c r="J23" s="45"/>
      <c r="K23" s="49"/>
      <c r="L23" s="46"/>
      <c r="M23" s="47"/>
      <c r="N23" s="48"/>
      <c r="O23" s="219"/>
      <c r="P23" s="219"/>
      <c r="Q23" s="219"/>
    </row>
    <row r="24" spans="1:17" ht="16" x14ac:dyDescent="0.15">
      <c r="A24" s="38"/>
      <c r="B24" s="39"/>
      <c r="C24" s="40"/>
      <c r="D24" s="40"/>
      <c r="E24" s="40" t="s">
        <v>39</v>
      </c>
      <c r="F24" s="41"/>
      <c r="G24" s="42"/>
      <c r="H24" s="43"/>
      <c r="I24" s="49"/>
      <c r="J24" s="45"/>
      <c r="K24" s="49"/>
      <c r="L24" s="46"/>
      <c r="M24" s="47"/>
      <c r="N24" s="48"/>
      <c r="O24" s="219"/>
      <c r="P24" s="219"/>
      <c r="Q24" s="219"/>
    </row>
    <row r="25" spans="1:17" ht="16" x14ac:dyDescent="0.15">
      <c r="A25" s="38"/>
      <c r="B25" s="39"/>
      <c r="C25" s="40"/>
      <c r="D25" s="40"/>
      <c r="E25" s="40" t="s">
        <v>40</v>
      </c>
      <c r="F25" s="41"/>
      <c r="G25" s="42"/>
      <c r="H25" s="43"/>
      <c r="I25" s="49"/>
      <c r="J25" s="45"/>
      <c r="K25" s="49"/>
      <c r="L25" s="46"/>
      <c r="M25" s="47"/>
      <c r="N25" s="48"/>
      <c r="O25" s="219"/>
      <c r="P25" s="219"/>
      <c r="Q25" s="219"/>
    </row>
    <row r="26" spans="1:17" ht="17" x14ac:dyDescent="0.15">
      <c r="A26" s="51"/>
      <c r="B26" s="28"/>
      <c r="C26" s="29" t="s">
        <v>41</v>
      </c>
      <c r="D26" s="29"/>
      <c r="E26" s="29"/>
      <c r="F26" s="30"/>
      <c r="G26" s="31"/>
      <c r="H26" s="32">
        <v>1</v>
      </c>
      <c r="I26" s="33" t="s">
        <v>24</v>
      </c>
      <c r="J26" s="34">
        <v>1</v>
      </c>
      <c r="K26" s="33" t="s">
        <v>25</v>
      </c>
      <c r="L26" s="35">
        <v>25000000</v>
      </c>
      <c r="M26" s="36">
        <f>L26*J26*H26</f>
        <v>25000000</v>
      </c>
      <c r="N26" s="37"/>
      <c r="O26" s="219"/>
      <c r="P26" s="219"/>
      <c r="Q26" s="219"/>
    </row>
    <row r="27" spans="1:17" ht="16" x14ac:dyDescent="0.15">
      <c r="A27" s="61"/>
      <c r="B27" s="54"/>
      <c r="C27" s="54"/>
      <c r="D27" s="54" t="s">
        <v>42</v>
      </c>
      <c r="E27" s="54"/>
      <c r="F27" s="55"/>
      <c r="G27" s="56"/>
      <c r="H27" s="57"/>
      <c r="I27" s="58"/>
      <c r="J27" s="59"/>
      <c r="K27" s="58"/>
      <c r="L27" s="60"/>
      <c r="M27" s="36"/>
      <c r="N27" s="37"/>
      <c r="O27" s="219"/>
      <c r="P27" s="219"/>
      <c r="Q27" s="219"/>
    </row>
    <row r="28" spans="1:17" ht="16" x14ac:dyDescent="0.15">
      <c r="A28" s="61"/>
      <c r="B28" s="64"/>
      <c r="C28" s="64"/>
      <c r="D28" s="64" t="s">
        <v>43</v>
      </c>
      <c r="E28" s="64"/>
      <c r="F28" s="55"/>
      <c r="G28" s="65"/>
      <c r="H28" s="57"/>
      <c r="I28" s="66"/>
      <c r="J28" s="66"/>
      <c r="K28" s="66"/>
      <c r="L28" s="60"/>
      <c r="M28" s="36"/>
      <c r="N28" s="37"/>
      <c r="O28" s="219"/>
      <c r="P28" s="219"/>
      <c r="Q28" s="219"/>
    </row>
    <row r="29" spans="1:17" ht="16" x14ac:dyDescent="0.15">
      <c r="A29" s="61"/>
      <c r="B29" s="70"/>
      <c r="C29" s="29"/>
      <c r="D29" s="29" t="s">
        <v>44</v>
      </c>
      <c r="E29" s="29"/>
      <c r="F29" s="30"/>
      <c r="G29" s="31"/>
      <c r="H29" s="67"/>
      <c r="I29" s="68"/>
      <c r="J29" s="67"/>
      <c r="K29" s="68"/>
      <c r="L29" s="69"/>
      <c r="M29" s="36"/>
      <c r="N29" s="37"/>
      <c r="O29" s="219"/>
      <c r="P29" s="219"/>
      <c r="Q29" s="219"/>
    </row>
    <row r="30" spans="1:17" ht="16" x14ac:dyDescent="0.15">
      <c r="A30" s="71"/>
      <c r="B30" s="28"/>
      <c r="C30" s="29"/>
      <c r="D30" s="29" t="s">
        <v>45</v>
      </c>
      <c r="E30" s="29"/>
      <c r="F30" s="30"/>
      <c r="G30" s="31"/>
      <c r="H30" s="32"/>
      <c r="I30" s="33"/>
      <c r="J30" s="34"/>
      <c r="K30" s="33"/>
      <c r="L30" s="35"/>
      <c r="M30" s="36"/>
      <c r="N30" s="37"/>
      <c r="O30" s="219"/>
      <c r="P30" s="219"/>
      <c r="Q30" s="219"/>
    </row>
    <row r="31" spans="1:17" ht="17" x14ac:dyDescent="0.15">
      <c r="A31" s="27"/>
      <c r="B31" s="28" t="s">
        <v>46</v>
      </c>
      <c r="C31" s="29"/>
      <c r="D31" s="29"/>
      <c r="E31" s="29"/>
      <c r="F31" s="30"/>
      <c r="G31" s="31"/>
      <c r="H31" s="32">
        <v>1</v>
      </c>
      <c r="I31" s="33" t="s">
        <v>24</v>
      </c>
      <c r="J31" s="34">
        <v>1</v>
      </c>
      <c r="K31" s="33" t="s">
        <v>25</v>
      </c>
      <c r="L31" s="35">
        <v>10000000</v>
      </c>
      <c r="M31" s="36">
        <f>L31*J31*H31</f>
        <v>10000000</v>
      </c>
      <c r="N31" s="37"/>
      <c r="O31" s="219"/>
      <c r="P31" s="219"/>
      <c r="Q31" s="219"/>
    </row>
    <row r="32" spans="1:17" ht="16" x14ac:dyDescent="0.15">
      <c r="A32" s="27"/>
      <c r="B32" s="28"/>
      <c r="C32" s="29"/>
      <c r="D32" s="29"/>
      <c r="E32" s="29"/>
      <c r="F32" s="30"/>
      <c r="G32" s="31"/>
      <c r="H32" s="32"/>
      <c r="I32" s="33"/>
      <c r="J32" s="34"/>
      <c r="K32" s="33"/>
      <c r="L32" s="35"/>
      <c r="M32" s="36"/>
      <c r="N32" s="37"/>
      <c r="O32" s="219"/>
      <c r="P32" s="219"/>
      <c r="Q32" s="219"/>
    </row>
    <row r="33" spans="1:17" ht="16" x14ac:dyDescent="0.15">
      <c r="A33" s="18" t="s">
        <v>47</v>
      </c>
      <c r="B33" s="19" t="s">
        <v>48</v>
      </c>
      <c r="C33" s="20"/>
      <c r="D33" s="20"/>
      <c r="E33" s="20"/>
      <c r="F33" s="21"/>
      <c r="G33" s="22"/>
      <c r="H33" s="23"/>
      <c r="I33" s="24"/>
      <c r="J33" s="23"/>
      <c r="K33" s="24"/>
      <c r="L33" s="25"/>
      <c r="M33" s="25"/>
      <c r="N33" s="26">
        <f>SUM(M34:M52)</f>
        <v>251000000</v>
      </c>
      <c r="O33" s="219"/>
      <c r="P33" s="219"/>
      <c r="Q33" s="219"/>
    </row>
    <row r="34" spans="1:17" ht="17" x14ac:dyDescent="0.15">
      <c r="A34" s="27"/>
      <c r="B34" s="28" t="s">
        <v>49</v>
      </c>
      <c r="C34" s="29"/>
      <c r="D34" s="29"/>
      <c r="E34" s="29"/>
      <c r="F34" s="30"/>
      <c r="G34" s="31" t="s">
        <v>51</v>
      </c>
      <c r="H34" s="32">
        <v>1</v>
      </c>
      <c r="I34" s="33" t="s">
        <v>50</v>
      </c>
      <c r="J34" s="34">
        <v>1</v>
      </c>
      <c r="K34" s="33" t="s">
        <v>25</v>
      </c>
      <c r="L34" s="72" t="s">
        <v>52</v>
      </c>
      <c r="M34" s="72" t="s">
        <v>52</v>
      </c>
      <c r="N34" s="37"/>
      <c r="O34" s="219"/>
      <c r="P34" s="219"/>
      <c r="Q34" s="219"/>
    </row>
    <row r="35" spans="1:17" ht="16" x14ac:dyDescent="0.15">
      <c r="A35" s="73"/>
      <c r="B35" s="28"/>
      <c r="C35" s="29" t="s">
        <v>53</v>
      </c>
      <c r="D35" s="29"/>
      <c r="E35" s="29"/>
      <c r="F35" s="74"/>
      <c r="G35" s="75"/>
      <c r="H35" s="32"/>
      <c r="I35" s="33"/>
      <c r="J35" s="34"/>
      <c r="K35" s="33"/>
      <c r="L35" s="76"/>
      <c r="M35" s="77"/>
      <c r="N35" s="78"/>
      <c r="O35" s="219"/>
      <c r="P35" s="219"/>
      <c r="Q35" s="219"/>
    </row>
    <row r="36" spans="1:17" ht="16" x14ac:dyDescent="0.15">
      <c r="A36" s="73"/>
      <c r="B36" s="28"/>
      <c r="C36" s="29" t="s">
        <v>54</v>
      </c>
      <c r="D36" s="29"/>
      <c r="E36" s="29"/>
      <c r="F36" s="74"/>
      <c r="G36" s="75"/>
      <c r="H36" s="32"/>
      <c r="I36" s="33"/>
      <c r="J36" s="34"/>
      <c r="K36" s="33"/>
      <c r="L36" s="76"/>
      <c r="M36" s="77"/>
      <c r="N36" s="78"/>
      <c r="O36" s="219"/>
      <c r="P36" s="219"/>
      <c r="Q36" s="219"/>
    </row>
    <row r="37" spans="1:17" ht="16" x14ac:dyDescent="0.15">
      <c r="A37" s="73"/>
      <c r="B37" s="28"/>
      <c r="C37" s="29" t="s">
        <v>55</v>
      </c>
      <c r="D37" s="29"/>
      <c r="E37" s="29"/>
      <c r="F37" s="74"/>
      <c r="G37" s="75"/>
      <c r="H37" s="32"/>
      <c r="I37" s="33"/>
      <c r="J37" s="34"/>
      <c r="K37" s="33"/>
      <c r="L37" s="76"/>
      <c r="M37" s="77"/>
      <c r="N37" s="78"/>
      <c r="O37" s="219"/>
      <c r="P37" s="219"/>
      <c r="Q37" s="219"/>
    </row>
    <row r="38" spans="1:17" ht="16" x14ac:dyDescent="0.15">
      <c r="A38" s="73"/>
      <c r="B38" s="28"/>
      <c r="C38" s="29" t="s">
        <v>56</v>
      </c>
      <c r="D38" s="29"/>
      <c r="E38" s="29"/>
      <c r="F38" s="74"/>
      <c r="G38" s="75"/>
      <c r="H38" s="32"/>
      <c r="I38" s="33"/>
      <c r="J38" s="34"/>
      <c r="K38" s="33"/>
      <c r="L38" s="76"/>
      <c r="M38" s="77"/>
      <c r="N38" s="78"/>
      <c r="O38" s="219"/>
      <c r="P38" s="219"/>
      <c r="Q38" s="219"/>
    </row>
    <row r="39" spans="1:17" ht="16" x14ac:dyDescent="0.15">
      <c r="A39" s="73"/>
      <c r="B39" s="28"/>
      <c r="C39" s="29" t="s">
        <v>57</v>
      </c>
      <c r="D39" s="29"/>
      <c r="E39" s="29"/>
      <c r="F39" s="74"/>
      <c r="G39" s="75"/>
      <c r="H39" s="32"/>
      <c r="I39" s="33"/>
      <c r="J39" s="34"/>
      <c r="K39" s="33"/>
      <c r="L39" s="76"/>
      <c r="M39" s="77"/>
      <c r="N39" s="78"/>
      <c r="O39" s="219"/>
      <c r="P39" s="219"/>
      <c r="Q39" s="219"/>
    </row>
    <row r="40" spans="1:17" ht="16" x14ac:dyDescent="0.15">
      <c r="A40" s="73"/>
      <c r="B40" s="28"/>
      <c r="C40" s="29" t="s">
        <v>58</v>
      </c>
      <c r="D40" s="29"/>
      <c r="E40" s="29"/>
      <c r="F40" s="74"/>
      <c r="G40" s="75"/>
      <c r="H40" s="32"/>
      <c r="I40" s="33"/>
      <c r="J40" s="34"/>
      <c r="K40" s="33"/>
      <c r="L40" s="76"/>
      <c r="M40" s="77"/>
      <c r="N40" s="78"/>
      <c r="O40" s="219"/>
      <c r="P40" s="219"/>
      <c r="Q40" s="219"/>
    </row>
    <row r="41" spans="1:17" ht="16" x14ac:dyDescent="0.15">
      <c r="A41" s="73"/>
      <c r="B41" s="80"/>
      <c r="C41" s="29" t="s">
        <v>59</v>
      </c>
      <c r="D41" s="29"/>
      <c r="E41" s="29"/>
      <c r="F41" s="74"/>
      <c r="G41" s="81"/>
      <c r="H41" s="32"/>
      <c r="I41" s="33"/>
      <c r="J41" s="34"/>
      <c r="K41" s="33"/>
      <c r="L41" s="76"/>
      <c r="M41" s="36"/>
      <c r="N41" s="37"/>
      <c r="O41" s="219"/>
      <c r="P41" s="219"/>
      <c r="Q41" s="219"/>
    </row>
    <row r="42" spans="1:17" ht="16" x14ac:dyDescent="0.15">
      <c r="A42" s="73"/>
      <c r="B42" s="80"/>
      <c r="C42" s="29" t="s">
        <v>60</v>
      </c>
      <c r="D42" s="29"/>
      <c r="E42" s="29"/>
      <c r="F42" s="74"/>
      <c r="G42" s="81"/>
      <c r="H42" s="32"/>
      <c r="I42" s="33"/>
      <c r="J42" s="34"/>
      <c r="K42" s="33"/>
      <c r="L42" s="76"/>
      <c r="M42" s="36"/>
      <c r="N42" s="37"/>
      <c r="O42" s="219"/>
      <c r="P42" s="219"/>
      <c r="Q42" s="219"/>
    </row>
    <row r="43" spans="1:17" ht="16" x14ac:dyDescent="0.15">
      <c r="A43" s="73"/>
      <c r="B43" s="80"/>
      <c r="C43" s="29" t="s">
        <v>61</v>
      </c>
      <c r="D43" s="29"/>
      <c r="E43" s="29"/>
      <c r="F43" s="74"/>
      <c r="G43" s="81"/>
      <c r="H43" s="32"/>
      <c r="I43" s="33"/>
      <c r="J43" s="34"/>
      <c r="K43" s="33"/>
      <c r="L43" s="76"/>
      <c r="M43" s="36"/>
      <c r="N43" s="37"/>
      <c r="O43" s="219"/>
      <c r="P43" s="219"/>
      <c r="Q43" s="219"/>
    </row>
    <row r="44" spans="1:17" ht="17" x14ac:dyDescent="0.15">
      <c r="A44" s="82"/>
      <c r="B44" s="83" t="s">
        <v>62</v>
      </c>
      <c r="C44" s="40"/>
      <c r="D44" s="40"/>
      <c r="E44" s="40"/>
      <c r="F44" s="84"/>
      <c r="G44" s="85"/>
      <c r="H44" s="45">
        <v>1</v>
      </c>
      <c r="I44" s="49" t="s">
        <v>24</v>
      </c>
      <c r="J44" s="45">
        <v>1</v>
      </c>
      <c r="K44" s="49" t="s">
        <v>25</v>
      </c>
      <c r="L44" s="86">
        <v>35000000</v>
      </c>
      <c r="M44" s="47">
        <f t="shared" ref="M44:M51" si="0">L44*J44*H44</f>
        <v>35000000</v>
      </c>
      <c r="N44" s="48"/>
      <c r="O44" s="219"/>
      <c r="P44" s="219"/>
      <c r="Q44" s="219"/>
    </row>
    <row r="45" spans="1:17" ht="17" x14ac:dyDescent="0.15">
      <c r="A45" s="82"/>
      <c r="B45" s="83" t="s">
        <v>63</v>
      </c>
      <c r="C45" s="40"/>
      <c r="D45" s="40"/>
      <c r="E45" s="40"/>
      <c r="F45" s="84"/>
      <c r="G45" s="85" t="s">
        <v>64</v>
      </c>
      <c r="H45" s="45">
        <v>1</v>
      </c>
      <c r="I45" s="49" t="s">
        <v>24</v>
      </c>
      <c r="J45" s="45">
        <v>1</v>
      </c>
      <c r="K45" s="49" t="s">
        <v>25</v>
      </c>
      <c r="L45" s="86">
        <v>60000000</v>
      </c>
      <c r="M45" s="47">
        <f t="shared" si="0"/>
        <v>60000000</v>
      </c>
      <c r="N45" s="48"/>
      <c r="O45" s="219"/>
      <c r="P45" s="219"/>
      <c r="Q45" s="219"/>
    </row>
    <row r="46" spans="1:17" ht="17" x14ac:dyDescent="0.15">
      <c r="A46" s="73"/>
      <c r="B46" s="80" t="s">
        <v>65</v>
      </c>
      <c r="C46" s="29"/>
      <c r="D46" s="29"/>
      <c r="E46" s="29"/>
      <c r="F46" s="74"/>
      <c r="G46" s="81"/>
      <c r="H46" s="32">
        <v>450</v>
      </c>
      <c r="I46" s="33" t="s">
        <v>66</v>
      </c>
      <c r="J46" s="34">
        <v>1</v>
      </c>
      <c r="K46" s="33" t="s">
        <v>67</v>
      </c>
      <c r="L46" s="76">
        <v>250000</v>
      </c>
      <c r="M46" s="36">
        <f t="shared" si="0"/>
        <v>112500000</v>
      </c>
      <c r="N46" s="37"/>
      <c r="O46" s="219"/>
      <c r="P46" s="219"/>
      <c r="Q46" s="219"/>
    </row>
    <row r="47" spans="1:17" ht="17" x14ac:dyDescent="0.15">
      <c r="A47" s="73"/>
      <c r="B47" s="80" t="s">
        <v>68</v>
      </c>
      <c r="C47" s="29"/>
      <c r="D47" s="29"/>
      <c r="E47" s="29"/>
      <c r="F47" s="74"/>
      <c r="G47" s="81"/>
      <c r="H47" s="32">
        <v>0</v>
      </c>
      <c r="I47" s="33" t="s">
        <v>24</v>
      </c>
      <c r="J47" s="34">
        <v>1</v>
      </c>
      <c r="K47" s="33" t="s">
        <v>25</v>
      </c>
      <c r="L47" s="76">
        <v>25000000</v>
      </c>
      <c r="M47" s="36">
        <f t="shared" si="0"/>
        <v>0</v>
      </c>
      <c r="N47" s="37"/>
      <c r="O47" s="219"/>
      <c r="P47" s="219"/>
      <c r="Q47" s="219"/>
    </row>
    <row r="48" spans="1:17" ht="17" x14ac:dyDescent="0.15">
      <c r="A48" s="73"/>
      <c r="B48" s="28" t="s">
        <v>69</v>
      </c>
      <c r="C48" s="29"/>
      <c r="D48" s="29"/>
      <c r="E48" s="29"/>
      <c r="F48" s="74"/>
      <c r="G48" s="81" t="s">
        <v>70</v>
      </c>
      <c r="H48" s="32">
        <v>1</v>
      </c>
      <c r="I48" s="33" t="s">
        <v>71</v>
      </c>
      <c r="J48" s="34">
        <v>1</v>
      </c>
      <c r="K48" s="33" t="s">
        <v>67</v>
      </c>
      <c r="L48" s="76">
        <v>15000000</v>
      </c>
      <c r="M48" s="36">
        <f t="shared" si="0"/>
        <v>15000000</v>
      </c>
      <c r="N48" s="37"/>
      <c r="O48" s="219"/>
      <c r="P48" s="219"/>
      <c r="Q48" s="219"/>
    </row>
    <row r="49" spans="1:17" ht="17" x14ac:dyDescent="0.15">
      <c r="A49" s="73"/>
      <c r="B49" s="28"/>
      <c r="C49" s="29" t="s">
        <v>72</v>
      </c>
      <c r="D49" s="29"/>
      <c r="E49" s="29"/>
      <c r="F49" s="74"/>
      <c r="G49" s="75"/>
      <c r="H49" s="32">
        <v>1</v>
      </c>
      <c r="I49" s="33" t="s">
        <v>66</v>
      </c>
      <c r="J49" s="34">
        <v>1</v>
      </c>
      <c r="K49" s="33" t="s">
        <v>67</v>
      </c>
      <c r="L49" s="76">
        <v>3500000</v>
      </c>
      <c r="M49" s="36">
        <f t="shared" si="0"/>
        <v>3500000</v>
      </c>
      <c r="N49" s="37"/>
      <c r="O49" s="219"/>
      <c r="P49" s="219"/>
      <c r="Q49" s="219"/>
    </row>
    <row r="50" spans="1:17" ht="17" x14ac:dyDescent="0.15">
      <c r="A50" s="87"/>
      <c r="B50" s="88" t="s">
        <v>73</v>
      </c>
      <c r="C50" s="89"/>
      <c r="D50" s="89"/>
      <c r="E50" s="89"/>
      <c r="F50" s="74"/>
      <c r="G50" s="75" t="s">
        <v>74</v>
      </c>
      <c r="H50" s="67">
        <v>5</v>
      </c>
      <c r="I50" s="68" t="s">
        <v>71</v>
      </c>
      <c r="J50" s="67">
        <v>1</v>
      </c>
      <c r="K50" s="68" t="s">
        <v>75</v>
      </c>
      <c r="L50" s="77">
        <v>3000000</v>
      </c>
      <c r="M50" s="36">
        <f t="shared" si="0"/>
        <v>15000000</v>
      </c>
      <c r="N50" s="37"/>
      <c r="O50" s="219"/>
      <c r="P50" s="219"/>
      <c r="Q50" s="219"/>
    </row>
    <row r="51" spans="1:17" ht="17" x14ac:dyDescent="0.15">
      <c r="A51" s="87"/>
      <c r="B51" s="88" t="s">
        <v>76</v>
      </c>
      <c r="C51" s="89"/>
      <c r="D51" s="89"/>
      <c r="E51" s="89"/>
      <c r="F51" s="74"/>
      <c r="G51" s="75"/>
      <c r="H51" s="67">
        <v>2</v>
      </c>
      <c r="I51" s="68" t="s">
        <v>71</v>
      </c>
      <c r="J51" s="67">
        <v>1</v>
      </c>
      <c r="K51" s="68" t="s">
        <v>67</v>
      </c>
      <c r="L51" s="77">
        <v>5000000</v>
      </c>
      <c r="M51" s="36">
        <f t="shared" si="0"/>
        <v>10000000</v>
      </c>
      <c r="N51" s="37"/>
      <c r="O51" s="219"/>
      <c r="P51" s="219"/>
      <c r="Q51" s="219"/>
    </row>
    <row r="52" spans="1:17" ht="16" x14ac:dyDescent="0.15">
      <c r="A52" s="27"/>
      <c r="B52" s="28"/>
      <c r="C52" s="29"/>
      <c r="D52" s="29"/>
      <c r="E52" s="29"/>
      <c r="F52" s="30"/>
      <c r="G52" s="65"/>
      <c r="H52" s="32"/>
      <c r="I52" s="33"/>
      <c r="J52" s="34"/>
      <c r="K52" s="33"/>
      <c r="L52" s="35"/>
      <c r="M52" s="36"/>
      <c r="N52" s="37"/>
      <c r="O52" s="219"/>
      <c r="P52" s="219"/>
      <c r="Q52" s="219"/>
    </row>
    <row r="53" spans="1:17" ht="16" x14ac:dyDescent="0.15">
      <c r="A53" s="18" t="s">
        <v>77</v>
      </c>
      <c r="B53" s="19" t="s">
        <v>78</v>
      </c>
      <c r="C53" s="20"/>
      <c r="D53" s="20"/>
      <c r="E53" s="20"/>
      <c r="F53" s="21"/>
      <c r="G53" s="22"/>
      <c r="H53" s="23"/>
      <c r="I53" s="24"/>
      <c r="J53" s="23"/>
      <c r="K53" s="24"/>
      <c r="L53" s="25"/>
      <c r="M53" s="25"/>
      <c r="N53" s="26">
        <f>SUM(M54:M202)</f>
        <v>3567525000</v>
      </c>
      <c r="O53" s="219"/>
      <c r="P53" s="219"/>
      <c r="Q53" s="219"/>
    </row>
    <row r="54" spans="1:17" ht="16" x14ac:dyDescent="0.15">
      <c r="A54" s="27"/>
      <c r="B54" s="90" t="s">
        <v>6</v>
      </c>
      <c r="C54" s="91"/>
      <c r="D54" s="92"/>
      <c r="E54" s="92"/>
      <c r="F54" s="30"/>
      <c r="G54" s="65"/>
      <c r="H54" s="93"/>
      <c r="I54" s="33"/>
      <c r="J54" s="94"/>
      <c r="K54" s="33"/>
      <c r="L54" s="36"/>
      <c r="M54" s="36"/>
      <c r="N54" s="37"/>
      <c r="O54" s="219"/>
      <c r="P54" s="219"/>
      <c r="Q54" s="219"/>
    </row>
    <row r="55" spans="1:17" ht="17" x14ac:dyDescent="0.15">
      <c r="A55" s="27"/>
      <c r="B55" s="53" t="s">
        <v>79</v>
      </c>
      <c r="C55" s="92"/>
      <c r="D55" s="92"/>
      <c r="E55" s="92"/>
      <c r="F55" s="30"/>
      <c r="G55" s="65" t="s">
        <v>80</v>
      </c>
      <c r="H55" s="93">
        <v>1</v>
      </c>
      <c r="I55" s="33" t="s">
        <v>81</v>
      </c>
      <c r="J55" s="94">
        <v>1</v>
      </c>
      <c r="K55" s="33" t="s">
        <v>67</v>
      </c>
      <c r="L55" s="72" t="s">
        <v>52</v>
      </c>
      <c r="M55" s="72" t="s">
        <v>52</v>
      </c>
      <c r="N55" s="37"/>
      <c r="O55" s="219"/>
      <c r="P55" s="219"/>
      <c r="Q55" s="219"/>
    </row>
    <row r="56" spans="1:17" ht="17" x14ac:dyDescent="0.15">
      <c r="A56" s="27"/>
      <c r="B56" s="53"/>
      <c r="C56" s="92" t="s">
        <v>82</v>
      </c>
      <c r="D56" s="92"/>
      <c r="E56" s="92"/>
      <c r="F56" s="30"/>
      <c r="G56" s="65"/>
      <c r="H56" s="93">
        <v>1</v>
      </c>
      <c r="I56" s="33" t="s">
        <v>81</v>
      </c>
      <c r="J56" s="94">
        <v>1</v>
      </c>
      <c r="K56" s="33" t="s">
        <v>67</v>
      </c>
      <c r="L56" s="72" t="s">
        <v>52</v>
      </c>
      <c r="M56" s="72" t="s">
        <v>52</v>
      </c>
      <c r="N56" s="37"/>
      <c r="O56" s="219"/>
      <c r="P56" s="219"/>
      <c r="Q56" s="219"/>
    </row>
    <row r="57" spans="1:17" ht="17" x14ac:dyDescent="0.15">
      <c r="A57" s="27"/>
      <c r="B57" s="53"/>
      <c r="C57" s="92" t="s">
        <v>83</v>
      </c>
      <c r="D57" s="92"/>
      <c r="E57" s="92"/>
      <c r="F57" s="30"/>
      <c r="G57" s="65"/>
      <c r="H57" s="93">
        <v>1</v>
      </c>
      <c r="I57" s="33" t="s">
        <v>81</v>
      </c>
      <c r="J57" s="94">
        <v>1</v>
      </c>
      <c r="K57" s="33" t="s">
        <v>67</v>
      </c>
      <c r="L57" s="72" t="s">
        <v>52</v>
      </c>
      <c r="M57" s="72" t="s">
        <v>52</v>
      </c>
      <c r="N57" s="37"/>
      <c r="O57" s="219"/>
      <c r="P57" s="219"/>
      <c r="Q57" s="219"/>
    </row>
    <row r="58" spans="1:17" ht="17" x14ac:dyDescent="0.15">
      <c r="A58" s="27"/>
      <c r="B58" s="53"/>
      <c r="C58" s="92" t="s">
        <v>84</v>
      </c>
      <c r="D58" s="92"/>
      <c r="E58" s="92"/>
      <c r="F58" s="30"/>
      <c r="G58" s="65"/>
      <c r="H58" s="93">
        <v>1</v>
      </c>
      <c r="I58" s="33" t="s">
        <v>81</v>
      </c>
      <c r="J58" s="94">
        <v>1</v>
      </c>
      <c r="K58" s="33" t="s">
        <v>67</v>
      </c>
      <c r="L58" s="72" t="s">
        <v>52</v>
      </c>
      <c r="M58" s="72" t="s">
        <v>52</v>
      </c>
      <c r="N58" s="37"/>
      <c r="O58" s="219"/>
      <c r="P58" s="219"/>
      <c r="Q58" s="219"/>
    </row>
    <row r="59" spans="1:17" ht="17" x14ac:dyDescent="0.15">
      <c r="A59" s="27"/>
      <c r="B59" s="53"/>
      <c r="C59" s="92" t="s">
        <v>85</v>
      </c>
      <c r="D59" s="92"/>
      <c r="E59" s="92"/>
      <c r="F59" s="30"/>
      <c r="G59" s="65"/>
      <c r="H59" s="93">
        <v>1</v>
      </c>
      <c r="I59" s="33" t="s">
        <v>81</v>
      </c>
      <c r="J59" s="94">
        <v>1</v>
      </c>
      <c r="K59" s="33" t="s">
        <v>67</v>
      </c>
      <c r="L59" s="72" t="s">
        <v>52</v>
      </c>
      <c r="M59" s="72" t="s">
        <v>52</v>
      </c>
      <c r="N59" s="37"/>
      <c r="O59" s="219"/>
      <c r="P59" s="219"/>
      <c r="Q59" s="219"/>
    </row>
    <row r="60" spans="1:17" ht="17" x14ac:dyDescent="0.15">
      <c r="A60" s="27"/>
      <c r="B60" s="53"/>
      <c r="C60" s="92" t="s">
        <v>86</v>
      </c>
      <c r="D60" s="92"/>
      <c r="E60" s="92"/>
      <c r="F60" s="30"/>
      <c r="G60" s="65"/>
      <c r="H60" s="93">
        <v>3</v>
      </c>
      <c r="I60" s="33" t="s">
        <v>87</v>
      </c>
      <c r="J60" s="94">
        <v>1</v>
      </c>
      <c r="K60" s="33" t="s">
        <v>67</v>
      </c>
      <c r="L60" s="72" t="s">
        <v>52</v>
      </c>
      <c r="M60" s="72" t="s">
        <v>52</v>
      </c>
      <c r="N60" s="37"/>
      <c r="O60" s="219"/>
      <c r="P60" s="219"/>
      <c r="Q60" s="219"/>
    </row>
    <row r="61" spans="1:17" ht="16" x14ac:dyDescent="0.15">
      <c r="A61" s="27"/>
      <c r="B61" s="53"/>
      <c r="C61" s="91"/>
      <c r="D61" s="92"/>
      <c r="E61" s="92"/>
      <c r="F61" s="30"/>
      <c r="G61" s="65"/>
      <c r="H61" s="93"/>
      <c r="I61" s="33"/>
      <c r="J61" s="94"/>
      <c r="K61" s="33"/>
      <c r="L61" s="36"/>
      <c r="M61" s="36"/>
      <c r="N61" s="37"/>
      <c r="O61" s="219"/>
      <c r="P61" s="219"/>
      <c r="Q61" s="219"/>
    </row>
    <row r="62" spans="1:17" ht="16" x14ac:dyDescent="0.15">
      <c r="A62" s="27"/>
      <c r="B62" s="90" t="s">
        <v>88</v>
      </c>
      <c r="C62" s="91"/>
      <c r="D62" s="92"/>
      <c r="E62" s="92"/>
      <c r="F62" s="30"/>
      <c r="G62" s="65"/>
      <c r="H62" s="93"/>
      <c r="I62" s="33"/>
      <c r="J62" s="94"/>
      <c r="K62" s="33"/>
      <c r="L62" s="36"/>
      <c r="M62" s="36"/>
      <c r="N62" s="37"/>
      <c r="O62" s="219"/>
      <c r="P62" s="219"/>
      <c r="Q62" s="219"/>
    </row>
    <row r="63" spans="1:17" ht="16" x14ac:dyDescent="0.15">
      <c r="A63" s="27"/>
      <c r="B63" s="53"/>
      <c r="C63" s="91" t="s">
        <v>89</v>
      </c>
      <c r="D63" s="92"/>
      <c r="E63" s="92"/>
      <c r="F63" s="30"/>
      <c r="G63" s="65"/>
      <c r="H63" s="93"/>
      <c r="I63" s="33"/>
      <c r="J63" s="94"/>
      <c r="K63" s="33"/>
      <c r="L63" s="36"/>
      <c r="M63" s="36"/>
      <c r="N63" s="37"/>
      <c r="O63" s="219"/>
      <c r="P63" s="219"/>
      <c r="Q63" s="219"/>
    </row>
    <row r="64" spans="1:17" ht="17" x14ac:dyDescent="0.15">
      <c r="A64" s="27"/>
      <c r="B64" s="53"/>
      <c r="C64" s="91"/>
      <c r="D64" s="92" t="s">
        <v>90</v>
      </c>
      <c r="E64" s="92"/>
      <c r="F64" s="30"/>
      <c r="G64" s="65" t="s">
        <v>91</v>
      </c>
      <c r="H64" s="93">
        <v>3</v>
      </c>
      <c r="I64" s="33" t="s">
        <v>71</v>
      </c>
      <c r="J64" s="94">
        <v>1</v>
      </c>
      <c r="K64" s="33" t="s">
        <v>67</v>
      </c>
      <c r="L64" s="36">
        <v>1750000</v>
      </c>
      <c r="M64" s="36">
        <f t="shared" ref="M64:M82" si="1">L64*J64*H64</f>
        <v>5250000</v>
      </c>
      <c r="N64" s="37"/>
      <c r="O64" s="219"/>
      <c r="P64" s="219"/>
      <c r="Q64" s="219"/>
    </row>
    <row r="65" spans="1:17" ht="17" x14ac:dyDescent="0.15">
      <c r="A65" s="27"/>
      <c r="B65" s="53"/>
      <c r="C65" s="91"/>
      <c r="D65" s="92"/>
      <c r="E65" s="92" t="s">
        <v>92</v>
      </c>
      <c r="F65" s="30"/>
      <c r="G65" s="65" t="s">
        <v>93</v>
      </c>
      <c r="H65" s="93">
        <v>3</v>
      </c>
      <c r="I65" s="33" t="s">
        <v>24</v>
      </c>
      <c r="J65" s="94">
        <v>1</v>
      </c>
      <c r="K65" s="33" t="s">
        <v>67</v>
      </c>
      <c r="L65" s="36">
        <v>1250000</v>
      </c>
      <c r="M65" s="36">
        <f t="shared" si="1"/>
        <v>3750000</v>
      </c>
      <c r="N65" s="37"/>
      <c r="O65" s="219"/>
      <c r="P65" s="219"/>
      <c r="Q65" s="219"/>
    </row>
    <row r="66" spans="1:17" ht="17" x14ac:dyDescent="0.15">
      <c r="A66" s="27"/>
      <c r="B66" s="53"/>
      <c r="C66" s="91"/>
      <c r="D66" s="92"/>
      <c r="E66" s="92" t="s">
        <v>94</v>
      </c>
      <c r="F66" s="30"/>
      <c r="G66" s="65"/>
      <c r="H66" s="93">
        <v>3</v>
      </c>
      <c r="I66" s="33" t="s">
        <v>71</v>
      </c>
      <c r="J66" s="94">
        <v>1</v>
      </c>
      <c r="K66" s="33" t="s">
        <v>67</v>
      </c>
      <c r="L66" s="36">
        <v>165000</v>
      </c>
      <c r="M66" s="36">
        <f t="shared" si="1"/>
        <v>495000</v>
      </c>
      <c r="N66" s="37"/>
      <c r="O66" s="219"/>
      <c r="P66" s="219"/>
      <c r="Q66" s="219"/>
    </row>
    <row r="67" spans="1:17" ht="17" x14ac:dyDescent="0.15">
      <c r="A67" s="27"/>
      <c r="B67" s="53"/>
      <c r="C67" s="91"/>
      <c r="D67" s="92"/>
      <c r="E67" s="92" t="s">
        <v>95</v>
      </c>
      <c r="F67" s="30"/>
      <c r="G67" s="65" t="s">
        <v>96</v>
      </c>
      <c r="H67" s="93">
        <v>6</v>
      </c>
      <c r="I67" s="33" t="s">
        <v>71</v>
      </c>
      <c r="J67" s="94">
        <v>1</v>
      </c>
      <c r="K67" s="33" t="s">
        <v>67</v>
      </c>
      <c r="L67" s="36">
        <v>25000</v>
      </c>
      <c r="M67" s="36">
        <f t="shared" si="1"/>
        <v>150000</v>
      </c>
      <c r="N67" s="37"/>
      <c r="O67" s="219"/>
      <c r="P67" s="219"/>
      <c r="Q67" s="219"/>
    </row>
    <row r="68" spans="1:17" ht="17" x14ac:dyDescent="0.15">
      <c r="A68" s="27"/>
      <c r="B68" s="53"/>
      <c r="C68" s="91"/>
      <c r="D68" s="92"/>
      <c r="E68" s="92" t="s">
        <v>97</v>
      </c>
      <c r="F68" s="30"/>
      <c r="G68" s="65"/>
      <c r="H68" s="93">
        <v>3</v>
      </c>
      <c r="I68" s="33" t="s">
        <v>71</v>
      </c>
      <c r="J68" s="94">
        <v>1</v>
      </c>
      <c r="K68" s="33" t="s">
        <v>67</v>
      </c>
      <c r="L68" s="36">
        <v>750000</v>
      </c>
      <c r="M68" s="36">
        <f t="shared" si="1"/>
        <v>2250000</v>
      </c>
      <c r="N68" s="37"/>
      <c r="O68" s="219"/>
      <c r="P68" s="219"/>
      <c r="Q68" s="219"/>
    </row>
    <row r="69" spans="1:17" ht="17" x14ac:dyDescent="0.15">
      <c r="A69" s="27"/>
      <c r="B69" s="53"/>
      <c r="C69" s="91"/>
      <c r="D69" s="92" t="s">
        <v>98</v>
      </c>
      <c r="E69" s="92"/>
      <c r="F69" s="30"/>
      <c r="G69" s="65" t="s">
        <v>91</v>
      </c>
      <c r="H69" s="93">
        <v>4</v>
      </c>
      <c r="I69" s="33" t="s">
        <v>71</v>
      </c>
      <c r="J69" s="94">
        <v>1</v>
      </c>
      <c r="K69" s="33" t="s">
        <v>67</v>
      </c>
      <c r="L69" s="36">
        <v>1750000</v>
      </c>
      <c r="M69" s="36">
        <f t="shared" si="1"/>
        <v>7000000</v>
      </c>
      <c r="N69" s="37"/>
      <c r="O69" s="219"/>
      <c r="P69" s="219"/>
      <c r="Q69" s="219"/>
    </row>
    <row r="70" spans="1:17" ht="17" x14ac:dyDescent="0.15">
      <c r="A70" s="27"/>
      <c r="B70" s="53"/>
      <c r="C70" s="91"/>
      <c r="D70" s="92"/>
      <c r="E70" s="92" t="s">
        <v>92</v>
      </c>
      <c r="F70" s="30"/>
      <c r="G70" s="65" t="s">
        <v>93</v>
      </c>
      <c r="H70" s="93">
        <v>3</v>
      </c>
      <c r="I70" s="33" t="s">
        <v>24</v>
      </c>
      <c r="J70" s="94">
        <v>1</v>
      </c>
      <c r="K70" s="33" t="s">
        <v>67</v>
      </c>
      <c r="L70" s="36">
        <v>1250000</v>
      </c>
      <c r="M70" s="36">
        <f t="shared" si="1"/>
        <v>3750000</v>
      </c>
      <c r="N70" s="37"/>
      <c r="O70" s="219"/>
      <c r="P70" s="219"/>
      <c r="Q70" s="219"/>
    </row>
    <row r="71" spans="1:17" ht="17" x14ac:dyDescent="0.15">
      <c r="A71" s="27"/>
      <c r="B71" s="53"/>
      <c r="C71" s="91"/>
      <c r="D71" s="92"/>
      <c r="E71" s="92" t="s">
        <v>95</v>
      </c>
      <c r="F71" s="30"/>
      <c r="G71" s="65" t="s">
        <v>96</v>
      </c>
      <c r="H71" s="93">
        <v>12</v>
      </c>
      <c r="I71" s="33" t="s">
        <v>71</v>
      </c>
      <c r="J71" s="94">
        <v>1</v>
      </c>
      <c r="K71" s="33" t="s">
        <v>67</v>
      </c>
      <c r="L71" s="36">
        <v>25000</v>
      </c>
      <c r="M71" s="36">
        <f t="shared" si="1"/>
        <v>300000</v>
      </c>
      <c r="N71" s="37"/>
      <c r="O71" s="219"/>
      <c r="P71" s="219"/>
      <c r="Q71" s="219"/>
    </row>
    <row r="72" spans="1:17" ht="17" x14ac:dyDescent="0.15">
      <c r="A72" s="27"/>
      <c r="B72" s="53"/>
      <c r="C72" s="91"/>
      <c r="D72" s="92"/>
      <c r="E72" s="92" t="s">
        <v>97</v>
      </c>
      <c r="F72" s="30"/>
      <c r="G72" s="65"/>
      <c r="H72" s="93">
        <v>4</v>
      </c>
      <c r="I72" s="33" t="s">
        <v>71</v>
      </c>
      <c r="J72" s="94">
        <v>1</v>
      </c>
      <c r="K72" s="33" t="s">
        <v>67</v>
      </c>
      <c r="L72" s="36">
        <v>750000</v>
      </c>
      <c r="M72" s="36">
        <f t="shared" si="1"/>
        <v>3000000</v>
      </c>
      <c r="N72" s="37"/>
      <c r="O72" s="219"/>
      <c r="P72" s="219"/>
      <c r="Q72" s="219"/>
    </row>
    <row r="73" spans="1:17" ht="17" x14ac:dyDescent="0.15">
      <c r="A73" s="38"/>
      <c r="B73" s="95"/>
      <c r="C73" s="96"/>
      <c r="D73" s="97" t="s">
        <v>99</v>
      </c>
      <c r="E73" s="97"/>
      <c r="F73" s="98"/>
      <c r="G73" s="50" t="s">
        <v>91</v>
      </c>
      <c r="H73" s="99">
        <v>2</v>
      </c>
      <c r="I73" s="49" t="s">
        <v>71</v>
      </c>
      <c r="J73" s="100">
        <v>1</v>
      </c>
      <c r="K73" s="49" t="s">
        <v>67</v>
      </c>
      <c r="L73" s="47">
        <v>1750000</v>
      </c>
      <c r="M73" s="47">
        <f t="shared" si="1"/>
        <v>3500000</v>
      </c>
      <c r="N73" s="48"/>
      <c r="O73" s="219"/>
      <c r="P73" s="219"/>
      <c r="Q73" s="219"/>
    </row>
    <row r="74" spans="1:17" ht="17" x14ac:dyDescent="0.15">
      <c r="A74" s="38"/>
      <c r="B74" s="95"/>
      <c r="C74" s="96"/>
      <c r="D74" s="97"/>
      <c r="E74" s="97" t="s">
        <v>94</v>
      </c>
      <c r="F74" s="98"/>
      <c r="G74" s="50"/>
      <c r="H74" s="99">
        <v>2</v>
      </c>
      <c r="I74" s="49" t="s">
        <v>71</v>
      </c>
      <c r="J74" s="100">
        <v>1</v>
      </c>
      <c r="K74" s="49" t="s">
        <v>67</v>
      </c>
      <c r="L74" s="47">
        <v>165000</v>
      </c>
      <c r="M74" s="47">
        <f t="shared" si="1"/>
        <v>330000</v>
      </c>
      <c r="N74" s="48"/>
      <c r="O74" s="219"/>
      <c r="P74" s="219"/>
      <c r="Q74" s="219"/>
    </row>
    <row r="75" spans="1:17" ht="17" x14ac:dyDescent="0.15">
      <c r="A75" s="38"/>
      <c r="B75" s="95"/>
      <c r="C75" s="96"/>
      <c r="D75" s="101"/>
      <c r="E75" s="101" t="s">
        <v>97</v>
      </c>
      <c r="F75" s="84"/>
      <c r="G75" s="85"/>
      <c r="H75" s="43">
        <v>2</v>
      </c>
      <c r="I75" s="44" t="s">
        <v>71</v>
      </c>
      <c r="J75" s="45">
        <v>1</v>
      </c>
      <c r="K75" s="44" t="s">
        <v>67</v>
      </c>
      <c r="L75" s="102">
        <v>750000</v>
      </c>
      <c r="M75" s="102">
        <f t="shared" si="1"/>
        <v>1500000</v>
      </c>
      <c r="N75" s="48"/>
      <c r="O75" s="219"/>
      <c r="P75" s="219"/>
      <c r="Q75" s="219"/>
    </row>
    <row r="76" spans="1:17" ht="17" x14ac:dyDescent="0.15">
      <c r="A76" s="27"/>
      <c r="B76" s="53"/>
      <c r="C76" s="91"/>
      <c r="D76" s="92" t="s">
        <v>100</v>
      </c>
      <c r="E76" s="92"/>
      <c r="F76" s="30"/>
      <c r="G76" s="65" t="s">
        <v>101</v>
      </c>
      <c r="H76" s="93">
        <v>10</v>
      </c>
      <c r="I76" s="33" t="s">
        <v>71</v>
      </c>
      <c r="J76" s="94">
        <v>1</v>
      </c>
      <c r="K76" s="33" t="s">
        <v>67</v>
      </c>
      <c r="L76" s="36">
        <v>3000000</v>
      </c>
      <c r="M76" s="36">
        <f t="shared" si="1"/>
        <v>30000000</v>
      </c>
      <c r="N76" s="37"/>
      <c r="O76" s="219"/>
      <c r="P76" s="219"/>
      <c r="Q76" s="219"/>
    </row>
    <row r="77" spans="1:17" ht="17" x14ac:dyDescent="0.15">
      <c r="A77" s="27"/>
      <c r="B77" s="53"/>
      <c r="C77" s="91"/>
      <c r="D77" s="92" t="s">
        <v>102</v>
      </c>
      <c r="E77" s="92"/>
      <c r="F77" s="30"/>
      <c r="G77" s="65" t="s">
        <v>103</v>
      </c>
      <c r="H77" s="93">
        <v>1</v>
      </c>
      <c r="I77" s="33" t="s">
        <v>71</v>
      </c>
      <c r="J77" s="94">
        <v>1</v>
      </c>
      <c r="K77" s="33" t="s">
        <v>67</v>
      </c>
      <c r="L77" s="36">
        <v>9500000</v>
      </c>
      <c r="M77" s="36">
        <f t="shared" si="1"/>
        <v>9500000</v>
      </c>
      <c r="N77" s="37"/>
      <c r="O77" s="219"/>
      <c r="P77" s="219"/>
      <c r="Q77" s="219"/>
    </row>
    <row r="78" spans="1:17" ht="17" x14ac:dyDescent="0.15">
      <c r="A78" s="38"/>
      <c r="B78" s="103"/>
      <c r="C78" s="104"/>
      <c r="D78" s="101" t="s">
        <v>102</v>
      </c>
      <c r="E78" s="101"/>
      <c r="F78" s="98"/>
      <c r="G78" s="50" t="s">
        <v>104</v>
      </c>
      <c r="H78" s="43">
        <v>1</v>
      </c>
      <c r="I78" s="44" t="s">
        <v>71</v>
      </c>
      <c r="J78" s="45">
        <v>1</v>
      </c>
      <c r="K78" s="44" t="s">
        <v>67</v>
      </c>
      <c r="L78" s="102">
        <v>26000000</v>
      </c>
      <c r="M78" s="102">
        <f t="shared" si="1"/>
        <v>26000000</v>
      </c>
      <c r="N78" s="48"/>
      <c r="O78" s="219"/>
      <c r="P78" s="219"/>
      <c r="Q78" s="219"/>
    </row>
    <row r="79" spans="1:17" ht="17" x14ac:dyDescent="0.15">
      <c r="A79" s="27"/>
      <c r="B79" s="53"/>
      <c r="C79" s="91"/>
      <c r="D79" s="92" t="s">
        <v>105</v>
      </c>
      <c r="E79" s="92"/>
      <c r="F79" s="30"/>
      <c r="G79" s="65" t="s">
        <v>106</v>
      </c>
      <c r="H79" s="93">
        <v>80</v>
      </c>
      <c r="I79" s="33" t="s">
        <v>71</v>
      </c>
      <c r="J79" s="94">
        <v>1</v>
      </c>
      <c r="K79" s="33" t="s">
        <v>67</v>
      </c>
      <c r="L79" s="36">
        <v>550000</v>
      </c>
      <c r="M79" s="36">
        <f t="shared" si="1"/>
        <v>44000000</v>
      </c>
      <c r="N79" s="37"/>
      <c r="O79" s="219"/>
      <c r="P79" s="219"/>
      <c r="Q79" s="219"/>
    </row>
    <row r="80" spans="1:17" ht="17" x14ac:dyDescent="0.15">
      <c r="A80" s="27"/>
      <c r="B80" s="53"/>
      <c r="C80" s="91"/>
      <c r="D80" s="92" t="s">
        <v>107</v>
      </c>
      <c r="E80" s="92"/>
      <c r="F80" s="30"/>
      <c r="G80" s="65"/>
      <c r="H80" s="93">
        <v>1</v>
      </c>
      <c r="I80" s="33" t="s">
        <v>71</v>
      </c>
      <c r="J80" s="94">
        <v>1</v>
      </c>
      <c r="K80" s="33" t="s">
        <v>67</v>
      </c>
      <c r="L80" s="36">
        <v>5000000</v>
      </c>
      <c r="M80" s="36">
        <f t="shared" si="1"/>
        <v>5000000</v>
      </c>
      <c r="N80" s="37"/>
      <c r="O80" s="219"/>
      <c r="P80" s="219"/>
      <c r="Q80" s="219"/>
    </row>
    <row r="81" spans="1:17" ht="17" x14ac:dyDescent="0.15">
      <c r="A81" s="38"/>
      <c r="B81" s="95"/>
      <c r="C81" s="96"/>
      <c r="D81" s="97" t="s">
        <v>108</v>
      </c>
      <c r="E81" s="97"/>
      <c r="F81" s="98"/>
      <c r="G81" s="50"/>
      <c r="H81" s="99">
        <v>15</v>
      </c>
      <c r="I81" s="49" t="s">
        <v>71</v>
      </c>
      <c r="J81" s="100">
        <v>1</v>
      </c>
      <c r="K81" s="49" t="s">
        <v>67</v>
      </c>
      <c r="L81" s="47">
        <v>2350000</v>
      </c>
      <c r="M81" s="47">
        <f t="shared" si="1"/>
        <v>35250000</v>
      </c>
      <c r="N81" s="48"/>
      <c r="O81" s="219"/>
      <c r="P81" s="219"/>
      <c r="Q81" s="219"/>
    </row>
    <row r="82" spans="1:17" ht="34" x14ac:dyDescent="0.15">
      <c r="A82" s="38"/>
      <c r="B82" s="95"/>
      <c r="C82" s="96"/>
      <c r="D82" s="97" t="s">
        <v>109</v>
      </c>
      <c r="E82" s="97"/>
      <c r="F82" s="98"/>
      <c r="G82" s="105" t="s">
        <v>110</v>
      </c>
      <c r="H82" s="99">
        <v>1</v>
      </c>
      <c r="I82" s="49" t="s">
        <v>71</v>
      </c>
      <c r="J82" s="100">
        <v>1</v>
      </c>
      <c r="K82" s="49" t="s">
        <v>67</v>
      </c>
      <c r="L82" s="47">
        <v>6500000</v>
      </c>
      <c r="M82" s="47">
        <f t="shared" si="1"/>
        <v>6500000</v>
      </c>
      <c r="N82" s="48"/>
      <c r="O82" s="219"/>
      <c r="P82" s="219"/>
      <c r="Q82" s="219"/>
    </row>
    <row r="83" spans="1:17" ht="16" x14ac:dyDescent="0.15">
      <c r="A83" s="38"/>
      <c r="B83" s="95"/>
      <c r="C83" s="96"/>
      <c r="D83" s="101" t="s">
        <v>111</v>
      </c>
      <c r="E83" s="97"/>
      <c r="F83" s="98"/>
      <c r="G83" s="85"/>
      <c r="H83" s="43"/>
      <c r="I83" s="44"/>
      <c r="J83" s="45"/>
      <c r="K83" s="44"/>
      <c r="L83" s="47"/>
      <c r="M83" s="47"/>
      <c r="N83" s="48"/>
      <c r="O83" s="219"/>
      <c r="P83" s="219"/>
      <c r="Q83" s="219"/>
    </row>
    <row r="84" spans="1:17" ht="17" x14ac:dyDescent="0.15">
      <c r="A84" s="38"/>
      <c r="B84" s="95"/>
      <c r="C84" s="96"/>
      <c r="D84" s="101"/>
      <c r="E84" s="97" t="s">
        <v>112</v>
      </c>
      <c r="F84" s="98"/>
      <c r="G84" s="85" t="s">
        <v>113</v>
      </c>
      <c r="H84" s="43">
        <v>2</v>
      </c>
      <c r="I84" s="44" t="s">
        <v>24</v>
      </c>
      <c r="J84" s="45">
        <v>1</v>
      </c>
      <c r="K84" s="44" t="s">
        <v>67</v>
      </c>
      <c r="L84" s="47">
        <v>850000</v>
      </c>
      <c r="M84" s="47">
        <f t="shared" ref="M84:M89" si="2">L84*J84*H84</f>
        <v>1700000</v>
      </c>
      <c r="N84" s="48"/>
      <c r="O84" s="219"/>
      <c r="P84" s="219"/>
      <c r="Q84" s="219"/>
    </row>
    <row r="85" spans="1:17" ht="17" x14ac:dyDescent="0.15">
      <c r="A85" s="38"/>
      <c r="B85" s="95"/>
      <c r="C85" s="96"/>
      <c r="D85" s="101"/>
      <c r="E85" s="101" t="s">
        <v>114</v>
      </c>
      <c r="F85" s="98"/>
      <c r="G85" s="85" t="s">
        <v>115</v>
      </c>
      <c r="H85" s="43">
        <v>2</v>
      </c>
      <c r="I85" s="44" t="s">
        <v>24</v>
      </c>
      <c r="J85" s="45">
        <v>1</v>
      </c>
      <c r="K85" s="44" t="s">
        <v>67</v>
      </c>
      <c r="L85" s="47">
        <v>1750000</v>
      </c>
      <c r="M85" s="47">
        <f t="shared" si="2"/>
        <v>3500000</v>
      </c>
      <c r="N85" s="48"/>
      <c r="O85" s="219"/>
      <c r="P85" s="219"/>
      <c r="Q85" s="219"/>
    </row>
    <row r="86" spans="1:17" ht="17" x14ac:dyDescent="0.15">
      <c r="A86" s="38"/>
      <c r="B86" s="95"/>
      <c r="C86" s="96"/>
      <c r="D86" s="101"/>
      <c r="E86" s="101" t="s">
        <v>116</v>
      </c>
      <c r="F86" s="98"/>
      <c r="G86" s="85" t="s">
        <v>117</v>
      </c>
      <c r="H86" s="43">
        <v>48</v>
      </c>
      <c r="I86" s="44" t="s">
        <v>118</v>
      </c>
      <c r="J86" s="45">
        <v>1</v>
      </c>
      <c r="K86" s="44" t="s">
        <v>67</v>
      </c>
      <c r="L86" s="47">
        <v>900000</v>
      </c>
      <c r="M86" s="47">
        <f t="shared" si="2"/>
        <v>43200000</v>
      </c>
      <c r="N86" s="48"/>
      <c r="O86" s="219"/>
      <c r="P86" s="219"/>
      <c r="Q86" s="219"/>
    </row>
    <row r="87" spans="1:17" ht="17" x14ac:dyDescent="0.15">
      <c r="A87" s="38"/>
      <c r="B87" s="95"/>
      <c r="C87" s="96"/>
      <c r="D87" s="101"/>
      <c r="E87" s="101" t="s">
        <v>119</v>
      </c>
      <c r="F87" s="98"/>
      <c r="G87" s="106"/>
      <c r="H87" s="43">
        <v>2</v>
      </c>
      <c r="I87" s="44" t="s">
        <v>24</v>
      </c>
      <c r="J87" s="45">
        <v>1</v>
      </c>
      <c r="K87" s="44" t="s">
        <v>67</v>
      </c>
      <c r="L87" s="47">
        <v>3000000</v>
      </c>
      <c r="M87" s="47">
        <f t="shared" si="2"/>
        <v>6000000</v>
      </c>
      <c r="N87" s="48"/>
      <c r="O87" s="219"/>
      <c r="P87" s="219"/>
      <c r="Q87" s="219"/>
    </row>
    <row r="88" spans="1:17" ht="17" x14ac:dyDescent="0.15">
      <c r="A88" s="38"/>
      <c r="B88" s="95"/>
      <c r="C88" s="96"/>
      <c r="D88" s="101"/>
      <c r="E88" s="101" t="s">
        <v>120</v>
      </c>
      <c r="F88" s="98"/>
      <c r="G88" s="85" t="s">
        <v>121</v>
      </c>
      <c r="H88" s="43">
        <v>2</v>
      </c>
      <c r="I88" s="44" t="s">
        <v>24</v>
      </c>
      <c r="J88" s="45">
        <v>1</v>
      </c>
      <c r="K88" s="44" t="s">
        <v>67</v>
      </c>
      <c r="L88" s="47">
        <v>10000000</v>
      </c>
      <c r="M88" s="47">
        <f t="shared" si="2"/>
        <v>20000000</v>
      </c>
      <c r="N88" s="48"/>
      <c r="O88" s="219"/>
      <c r="P88" s="219"/>
      <c r="Q88" s="219"/>
    </row>
    <row r="89" spans="1:17" ht="17" x14ac:dyDescent="0.15">
      <c r="A89" s="38"/>
      <c r="B89" s="95"/>
      <c r="C89" s="96"/>
      <c r="D89" s="101" t="s">
        <v>122</v>
      </c>
      <c r="E89" s="101"/>
      <c r="F89" s="98"/>
      <c r="G89" s="85" t="s">
        <v>123</v>
      </c>
      <c r="H89" s="43">
        <v>2</v>
      </c>
      <c r="I89" s="44" t="s">
        <v>24</v>
      </c>
      <c r="J89" s="45">
        <v>1</v>
      </c>
      <c r="K89" s="44" t="s">
        <v>67</v>
      </c>
      <c r="L89" s="47">
        <v>4000000</v>
      </c>
      <c r="M89" s="47">
        <f t="shared" si="2"/>
        <v>8000000</v>
      </c>
      <c r="N89" s="48"/>
      <c r="O89" s="219"/>
      <c r="P89" s="219"/>
      <c r="Q89" s="219"/>
    </row>
    <row r="90" spans="1:17" ht="16" x14ac:dyDescent="0.15">
      <c r="A90" s="27"/>
      <c r="B90" s="53"/>
      <c r="C90" s="91"/>
      <c r="D90" s="92"/>
      <c r="E90" s="92"/>
      <c r="F90" s="30"/>
      <c r="G90" s="65"/>
      <c r="H90" s="93"/>
      <c r="I90" s="33"/>
      <c r="J90" s="94"/>
      <c r="K90" s="33"/>
      <c r="L90" s="36"/>
      <c r="M90" s="36"/>
      <c r="N90" s="37"/>
      <c r="O90" s="219"/>
      <c r="P90" s="219"/>
      <c r="Q90" s="219"/>
    </row>
    <row r="91" spans="1:17" ht="16" x14ac:dyDescent="0.15">
      <c r="A91" s="27"/>
      <c r="B91" s="53"/>
      <c r="C91" s="91" t="s">
        <v>124</v>
      </c>
      <c r="D91" s="92"/>
      <c r="E91" s="92"/>
      <c r="F91" s="30"/>
      <c r="G91" s="65"/>
      <c r="H91" s="93"/>
      <c r="I91" s="33"/>
      <c r="J91" s="94"/>
      <c r="K91" s="33"/>
      <c r="L91" s="36"/>
      <c r="M91" s="36"/>
      <c r="N91" s="37"/>
      <c r="O91" s="219"/>
      <c r="P91" s="219"/>
      <c r="Q91" s="219"/>
    </row>
    <row r="92" spans="1:17" ht="16" x14ac:dyDescent="0.15">
      <c r="A92" s="27"/>
      <c r="B92" s="53"/>
      <c r="C92" s="91"/>
      <c r="D92" s="92" t="s">
        <v>125</v>
      </c>
      <c r="E92" s="92"/>
      <c r="F92" s="30"/>
      <c r="G92" s="65"/>
      <c r="H92" s="93"/>
      <c r="I92" s="33"/>
      <c r="J92" s="94"/>
      <c r="K92" s="33"/>
      <c r="L92" s="36"/>
      <c r="M92" s="36"/>
      <c r="N92" s="37"/>
      <c r="O92" s="219"/>
      <c r="P92" s="219"/>
      <c r="Q92" s="219"/>
    </row>
    <row r="93" spans="1:17" ht="17" x14ac:dyDescent="0.15">
      <c r="A93" s="27"/>
      <c r="B93" s="53"/>
      <c r="C93" s="91"/>
      <c r="D93" s="92"/>
      <c r="E93" s="92" t="s">
        <v>126</v>
      </c>
      <c r="F93" s="30"/>
      <c r="G93" s="65"/>
      <c r="H93" s="93">
        <v>7</v>
      </c>
      <c r="I93" s="33" t="s">
        <v>71</v>
      </c>
      <c r="J93" s="94">
        <v>1</v>
      </c>
      <c r="K93" s="33" t="s">
        <v>67</v>
      </c>
      <c r="L93" s="36">
        <v>350000</v>
      </c>
      <c r="M93" s="36">
        <f t="shared" ref="M93:M101" si="3">L93*J93*H93</f>
        <v>2450000</v>
      </c>
      <c r="N93" s="37"/>
      <c r="O93" s="219"/>
      <c r="P93" s="219"/>
      <c r="Q93" s="219"/>
    </row>
    <row r="94" spans="1:17" ht="17" x14ac:dyDescent="0.15">
      <c r="A94" s="27"/>
      <c r="B94" s="53"/>
      <c r="C94" s="91"/>
      <c r="D94" s="92"/>
      <c r="E94" s="92" t="s">
        <v>95</v>
      </c>
      <c r="F94" s="30"/>
      <c r="G94" s="65" t="s">
        <v>96</v>
      </c>
      <c r="H94" s="93">
        <v>50</v>
      </c>
      <c r="I94" s="33" t="s">
        <v>71</v>
      </c>
      <c r="J94" s="94">
        <v>1</v>
      </c>
      <c r="K94" s="33" t="s">
        <v>67</v>
      </c>
      <c r="L94" s="36">
        <v>25000</v>
      </c>
      <c r="M94" s="36">
        <f t="shared" si="3"/>
        <v>1250000</v>
      </c>
      <c r="N94" s="37"/>
      <c r="O94" s="219"/>
      <c r="P94" s="219"/>
      <c r="Q94" s="219"/>
    </row>
    <row r="95" spans="1:17" ht="17" x14ac:dyDescent="0.15">
      <c r="A95" s="27"/>
      <c r="B95" s="53"/>
      <c r="C95" s="91"/>
      <c r="D95" s="92"/>
      <c r="E95" s="92" t="s">
        <v>127</v>
      </c>
      <c r="F95" s="30"/>
      <c r="G95" s="65" t="s">
        <v>128</v>
      </c>
      <c r="H95" s="93">
        <v>7</v>
      </c>
      <c r="I95" s="33" t="s">
        <v>71</v>
      </c>
      <c r="J95" s="94">
        <v>1</v>
      </c>
      <c r="K95" s="33" t="s">
        <v>67</v>
      </c>
      <c r="L95" s="36">
        <v>400000</v>
      </c>
      <c r="M95" s="36">
        <f t="shared" si="3"/>
        <v>2800000</v>
      </c>
      <c r="N95" s="37"/>
      <c r="O95" s="219"/>
      <c r="P95" s="219"/>
      <c r="Q95" s="219"/>
    </row>
    <row r="96" spans="1:17" ht="17" x14ac:dyDescent="0.15">
      <c r="A96" s="38"/>
      <c r="B96" s="95"/>
      <c r="C96" s="96"/>
      <c r="D96" s="97"/>
      <c r="E96" s="107" t="s">
        <v>129</v>
      </c>
      <c r="F96" s="108"/>
      <c r="G96" s="50"/>
      <c r="H96" s="43">
        <v>3</v>
      </c>
      <c r="I96" s="44" t="s">
        <v>71</v>
      </c>
      <c r="J96" s="45">
        <v>1</v>
      </c>
      <c r="K96" s="44" t="s">
        <v>67</v>
      </c>
      <c r="L96" s="47">
        <v>300000</v>
      </c>
      <c r="M96" s="47">
        <f t="shared" si="3"/>
        <v>900000</v>
      </c>
      <c r="N96" s="48"/>
      <c r="O96" s="219"/>
      <c r="P96" s="219"/>
      <c r="Q96" s="219"/>
    </row>
    <row r="97" spans="1:17" ht="17" x14ac:dyDescent="0.15">
      <c r="A97" s="38"/>
      <c r="B97" s="95"/>
      <c r="C97" s="96"/>
      <c r="D97" s="97"/>
      <c r="E97" s="101" t="s">
        <v>130</v>
      </c>
      <c r="F97" s="109"/>
      <c r="G97" s="50"/>
      <c r="H97" s="43">
        <v>1</v>
      </c>
      <c r="I97" s="44" t="s">
        <v>71</v>
      </c>
      <c r="J97" s="45">
        <v>1</v>
      </c>
      <c r="K97" s="44" t="s">
        <v>67</v>
      </c>
      <c r="L97" s="47">
        <v>500000</v>
      </c>
      <c r="M97" s="47">
        <f t="shared" si="3"/>
        <v>500000</v>
      </c>
      <c r="N97" s="48"/>
      <c r="O97" s="219"/>
      <c r="P97" s="219"/>
      <c r="Q97" s="219"/>
    </row>
    <row r="98" spans="1:17" ht="17" x14ac:dyDescent="0.15">
      <c r="A98" s="38"/>
      <c r="B98" s="95"/>
      <c r="C98" s="96"/>
      <c r="D98" s="97"/>
      <c r="E98" s="101" t="s">
        <v>131</v>
      </c>
      <c r="F98" s="109"/>
      <c r="G98" s="50"/>
      <c r="H98" s="43">
        <v>2</v>
      </c>
      <c r="I98" s="44" t="s">
        <v>71</v>
      </c>
      <c r="J98" s="45">
        <v>1</v>
      </c>
      <c r="K98" s="44" t="s">
        <v>67</v>
      </c>
      <c r="L98" s="47">
        <v>225000</v>
      </c>
      <c r="M98" s="47">
        <f t="shared" si="3"/>
        <v>450000</v>
      </c>
      <c r="N98" s="48"/>
      <c r="O98" s="219"/>
      <c r="P98" s="219"/>
      <c r="Q98" s="219"/>
    </row>
    <row r="99" spans="1:17" ht="17" x14ac:dyDescent="0.15">
      <c r="A99" s="38"/>
      <c r="B99" s="95"/>
      <c r="C99" s="96"/>
      <c r="D99" s="97"/>
      <c r="E99" s="101" t="s">
        <v>132</v>
      </c>
      <c r="F99" s="109"/>
      <c r="G99" s="50"/>
      <c r="H99" s="43">
        <v>1</v>
      </c>
      <c r="I99" s="44" t="s">
        <v>71</v>
      </c>
      <c r="J99" s="45">
        <v>1</v>
      </c>
      <c r="K99" s="44" t="s">
        <v>67</v>
      </c>
      <c r="L99" s="47">
        <v>225000</v>
      </c>
      <c r="M99" s="47">
        <f t="shared" si="3"/>
        <v>225000</v>
      </c>
      <c r="N99" s="48"/>
      <c r="O99" s="249"/>
      <c r="P99" s="249"/>
      <c r="Q99" s="249"/>
    </row>
    <row r="100" spans="1:17" ht="17" x14ac:dyDescent="0.15">
      <c r="A100" s="38"/>
      <c r="B100" s="95"/>
      <c r="C100" s="96"/>
      <c r="D100" s="97"/>
      <c r="E100" s="101" t="s">
        <v>133</v>
      </c>
      <c r="F100" s="109"/>
      <c r="G100" s="50"/>
      <c r="H100" s="43">
        <v>1</v>
      </c>
      <c r="I100" s="44" t="s">
        <v>71</v>
      </c>
      <c r="J100" s="45">
        <v>1</v>
      </c>
      <c r="K100" s="44" t="s">
        <v>67</v>
      </c>
      <c r="L100" s="47">
        <v>225000</v>
      </c>
      <c r="M100" s="47">
        <f t="shared" si="3"/>
        <v>225000</v>
      </c>
      <c r="N100" s="48"/>
      <c r="O100" s="249"/>
      <c r="P100" s="249"/>
      <c r="Q100" s="249"/>
    </row>
    <row r="101" spans="1:17" ht="17" x14ac:dyDescent="0.15">
      <c r="A101" s="38"/>
      <c r="B101" s="95"/>
      <c r="C101" s="96"/>
      <c r="D101" s="97"/>
      <c r="E101" s="101" t="s">
        <v>134</v>
      </c>
      <c r="F101" s="109"/>
      <c r="G101" s="50"/>
      <c r="H101" s="43">
        <v>1</v>
      </c>
      <c r="I101" s="44" t="s">
        <v>71</v>
      </c>
      <c r="J101" s="45">
        <v>1</v>
      </c>
      <c r="K101" s="44" t="s">
        <v>67</v>
      </c>
      <c r="L101" s="47">
        <v>225000</v>
      </c>
      <c r="M101" s="47">
        <f t="shared" si="3"/>
        <v>225000</v>
      </c>
      <c r="N101" s="48"/>
      <c r="O101" s="249"/>
      <c r="P101" s="249"/>
      <c r="Q101" s="249"/>
    </row>
    <row r="102" spans="1:17" ht="16" x14ac:dyDescent="0.15">
      <c r="A102" s="27"/>
      <c r="B102" s="53"/>
      <c r="C102" s="91"/>
      <c r="D102" s="92" t="s">
        <v>135</v>
      </c>
      <c r="E102" s="92"/>
      <c r="F102" s="30"/>
      <c r="G102" s="65"/>
      <c r="H102" s="93"/>
      <c r="I102" s="33"/>
      <c r="J102" s="94"/>
      <c r="K102" s="33"/>
      <c r="L102" s="36"/>
      <c r="M102" s="36"/>
      <c r="N102" s="37"/>
      <c r="O102" s="249"/>
      <c r="P102" s="249"/>
      <c r="Q102" s="249"/>
    </row>
    <row r="103" spans="1:17" ht="17" x14ac:dyDescent="0.15">
      <c r="A103" s="27"/>
      <c r="B103" s="53"/>
      <c r="C103" s="91"/>
      <c r="D103" s="92"/>
      <c r="E103" s="92" t="s">
        <v>126</v>
      </c>
      <c r="F103" s="30"/>
      <c r="G103" s="65"/>
      <c r="H103" s="93">
        <v>14</v>
      </c>
      <c r="I103" s="33" t="s">
        <v>71</v>
      </c>
      <c r="J103" s="94">
        <v>1</v>
      </c>
      <c r="K103" s="33" t="s">
        <v>67</v>
      </c>
      <c r="L103" s="36">
        <v>350000</v>
      </c>
      <c r="M103" s="36">
        <f t="shared" ref="M103:M107" si="4">L103*J103*H103</f>
        <v>4900000</v>
      </c>
      <c r="N103" s="37"/>
      <c r="O103" s="249"/>
      <c r="P103" s="249"/>
      <c r="Q103" s="249"/>
    </row>
    <row r="104" spans="1:17" ht="17" x14ac:dyDescent="0.15">
      <c r="A104" s="27"/>
      <c r="B104" s="53"/>
      <c r="C104" s="91"/>
      <c r="D104" s="92"/>
      <c r="E104" s="92" t="s">
        <v>95</v>
      </c>
      <c r="F104" s="30"/>
      <c r="G104" s="65" t="s">
        <v>96</v>
      </c>
      <c r="H104" s="93">
        <v>100</v>
      </c>
      <c r="I104" s="33" t="s">
        <v>71</v>
      </c>
      <c r="J104" s="94">
        <v>1</v>
      </c>
      <c r="K104" s="33" t="s">
        <v>67</v>
      </c>
      <c r="L104" s="36">
        <v>25000</v>
      </c>
      <c r="M104" s="36">
        <f t="shared" si="4"/>
        <v>2500000</v>
      </c>
      <c r="N104" s="37"/>
      <c r="O104" s="249"/>
      <c r="P104" s="249"/>
      <c r="Q104" s="249"/>
    </row>
    <row r="105" spans="1:17" ht="17" x14ac:dyDescent="0.15">
      <c r="A105" s="27"/>
      <c r="B105" s="53"/>
      <c r="C105" s="91"/>
      <c r="D105" s="92"/>
      <c r="E105" s="92" t="s">
        <v>127</v>
      </c>
      <c r="F105" s="30"/>
      <c r="G105" s="65"/>
      <c r="H105" s="93">
        <v>14</v>
      </c>
      <c r="I105" s="33" t="s">
        <v>71</v>
      </c>
      <c r="J105" s="94">
        <v>1</v>
      </c>
      <c r="K105" s="33" t="s">
        <v>67</v>
      </c>
      <c r="L105" s="36">
        <v>400000</v>
      </c>
      <c r="M105" s="36">
        <f t="shared" si="4"/>
        <v>5600000</v>
      </c>
      <c r="N105" s="37"/>
      <c r="O105" s="249"/>
      <c r="P105" s="249"/>
      <c r="Q105" s="249"/>
    </row>
    <row r="106" spans="1:17" ht="17" x14ac:dyDescent="0.15">
      <c r="A106" s="38"/>
      <c r="B106" s="113"/>
      <c r="C106" s="114"/>
      <c r="D106" s="115"/>
      <c r="E106" s="115" t="s">
        <v>136</v>
      </c>
      <c r="F106" s="116"/>
      <c r="G106" s="50" t="s">
        <v>137</v>
      </c>
      <c r="H106" s="99">
        <v>1</v>
      </c>
      <c r="I106" s="49" t="s">
        <v>24</v>
      </c>
      <c r="J106" s="100">
        <v>1</v>
      </c>
      <c r="K106" s="49" t="s">
        <v>67</v>
      </c>
      <c r="L106" s="47">
        <v>15000000</v>
      </c>
      <c r="M106" s="47">
        <f t="shared" si="4"/>
        <v>15000000</v>
      </c>
      <c r="N106" s="48"/>
      <c r="O106" s="249"/>
      <c r="P106" s="249"/>
      <c r="Q106" s="249"/>
    </row>
    <row r="107" spans="1:17" ht="17" x14ac:dyDescent="0.15">
      <c r="A107" s="27"/>
      <c r="B107" s="53"/>
      <c r="C107" s="91"/>
      <c r="D107" s="92"/>
      <c r="E107" s="92" t="s">
        <v>138</v>
      </c>
      <c r="F107" s="30"/>
      <c r="G107" s="65"/>
      <c r="H107" s="93">
        <v>0</v>
      </c>
      <c r="I107" s="33" t="s">
        <v>118</v>
      </c>
      <c r="J107" s="94">
        <v>1</v>
      </c>
      <c r="K107" s="33" t="s">
        <v>67</v>
      </c>
      <c r="L107" s="36">
        <v>70000</v>
      </c>
      <c r="M107" s="36">
        <f t="shared" si="4"/>
        <v>0</v>
      </c>
      <c r="N107" s="37"/>
      <c r="O107" s="249"/>
      <c r="P107" s="249"/>
      <c r="Q107" s="249"/>
    </row>
    <row r="108" spans="1:17" ht="16" x14ac:dyDescent="0.15">
      <c r="A108" s="38"/>
      <c r="B108" s="113"/>
      <c r="C108" s="117"/>
      <c r="D108" s="115" t="s">
        <v>139</v>
      </c>
      <c r="E108" s="114"/>
      <c r="F108" s="116"/>
      <c r="G108" s="50"/>
      <c r="H108" s="99"/>
      <c r="I108" s="49"/>
      <c r="J108" s="100"/>
      <c r="K108" s="49"/>
      <c r="L108" s="47"/>
      <c r="M108" s="47"/>
      <c r="N108" s="48"/>
      <c r="O108" s="249"/>
      <c r="P108" s="249"/>
      <c r="Q108" s="249"/>
    </row>
    <row r="109" spans="1:17" ht="17" x14ac:dyDescent="0.15">
      <c r="A109" s="38"/>
      <c r="B109" s="113"/>
      <c r="C109" s="114"/>
      <c r="D109" s="115"/>
      <c r="E109" s="115" t="s">
        <v>136</v>
      </c>
      <c r="F109" s="116"/>
      <c r="G109" s="50" t="s">
        <v>137</v>
      </c>
      <c r="H109" s="99">
        <v>1</v>
      </c>
      <c r="I109" s="49" t="s">
        <v>24</v>
      </c>
      <c r="J109" s="100">
        <v>1</v>
      </c>
      <c r="K109" s="49" t="s">
        <v>67</v>
      </c>
      <c r="L109" s="47">
        <v>15000000</v>
      </c>
      <c r="M109" s="47">
        <f>L109*J109*H109</f>
        <v>15000000</v>
      </c>
      <c r="N109" s="48"/>
      <c r="O109" s="249"/>
      <c r="P109" s="249"/>
      <c r="Q109" s="249"/>
    </row>
    <row r="110" spans="1:17" ht="16" x14ac:dyDescent="0.15">
      <c r="A110" s="38"/>
      <c r="B110" s="113"/>
      <c r="C110" s="114"/>
      <c r="D110" s="115"/>
      <c r="E110" s="115" t="s">
        <v>94</v>
      </c>
      <c r="F110" s="116"/>
      <c r="G110" s="50" t="s">
        <v>140</v>
      </c>
      <c r="H110" s="43"/>
      <c r="I110" s="44"/>
      <c r="J110" s="45"/>
      <c r="K110" s="44"/>
      <c r="L110" s="119" t="s">
        <v>141</v>
      </c>
      <c r="M110" s="119" t="s">
        <v>141</v>
      </c>
      <c r="N110" s="48"/>
      <c r="O110" s="249"/>
      <c r="P110" s="249"/>
      <c r="Q110" s="249"/>
    </row>
    <row r="111" spans="1:17" ht="17" x14ac:dyDescent="0.15">
      <c r="A111" s="38"/>
      <c r="B111" s="113"/>
      <c r="C111" s="114"/>
      <c r="D111" s="115"/>
      <c r="E111" s="115" t="s">
        <v>142</v>
      </c>
      <c r="F111" s="116"/>
      <c r="G111" s="50" t="s">
        <v>96</v>
      </c>
      <c r="H111" s="43">
        <v>300</v>
      </c>
      <c r="I111" s="44" t="s">
        <v>143</v>
      </c>
      <c r="J111" s="45">
        <v>1</v>
      </c>
      <c r="K111" s="44" t="s">
        <v>67</v>
      </c>
      <c r="L111" s="47">
        <v>25000</v>
      </c>
      <c r="M111" s="47">
        <f>L111*J111*H111</f>
        <v>7500000</v>
      </c>
      <c r="N111" s="48"/>
      <c r="O111" s="249"/>
      <c r="P111" s="249"/>
      <c r="Q111" s="249"/>
    </row>
    <row r="112" spans="1:17" ht="16" x14ac:dyDescent="0.15">
      <c r="A112" s="27"/>
      <c r="B112" s="110"/>
      <c r="C112" s="111"/>
      <c r="D112" s="111"/>
      <c r="E112" s="111"/>
      <c r="F112" s="112"/>
      <c r="G112" s="65"/>
      <c r="H112" s="93"/>
      <c r="I112" s="33"/>
      <c r="J112" s="94"/>
      <c r="K112" s="33"/>
      <c r="L112" s="36"/>
      <c r="M112" s="36"/>
      <c r="N112" s="37"/>
      <c r="O112" s="249"/>
      <c r="P112" s="249"/>
      <c r="Q112" s="249"/>
    </row>
    <row r="113" spans="1:17" ht="16" x14ac:dyDescent="0.15">
      <c r="A113" s="27"/>
      <c r="B113" s="53"/>
      <c r="C113" s="91" t="s">
        <v>144</v>
      </c>
      <c r="D113" s="92"/>
      <c r="E113" s="92"/>
      <c r="F113" s="30"/>
      <c r="G113" s="65"/>
      <c r="H113" s="93"/>
      <c r="I113" s="33"/>
      <c r="J113" s="94"/>
      <c r="K113" s="33"/>
      <c r="L113" s="36"/>
      <c r="M113" s="36"/>
      <c r="N113" s="37"/>
      <c r="O113" s="249"/>
      <c r="P113" s="249"/>
      <c r="Q113" s="249"/>
    </row>
    <row r="114" spans="1:17" ht="17" x14ac:dyDescent="0.15">
      <c r="A114" s="27"/>
      <c r="B114" s="53"/>
      <c r="C114" s="91"/>
      <c r="D114" s="92" t="s">
        <v>145</v>
      </c>
      <c r="E114" s="92"/>
      <c r="F114" s="30"/>
      <c r="G114" s="65"/>
      <c r="H114" s="93">
        <v>20</v>
      </c>
      <c r="I114" s="33" t="s">
        <v>71</v>
      </c>
      <c r="J114" s="94">
        <v>4</v>
      </c>
      <c r="K114" s="33" t="s">
        <v>67</v>
      </c>
      <c r="L114" s="36">
        <v>250000</v>
      </c>
      <c r="M114" s="36">
        <f t="shared" ref="M114:M116" si="5">L114*J114*H114</f>
        <v>20000000</v>
      </c>
      <c r="N114" s="37"/>
      <c r="O114" s="249"/>
      <c r="P114" s="249"/>
      <c r="Q114" s="249"/>
    </row>
    <row r="115" spans="1:17" ht="17" x14ac:dyDescent="0.15">
      <c r="A115" s="27"/>
      <c r="B115" s="53"/>
      <c r="C115" s="91"/>
      <c r="D115" s="92" t="s">
        <v>95</v>
      </c>
      <c r="E115" s="92"/>
      <c r="F115" s="30"/>
      <c r="G115" s="65" t="s">
        <v>96</v>
      </c>
      <c r="H115" s="93">
        <v>50</v>
      </c>
      <c r="I115" s="33" t="s">
        <v>71</v>
      </c>
      <c r="J115" s="94">
        <v>4</v>
      </c>
      <c r="K115" s="33" t="s">
        <v>67</v>
      </c>
      <c r="L115" s="36">
        <v>25000</v>
      </c>
      <c r="M115" s="36">
        <f t="shared" si="5"/>
        <v>5000000</v>
      </c>
      <c r="N115" s="37"/>
      <c r="O115" s="249"/>
      <c r="P115" s="249"/>
      <c r="Q115" s="249"/>
    </row>
    <row r="116" spans="1:17" ht="17" x14ac:dyDescent="0.15">
      <c r="A116" s="27"/>
      <c r="B116" s="53"/>
      <c r="C116" s="91"/>
      <c r="D116" s="92" t="s">
        <v>146</v>
      </c>
      <c r="E116" s="92"/>
      <c r="F116" s="30"/>
      <c r="G116" s="65"/>
      <c r="H116" s="93">
        <v>20</v>
      </c>
      <c r="I116" s="33" t="s">
        <v>147</v>
      </c>
      <c r="J116" s="94">
        <v>4</v>
      </c>
      <c r="K116" s="33" t="s">
        <v>67</v>
      </c>
      <c r="L116" s="36">
        <v>350000</v>
      </c>
      <c r="M116" s="36">
        <f t="shared" si="5"/>
        <v>28000000</v>
      </c>
      <c r="N116" s="37"/>
      <c r="O116" s="249"/>
      <c r="P116" s="249"/>
      <c r="Q116" s="249"/>
    </row>
    <row r="117" spans="1:17" ht="16" x14ac:dyDescent="0.15">
      <c r="A117" s="27"/>
      <c r="B117" s="53"/>
      <c r="C117" s="91"/>
      <c r="D117" s="92"/>
      <c r="E117" s="92"/>
      <c r="F117" s="30"/>
      <c r="G117" s="65"/>
      <c r="H117" s="93"/>
      <c r="I117" s="33"/>
      <c r="J117" s="94"/>
      <c r="K117" s="33"/>
      <c r="L117" s="36"/>
      <c r="M117" s="36"/>
      <c r="N117" s="37"/>
      <c r="O117" s="249"/>
      <c r="P117" s="249"/>
      <c r="Q117" s="249"/>
    </row>
    <row r="118" spans="1:17" ht="16" x14ac:dyDescent="0.15">
      <c r="A118" s="27"/>
      <c r="B118" s="53"/>
      <c r="C118" s="91" t="s">
        <v>148</v>
      </c>
      <c r="D118" s="92"/>
      <c r="E118" s="92"/>
      <c r="F118" s="30"/>
      <c r="G118" s="65"/>
      <c r="H118" s="93"/>
      <c r="I118" s="33"/>
      <c r="J118" s="94"/>
      <c r="K118" s="33"/>
      <c r="L118" s="36"/>
      <c r="M118" s="36"/>
      <c r="N118" s="37"/>
      <c r="O118" s="249"/>
      <c r="P118" s="249"/>
      <c r="Q118" s="249"/>
    </row>
    <row r="119" spans="1:17" ht="17" x14ac:dyDescent="0.15">
      <c r="A119" s="27"/>
      <c r="B119" s="53"/>
      <c r="C119" s="92"/>
      <c r="D119" s="92" t="s">
        <v>149</v>
      </c>
      <c r="E119" s="92"/>
      <c r="F119" s="30"/>
      <c r="G119" s="65" t="s">
        <v>150</v>
      </c>
      <c r="H119" s="93">
        <v>0</v>
      </c>
      <c r="I119" s="33" t="s">
        <v>24</v>
      </c>
      <c r="J119" s="94">
        <v>1</v>
      </c>
      <c r="K119" s="33" t="s">
        <v>67</v>
      </c>
      <c r="L119" s="36">
        <v>17500000</v>
      </c>
      <c r="M119" s="36">
        <f t="shared" ref="M119:M123" si="6">L119*J119*H119</f>
        <v>0</v>
      </c>
      <c r="N119" s="37"/>
      <c r="O119" s="249"/>
      <c r="P119" s="249"/>
      <c r="Q119" s="249"/>
    </row>
    <row r="120" spans="1:17" ht="17" x14ac:dyDescent="0.15">
      <c r="A120" s="27"/>
      <c r="B120" s="53"/>
      <c r="C120" s="92"/>
      <c r="D120" s="92" t="s">
        <v>151</v>
      </c>
      <c r="E120" s="92"/>
      <c r="F120" s="30"/>
      <c r="G120" s="65" t="s">
        <v>152</v>
      </c>
      <c r="H120" s="93">
        <v>1</v>
      </c>
      <c r="I120" s="33" t="s">
        <v>24</v>
      </c>
      <c r="J120" s="94">
        <v>1</v>
      </c>
      <c r="K120" s="33" t="s">
        <v>67</v>
      </c>
      <c r="L120" s="36">
        <v>90000000</v>
      </c>
      <c r="M120" s="36">
        <f t="shared" si="6"/>
        <v>90000000</v>
      </c>
      <c r="N120" s="37"/>
      <c r="O120" s="249"/>
      <c r="P120" s="249"/>
      <c r="Q120" s="249"/>
    </row>
    <row r="121" spans="1:17" ht="17" x14ac:dyDescent="0.15">
      <c r="A121" s="27"/>
      <c r="B121" s="53"/>
      <c r="C121" s="92"/>
      <c r="D121" s="92" t="s">
        <v>153</v>
      </c>
      <c r="E121" s="92"/>
      <c r="F121" s="30"/>
      <c r="G121" s="65"/>
      <c r="H121" s="93">
        <v>1</v>
      </c>
      <c r="I121" s="33" t="s">
        <v>71</v>
      </c>
      <c r="J121" s="94">
        <v>1</v>
      </c>
      <c r="K121" s="33" t="s">
        <v>67</v>
      </c>
      <c r="L121" s="36">
        <v>5500000</v>
      </c>
      <c r="M121" s="36">
        <f t="shared" si="6"/>
        <v>5500000</v>
      </c>
      <c r="N121" s="37"/>
      <c r="O121" s="249"/>
      <c r="P121" s="249"/>
      <c r="Q121" s="249"/>
    </row>
    <row r="122" spans="1:17" ht="17" x14ac:dyDescent="0.15">
      <c r="A122" s="27"/>
      <c r="B122" s="53"/>
      <c r="C122" s="92"/>
      <c r="D122" s="92" t="s">
        <v>154</v>
      </c>
      <c r="E122" s="92"/>
      <c r="F122" s="30"/>
      <c r="G122" s="65"/>
      <c r="H122" s="93">
        <v>1</v>
      </c>
      <c r="I122" s="33" t="s">
        <v>24</v>
      </c>
      <c r="J122" s="94">
        <v>1</v>
      </c>
      <c r="K122" s="33" t="s">
        <v>67</v>
      </c>
      <c r="L122" s="36">
        <v>30000000</v>
      </c>
      <c r="M122" s="36">
        <f t="shared" si="6"/>
        <v>30000000</v>
      </c>
      <c r="N122" s="37"/>
      <c r="O122" s="249"/>
      <c r="P122" s="249"/>
      <c r="Q122" s="249"/>
    </row>
    <row r="123" spans="1:17" ht="17" x14ac:dyDescent="0.15">
      <c r="A123" s="27"/>
      <c r="B123" s="53"/>
      <c r="C123" s="92"/>
      <c r="D123" s="92" t="s">
        <v>155</v>
      </c>
      <c r="E123" s="92"/>
      <c r="F123" s="30"/>
      <c r="G123" s="65"/>
      <c r="H123" s="93">
        <v>400</v>
      </c>
      <c r="I123" s="33" t="s">
        <v>118</v>
      </c>
      <c r="J123" s="94">
        <v>1</v>
      </c>
      <c r="K123" s="33" t="s">
        <v>67</v>
      </c>
      <c r="L123" s="36">
        <v>65000</v>
      </c>
      <c r="M123" s="36">
        <f t="shared" si="6"/>
        <v>26000000</v>
      </c>
      <c r="N123" s="37"/>
      <c r="O123" s="249"/>
      <c r="P123" s="249"/>
      <c r="Q123" s="249"/>
    </row>
    <row r="124" spans="1:17" ht="16" x14ac:dyDescent="0.15">
      <c r="A124" s="27"/>
      <c r="B124" s="53"/>
      <c r="C124" s="92"/>
      <c r="D124" s="92" t="s">
        <v>156</v>
      </c>
      <c r="E124" s="92"/>
      <c r="F124" s="30"/>
      <c r="G124" s="65"/>
      <c r="H124" s="93"/>
      <c r="I124" s="33"/>
      <c r="J124" s="94"/>
      <c r="K124" s="33"/>
      <c r="L124" s="36"/>
      <c r="M124" s="36"/>
      <c r="N124" s="37"/>
      <c r="O124" s="249"/>
      <c r="P124" s="249"/>
      <c r="Q124" s="249"/>
    </row>
    <row r="125" spans="1:17" ht="17" x14ac:dyDescent="0.15">
      <c r="A125" s="27"/>
      <c r="B125" s="53"/>
      <c r="C125" s="92"/>
      <c r="D125" s="92"/>
      <c r="E125" s="92" t="s">
        <v>157</v>
      </c>
      <c r="F125" s="30"/>
      <c r="G125" s="65" t="s">
        <v>150</v>
      </c>
      <c r="H125" s="93">
        <v>0</v>
      </c>
      <c r="I125" s="33" t="s">
        <v>24</v>
      </c>
      <c r="J125" s="94">
        <v>1</v>
      </c>
      <c r="K125" s="33" t="s">
        <v>67</v>
      </c>
      <c r="L125" s="36">
        <v>25000000</v>
      </c>
      <c r="M125" s="36">
        <f t="shared" ref="M125:M131" si="7">L125*J125*H125</f>
        <v>0</v>
      </c>
      <c r="N125" s="37"/>
      <c r="O125" s="249"/>
      <c r="P125" s="249"/>
      <c r="Q125" s="249"/>
    </row>
    <row r="126" spans="1:17" ht="17" x14ac:dyDescent="0.15">
      <c r="A126" s="27"/>
      <c r="B126" s="53"/>
      <c r="C126" s="92"/>
      <c r="D126" s="92"/>
      <c r="E126" s="92" t="s">
        <v>158</v>
      </c>
      <c r="F126" s="30"/>
      <c r="G126" s="65"/>
      <c r="H126" s="93">
        <v>0</v>
      </c>
      <c r="I126" s="33" t="s">
        <v>24</v>
      </c>
      <c r="J126" s="94">
        <v>1</v>
      </c>
      <c r="K126" s="33" t="s">
        <v>67</v>
      </c>
      <c r="L126" s="36">
        <v>25000000</v>
      </c>
      <c r="M126" s="36">
        <f t="shared" si="7"/>
        <v>0</v>
      </c>
      <c r="N126" s="37"/>
      <c r="O126" s="249"/>
      <c r="P126" s="249"/>
      <c r="Q126" s="249"/>
    </row>
    <row r="127" spans="1:17" ht="17" x14ac:dyDescent="0.15">
      <c r="A127" s="27"/>
      <c r="B127" s="53"/>
      <c r="C127" s="92"/>
      <c r="D127" s="92" t="s">
        <v>159</v>
      </c>
      <c r="E127" s="92"/>
      <c r="F127" s="30"/>
      <c r="G127" s="65" t="s">
        <v>160</v>
      </c>
      <c r="H127" s="93">
        <v>1</v>
      </c>
      <c r="I127" s="33" t="s">
        <v>24</v>
      </c>
      <c r="J127" s="94">
        <v>1</v>
      </c>
      <c r="K127" s="33" t="s">
        <v>67</v>
      </c>
      <c r="L127" s="36">
        <v>25000000</v>
      </c>
      <c r="M127" s="36">
        <f t="shared" si="7"/>
        <v>25000000</v>
      </c>
      <c r="N127" s="37"/>
      <c r="O127" s="249"/>
      <c r="P127" s="249"/>
      <c r="Q127" s="249"/>
    </row>
    <row r="128" spans="1:17" ht="17" x14ac:dyDescent="0.15">
      <c r="A128" s="38"/>
      <c r="B128" s="95"/>
      <c r="C128" s="97"/>
      <c r="D128" s="97" t="s">
        <v>161</v>
      </c>
      <c r="E128" s="97"/>
      <c r="F128" s="98"/>
      <c r="G128" s="50" t="s">
        <v>162</v>
      </c>
      <c r="H128" s="99">
        <v>1</v>
      </c>
      <c r="I128" s="49" t="s">
        <v>24</v>
      </c>
      <c r="J128" s="100">
        <v>1</v>
      </c>
      <c r="K128" s="49" t="s">
        <v>67</v>
      </c>
      <c r="L128" s="47">
        <v>45000000</v>
      </c>
      <c r="M128" s="47">
        <f t="shared" si="7"/>
        <v>45000000</v>
      </c>
      <c r="N128" s="48"/>
      <c r="O128" s="249"/>
      <c r="P128" s="249"/>
      <c r="Q128" s="249"/>
    </row>
    <row r="129" spans="1:17" ht="17" x14ac:dyDescent="0.15">
      <c r="A129" s="38"/>
      <c r="B129" s="95"/>
      <c r="C129" s="97"/>
      <c r="D129" s="107" t="s">
        <v>163</v>
      </c>
      <c r="E129" s="120"/>
      <c r="F129" s="108"/>
      <c r="G129" s="85" t="s">
        <v>164</v>
      </c>
      <c r="H129" s="43">
        <v>1</v>
      </c>
      <c r="I129" s="44" t="s">
        <v>71</v>
      </c>
      <c r="J129" s="45">
        <v>1</v>
      </c>
      <c r="K129" s="44" t="s">
        <v>67</v>
      </c>
      <c r="L129" s="102">
        <v>120000000</v>
      </c>
      <c r="M129" s="102">
        <f t="shared" si="7"/>
        <v>120000000</v>
      </c>
      <c r="N129" s="48"/>
      <c r="O129" s="249"/>
      <c r="P129" s="249"/>
      <c r="Q129" s="249"/>
    </row>
    <row r="130" spans="1:17" ht="17" x14ac:dyDescent="0.15">
      <c r="A130" s="38"/>
      <c r="B130" s="95"/>
      <c r="C130" s="97"/>
      <c r="D130" s="107" t="s">
        <v>165</v>
      </c>
      <c r="E130" s="120"/>
      <c r="F130" s="108"/>
      <c r="G130" s="85" t="s">
        <v>166</v>
      </c>
      <c r="H130" s="43">
        <v>1</v>
      </c>
      <c r="I130" s="44" t="s">
        <v>24</v>
      </c>
      <c r="J130" s="45">
        <v>1</v>
      </c>
      <c r="K130" s="44" t="s">
        <v>67</v>
      </c>
      <c r="L130" s="102">
        <v>25000000</v>
      </c>
      <c r="M130" s="102">
        <f t="shared" si="7"/>
        <v>25000000</v>
      </c>
      <c r="N130" s="48"/>
      <c r="O130" s="249"/>
      <c r="P130" s="249"/>
      <c r="Q130" s="249"/>
    </row>
    <row r="131" spans="1:17" ht="17" x14ac:dyDescent="0.15">
      <c r="A131" s="38"/>
      <c r="B131" s="95"/>
      <c r="C131" s="97"/>
      <c r="D131" s="107" t="s">
        <v>167</v>
      </c>
      <c r="E131" s="120"/>
      <c r="F131" s="108"/>
      <c r="G131" s="85" t="s">
        <v>168</v>
      </c>
      <c r="H131" s="43">
        <v>40</v>
      </c>
      <c r="I131" s="44" t="s">
        <v>143</v>
      </c>
      <c r="J131" s="45">
        <v>1</v>
      </c>
      <c r="K131" s="44" t="s">
        <v>67</v>
      </c>
      <c r="L131" s="102">
        <v>175000</v>
      </c>
      <c r="M131" s="102">
        <f t="shared" si="7"/>
        <v>7000000</v>
      </c>
      <c r="N131" s="48"/>
      <c r="O131" s="249"/>
      <c r="P131" s="249"/>
      <c r="Q131" s="249"/>
    </row>
    <row r="132" spans="1:17" ht="16" x14ac:dyDescent="0.15">
      <c r="A132" s="27"/>
      <c r="B132" s="53"/>
      <c r="C132" s="92"/>
      <c r="D132" s="92"/>
      <c r="E132" s="92"/>
      <c r="F132" s="30"/>
      <c r="G132" s="65"/>
      <c r="H132" s="93"/>
      <c r="I132" s="33"/>
      <c r="J132" s="94"/>
      <c r="K132" s="33"/>
      <c r="L132" s="36"/>
      <c r="M132" s="36"/>
      <c r="N132" s="37"/>
      <c r="O132" s="249"/>
      <c r="P132" s="249"/>
      <c r="Q132" s="249"/>
    </row>
    <row r="133" spans="1:17" ht="16" x14ac:dyDescent="0.15">
      <c r="A133" s="27"/>
      <c r="B133" s="53"/>
      <c r="C133" s="91" t="s">
        <v>169</v>
      </c>
      <c r="D133" s="91"/>
      <c r="E133" s="92"/>
      <c r="F133" s="30"/>
      <c r="G133" s="65"/>
      <c r="H133" s="93"/>
      <c r="I133" s="33"/>
      <c r="J133" s="94"/>
      <c r="K133" s="33"/>
      <c r="L133" s="36"/>
      <c r="M133" s="36"/>
      <c r="N133" s="37"/>
      <c r="O133" s="249"/>
      <c r="P133" s="249"/>
      <c r="Q133" s="249"/>
    </row>
    <row r="134" spans="1:17" ht="17" x14ac:dyDescent="0.15">
      <c r="A134" s="27"/>
      <c r="B134" s="53"/>
      <c r="C134" s="91"/>
      <c r="D134" s="92" t="s">
        <v>170</v>
      </c>
      <c r="E134" s="92"/>
      <c r="F134" s="30"/>
      <c r="G134" s="65" t="s">
        <v>171</v>
      </c>
      <c r="H134" s="93">
        <v>3</v>
      </c>
      <c r="I134" s="33" t="s">
        <v>24</v>
      </c>
      <c r="J134" s="94">
        <v>1</v>
      </c>
      <c r="K134" s="33" t="s">
        <v>25</v>
      </c>
      <c r="L134" s="36">
        <v>10000000</v>
      </c>
      <c r="M134" s="36">
        <f t="shared" ref="M134:M142" si="8">L134*J134*H134</f>
        <v>30000000</v>
      </c>
      <c r="N134" s="37"/>
      <c r="O134" s="249"/>
      <c r="P134" s="249"/>
      <c r="Q134" s="249"/>
    </row>
    <row r="135" spans="1:17" ht="17" x14ac:dyDescent="0.15">
      <c r="A135" s="27"/>
      <c r="B135" s="53"/>
      <c r="C135" s="91"/>
      <c r="D135" s="92" t="s">
        <v>172</v>
      </c>
      <c r="E135" s="92"/>
      <c r="F135" s="30"/>
      <c r="G135" s="65"/>
      <c r="H135" s="93">
        <v>6</v>
      </c>
      <c r="I135" s="33" t="s">
        <v>24</v>
      </c>
      <c r="J135" s="94">
        <v>1</v>
      </c>
      <c r="K135" s="33" t="s">
        <v>25</v>
      </c>
      <c r="L135" s="36">
        <v>10000000</v>
      </c>
      <c r="M135" s="36">
        <f t="shared" si="8"/>
        <v>60000000</v>
      </c>
      <c r="N135" s="37"/>
      <c r="O135" s="249"/>
      <c r="P135" s="249"/>
      <c r="Q135" s="249"/>
    </row>
    <row r="136" spans="1:17" ht="17" x14ac:dyDescent="0.15">
      <c r="A136" s="27"/>
      <c r="B136" s="53"/>
      <c r="C136" s="91"/>
      <c r="D136" s="92" t="s">
        <v>173</v>
      </c>
      <c r="E136" s="92"/>
      <c r="F136" s="30"/>
      <c r="G136" s="65"/>
      <c r="H136" s="93">
        <v>300</v>
      </c>
      <c r="I136" s="33" t="s">
        <v>174</v>
      </c>
      <c r="J136" s="94">
        <v>1</v>
      </c>
      <c r="K136" s="33" t="s">
        <v>67</v>
      </c>
      <c r="L136" s="36">
        <v>250000</v>
      </c>
      <c r="M136" s="36">
        <f t="shared" si="8"/>
        <v>75000000</v>
      </c>
      <c r="N136" s="37"/>
      <c r="O136" s="249"/>
      <c r="P136" s="249"/>
      <c r="Q136" s="249"/>
    </row>
    <row r="137" spans="1:17" ht="17" x14ac:dyDescent="0.15">
      <c r="A137" s="27"/>
      <c r="B137" s="53"/>
      <c r="C137" s="91"/>
      <c r="D137" s="92" t="s">
        <v>175</v>
      </c>
      <c r="E137" s="92"/>
      <c r="F137" s="30"/>
      <c r="G137" s="65"/>
      <c r="H137" s="93">
        <v>96</v>
      </c>
      <c r="I137" s="33" t="s">
        <v>174</v>
      </c>
      <c r="J137" s="94">
        <v>1</v>
      </c>
      <c r="K137" s="33" t="s">
        <v>25</v>
      </c>
      <c r="L137" s="36">
        <v>550000</v>
      </c>
      <c r="M137" s="36">
        <f t="shared" si="8"/>
        <v>52800000</v>
      </c>
      <c r="N137" s="37"/>
      <c r="O137" s="249"/>
      <c r="P137" s="249"/>
      <c r="Q137" s="249"/>
    </row>
    <row r="138" spans="1:17" ht="17" x14ac:dyDescent="0.15">
      <c r="A138" s="38"/>
      <c r="B138" s="95"/>
      <c r="C138" s="96"/>
      <c r="D138" s="101" t="s">
        <v>94</v>
      </c>
      <c r="E138" s="121"/>
      <c r="F138" s="109"/>
      <c r="G138" s="106"/>
      <c r="H138" s="43">
        <v>50</v>
      </c>
      <c r="I138" s="44" t="s">
        <v>71</v>
      </c>
      <c r="J138" s="45">
        <v>1</v>
      </c>
      <c r="K138" s="44" t="s">
        <v>67</v>
      </c>
      <c r="L138" s="102">
        <v>150000</v>
      </c>
      <c r="M138" s="102">
        <f t="shared" si="8"/>
        <v>7500000</v>
      </c>
      <c r="N138" s="48"/>
      <c r="O138" s="249"/>
      <c r="P138" s="249"/>
      <c r="Q138" s="249"/>
    </row>
    <row r="139" spans="1:17" ht="17" x14ac:dyDescent="0.15">
      <c r="A139" s="38"/>
      <c r="B139" s="95"/>
      <c r="C139" s="96"/>
      <c r="D139" s="101" t="s">
        <v>95</v>
      </c>
      <c r="E139" s="109"/>
      <c r="F139" s="106"/>
      <c r="G139" s="122"/>
      <c r="H139" s="123">
        <f>96*2</f>
        <v>192</v>
      </c>
      <c r="I139" s="44" t="s">
        <v>71</v>
      </c>
      <c r="J139" s="45">
        <v>1</v>
      </c>
      <c r="K139" s="44" t="s">
        <v>67</v>
      </c>
      <c r="L139" s="102">
        <v>25000</v>
      </c>
      <c r="M139" s="102">
        <f t="shared" si="8"/>
        <v>4800000</v>
      </c>
      <c r="N139" s="48"/>
      <c r="O139" s="249"/>
      <c r="P139" s="249"/>
      <c r="Q139" s="249"/>
    </row>
    <row r="140" spans="1:17" ht="17" x14ac:dyDescent="0.15">
      <c r="A140" s="38"/>
      <c r="B140" s="95"/>
      <c r="C140" s="96"/>
      <c r="D140" s="107" t="s">
        <v>176</v>
      </c>
      <c r="E140" s="120"/>
      <c r="F140" s="108"/>
      <c r="G140" s="106"/>
      <c r="H140" s="43">
        <v>96</v>
      </c>
      <c r="I140" s="44" t="s">
        <v>71</v>
      </c>
      <c r="J140" s="45">
        <v>1</v>
      </c>
      <c r="K140" s="44" t="s">
        <v>67</v>
      </c>
      <c r="L140" s="102">
        <v>350000</v>
      </c>
      <c r="M140" s="102">
        <f t="shared" si="8"/>
        <v>33600000</v>
      </c>
      <c r="N140" s="48"/>
      <c r="O140" s="249"/>
      <c r="P140" s="249"/>
      <c r="Q140" s="249"/>
    </row>
    <row r="141" spans="1:17" ht="17" x14ac:dyDescent="0.15">
      <c r="A141" s="38"/>
      <c r="B141" s="95"/>
      <c r="C141" s="96"/>
      <c r="D141" s="107" t="s">
        <v>177</v>
      </c>
      <c r="E141" s="120"/>
      <c r="F141" s="108"/>
      <c r="G141" s="85" t="s">
        <v>178</v>
      </c>
      <c r="H141" s="43">
        <v>1</v>
      </c>
      <c r="I141" s="44" t="s">
        <v>71</v>
      </c>
      <c r="J141" s="45">
        <v>1</v>
      </c>
      <c r="K141" s="44" t="s">
        <v>67</v>
      </c>
      <c r="L141" s="102">
        <v>6000000</v>
      </c>
      <c r="M141" s="102">
        <f t="shared" si="8"/>
        <v>6000000</v>
      </c>
      <c r="N141" s="48"/>
      <c r="O141" s="249"/>
      <c r="P141" s="249"/>
      <c r="Q141" s="249"/>
    </row>
    <row r="142" spans="1:17" ht="17" x14ac:dyDescent="0.15">
      <c r="A142" s="38"/>
      <c r="B142" s="95"/>
      <c r="C142" s="96"/>
      <c r="D142" s="107" t="s">
        <v>97</v>
      </c>
      <c r="E142" s="120"/>
      <c r="F142" s="108"/>
      <c r="G142" s="85" t="s">
        <v>169</v>
      </c>
      <c r="H142" s="43">
        <v>30</v>
      </c>
      <c r="I142" s="44" t="s">
        <v>71</v>
      </c>
      <c r="J142" s="45">
        <v>1</v>
      </c>
      <c r="K142" s="44" t="s">
        <v>67</v>
      </c>
      <c r="L142" s="102">
        <v>750000</v>
      </c>
      <c r="M142" s="102">
        <f t="shared" si="8"/>
        <v>22500000</v>
      </c>
      <c r="N142" s="48"/>
      <c r="O142" s="249"/>
      <c r="P142" s="249"/>
      <c r="Q142" s="249"/>
    </row>
    <row r="143" spans="1:17" ht="16" x14ac:dyDescent="0.15">
      <c r="A143" s="27"/>
      <c r="B143" s="53"/>
      <c r="C143" s="91"/>
      <c r="D143" s="91"/>
      <c r="E143" s="92"/>
      <c r="F143" s="30"/>
      <c r="G143" s="65"/>
      <c r="H143" s="93"/>
      <c r="I143" s="33"/>
      <c r="J143" s="94"/>
      <c r="K143" s="33"/>
      <c r="L143" s="36"/>
      <c r="M143" s="36"/>
      <c r="N143" s="37"/>
      <c r="O143" s="249"/>
      <c r="P143" s="249"/>
      <c r="Q143" s="249"/>
    </row>
    <row r="144" spans="1:17" ht="16" x14ac:dyDescent="0.15">
      <c r="A144" s="27"/>
      <c r="B144" s="53"/>
      <c r="C144" s="91" t="s">
        <v>179</v>
      </c>
      <c r="D144" s="91"/>
      <c r="E144" s="92"/>
      <c r="F144" s="30"/>
      <c r="G144" s="65"/>
      <c r="H144" s="93"/>
      <c r="I144" s="33"/>
      <c r="J144" s="94"/>
      <c r="K144" s="33"/>
      <c r="L144" s="36"/>
      <c r="M144" s="36"/>
      <c r="N144" s="37"/>
      <c r="O144" s="249"/>
      <c r="P144" s="249"/>
      <c r="Q144" s="249"/>
    </row>
    <row r="145" spans="1:17" ht="17" x14ac:dyDescent="0.15">
      <c r="A145" s="27"/>
      <c r="B145" s="53"/>
      <c r="C145" s="92"/>
      <c r="D145" s="92" t="s">
        <v>180</v>
      </c>
      <c r="E145" s="92"/>
      <c r="F145" s="30"/>
      <c r="G145" s="65" t="s">
        <v>181</v>
      </c>
      <c r="H145" s="93">
        <v>102</v>
      </c>
      <c r="I145" s="33" t="s">
        <v>118</v>
      </c>
      <c r="J145" s="94">
        <v>1</v>
      </c>
      <c r="K145" s="33" t="s">
        <v>67</v>
      </c>
      <c r="L145" s="36">
        <v>62500</v>
      </c>
      <c r="M145" s="36">
        <f t="shared" ref="M145:M151" si="9">L145*J145*H145</f>
        <v>6375000</v>
      </c>
      <c r="N145" s="37"/>
      <c r="O145" s="249"/>
      <c r="P145" s="249"/>
      <c r="Q145" s="249"/>
    </row>
    <row r="146" spans="1:17" ht="17" x14ac:dyDescent="0.15">
      <c r="A146" s="27"/>
      <c r="B146" s="53"/>
      <c r="C146" s="92"/>
      <c r="D146" s="92" t="s">
        <v>182</v>
      </c>
      <c r="E146" s="92"/>
      <c r="F146" s="30"/>
      <c r="G146" s="65"/>
      <c r="H146" s="93">
        <v>150</v>
      </c>
      <c r="I146" s="33" t="s">
        <v>71</v>
      </c>
      <c r="J146" s="94">
        <v>1</v>
      </c>
      <c r="K146" s="33" t="s">
        <v>67</v>
      </c>
      <c r="L146" s="36">
        <v>300000</v>
      </c>
      <c r="M146" s="36">
        <f t="shared" si="9"/>
        <v>45000000</v>
      </c>
      <c r="N146" s="37"/>
      <c r="O146" s="249"/>
      <c r="P146" s="249"/>
      <c r="Q146" s="249"/>
    </row>
    <row r="147" spans="1:17" ht="17" x14ac:dyDescent="0.15">
      <c r="A147" s="27"/>
      <c r="B147" s="53"/>
      <c r="C147" s="92"/>
      <c r="D147" s="92" t="s">
        <v>130</v>
      </c>
      <c r="E147" s="92"/>
      <c r="F147" s="30"/>
      <c r="G147" s="65"/>
      <c r="H147" s="93">
        <v>75</v>
      </c>
      <c r="I147" s="33" t="s">
        <v>71</v>
      </c>
      <c r="J147" s="94">
        <v>1</v>
      </c>
      <c r="K147" s="33" t="s">
        <v>67</v>
      </c>
      <c r="L147" s="36">
        <v>250000</v>
      </c>
      <c r="M147" s="36">
        <f t="shared" si="9"/>
        <v>18750000</v>
      </c>
      <c r="N147" s="37"/>
      <c r="O147" s="249"/>
      <c r="P147" s="249"/>
      <c r="Q147" s="249"/>
    </row>
    <row r="148" spans="1:17" ht="17" x14ac:dyDescent="0.15">
      <c r="A148" s="27"/>
      <c r="B148" s="53"/>
      <c r="C148" s="92"/>
      <c r="D148" s="92" t="s">
        <v>183</v>
      </c>
      <c r="E148" s="92"/>
      <c r="F148" s="30"/>
      <c r="G148" s="65" t="s">
        <v>184</v>
      </c>
      <c r="H148" s="93">
        <v>2000</v>
      </c>
      <c r="I148" s="33" t="s">
        <v>71</v>
      </c>
      <c r="J148" s="94">
        <v>1</v>
      </c>
      <c r="K148" s="33" t="s">
        <v>67</v>
      </c>
      <c r="L148" s="36">
        <v>25000</v>
      </c>
      <c r="M148" s="36">
        <f t="shared" si="9"/>
        <v>50000000</v>
      </c>
      <c r="N148" s="37"/>
      <c r="O148" s="249"/>
      <c r="P148" s="249"/>
      <c r="Q148" s="249"/>
    </row>
    <row r="149" spans="1:17" ht="17" x14ac:dyDescent="0.15">
      <c r="A149" s="27"/>
      <c r="B149" s="53"/>
      <c r="C149" s="92"/>
      <c r="D149" s="92" t="s">
        <v>185</v>
      </c>
      <c r="E149" s="92"/>
      <c r="F149" s="30"/>
      <c r="G149" s="65"/>
      <c r="H149" s="93">
        <v>6000</v>
      </c>
      <c r="I149" s="33" t="s">
        <v>71</v>
      </c>
      <c r="J149" s="94">
        <v>1</v>
      </c>
      <c r="K149" s="33" t="s">
        <v>67</v>
      </c>
      <c r="L149" s="36">
        <v>20000</v>
      </c>
      <c r="M149" s="36">
        <f t="shared" si="9"/>
        <v>120000000</v>
      </c>
      <c r="N149" s="37"/>
      <c r="O149" s="249"/>
      <c r="P149" s="249"/>
      <c r="Q149" s="249"/>
    </row>
    <row r="150" spans="1:17" ht="17" x14ac:dyDescent="0.15">
      <c r="A150" s="27"/>
      <c r="B150" s="53"/>
      <c r="C150" s="92"/>
      <c r="D150" s="92" t="s">
        <v>186</v>
      </c>
      <c r="E150" s="92"/>
      <c r="F150" s="30"/>
      <c r="G150" s="65"/>
      <c r="H150" s="93">
        <v>10</v>
      </c>
      <c r="I150" s="33" t="s">
        <v>71</v>
      </c>
      <c r="J150" s="94">
        <v>1</v>
      </c>
      <c r="K150" s="33" t="s">
        <v>67</v>
      </c>
      <c r="L150" s="36">
        <v>1150000</v>
      </c>
      <c r="M150" s="36">
        <f t="shared" si="9"/>
        <v>11500000</v>
      </c>
      <c r="N150" s="37"/>
      <c r="O150" s="249"/>
      <c r="P150" s="249"/>
      <c r="Q150" s="249"/>
    </row>
    <row r="151" spans="1:17" ht="17" x14ac:dyDescent="0.15">
      <c r="A151" s="27"/>
      <c r="B151" s="53"/>
      <c r="C151" s="92"/>
      <c r="D151" s="92" t="s">
        <v>122</v>
      </c>
      <c r="E151" s="92"/>
      <c r="F151" s="30"/>
      <c r="G151" s="65" t="s">
        <v>178</v>
      </c>
      <c r="H151" s="93">
        <v>1</v>
      </c>
      <c r="I151" s="33" t="s">
        <v>71</v>
      </c>
      <c r="J151" s="94">
        <v>1</v>
      </c>
      <c r="K151" s="33" t="s">
        <v>67</v>
      </c>
      <c r="L151" s="36">
        <v>6000000</v>
      </c>
      <c r="M151" s="36">
        <f t="shared" si="9"/>
        <v>6000000</v>
      </c>
      <c r="N151" s="37"/>
      <c r="O151" s="249"/>
      <c r="P151" s="249"/>
      <c r="Q151" s="249"/>
    </row>
    <row r="152" spans="1:17" ht="16" x14ac:dyDescent="0.15">
      <c r="A152" s="27"/>
      <c r="B152" s="53"/>
      <c r="C152" s="92"/>
      <c r="D152" s="92"/>
      <c r="E152" s="92"/>
      <c r="F152" s="30"/>
      <c r="G152" s="65"/>
      <c r="H152" s="93"/>
      <c r="I152" s="33"/>
      <c r="J152" s="94"/>
      <c r="K152" s="33"/>
      <c r="L152" s="36"/>
      <c r="M152" s="36"/>
      <c r="N152" s="37"/>
      <c r="O152" s="249"/>
      <c r="P152" s="249"/>
      <c r="Q152" s="249"/>
    </row>
    <row r="153" spans="1:17" ht="16" x14ac:dyDescent="0.15">
      <c r="A153" s="27"/>
      <c r="B153" s="53"/>
      <c r="C153" s="91" t="s">
        <v>187</v>
      </c>
      <c r="D153" s="92"/>
      <c r="E153" s="92"/>
      <c r="F153" s="30"/>
      <c r="G153" s="65"/>
      <c r="H153" s="93"/>
      <c r="I153" s="33"/>
      <c r="J153" s="94"/>
      <c r="K153" s="33"/>
      <c r="L153" s="36"/>
      <c r="M153" s="36"/>
      <c r="N153" s="37"/>
      <c r="O153" s="249"/>
      <c r="P153" s="249"/>
      <c r="Q153" s="249"/>
    </row>
    <row r="154" spans="1:17" ht="17" x14ac:dyDescent="0.15">
      <c r="A154" s="38"/>
      <c r="B154" s="95"/>
      <c r="C154" s="97"/>
      <c r="D154" s="97" t="s">
        <v>188</v>
      </c>
      <c r="E154" s="97"/>
      <c r="F154" s="98"/>
      <c r="G154" s="50" t="s">
        <v>189</v>
      </c>
      <c r="H154" s="100">
        <v>3</v>
      </c>
      <c r="I154" s="49" t="s">
        <v>71</v>
      </c>
      <c r="J154" s="100">
        <v>2</v>
      </c>
      <c r="K154" s="49" t="s">
        <v>67</v>
      </c>
      <c r="L154" s="47">
        <v>600000</v>
      </c>
      <c r="M154" s="47">
        <f t="shared" ref="M154:M160" si="10">L154*J154*H154</f>
        <v>3600000</v>
      </c>
      <c r="N154" s="48"/>
      <c r="O154" s="249"/>
      <c r="P154" s="249"/>
      <c r="Q154" s="249"/>
    </row>
    <row r="155" spans="1:17" ht="17" x14ac:dyDescent="0.15">
      <c r="A155" s="38"/>
      <c r="B155" s="95"/>
      <c r="C155" s="97"/>
      <c r="D155" s="97" t="s">
        <v>188</v>
      </c>
      <c r="E155" s="97"/>
      <c r="F155" s="98"/>
      <c r="G155" s="50" t="s">
        <v>190</v>
      </c>
      <c r="H155" s="100">
        <v>3</v>
      </c>
      <c r="I155" s="49" t="s">
        <v>71</v>
      </c>
      <c r="J155" s="100">
        <v>2</v>
      </c>
      <c r="K155" s="49" t="s">
        <v>67</v>
      </c>
      <c r="L155" s="47">
        <v>600000</v>
      </c>
      <c r="M155" s="47">
        <f t="shared" si="10"/>
        <v>3600000</v>
      </c>
      <c r="N155" s="48"/>
      <c r="O155" s="249"/>
      <c r="P155" s="249"/>
      <c r="Q155" s="249"/>
    </row>
    <row r="156" spans="1:17" ht="17" x14ac:dyDescent="0.15">
      <c r="A156" s="38"/>
      <c r="B156" s="95"/>
      <c r="C156" s="97"/>
      <c r="D156" s="97" t="s">
        <v>95</v>
      </c>
      <c r="E156" s="97"/>
      <c r="F156" s="98"/>
      <c r="G156" s="50"/>
      <c r="H156" s="100">
        <v>20</v>
      </c>
      <c r="I156" s="49" t="s">
        <v>71</v>
      </c>
      <c r="J156" s="100">
        <v>2</v>
      </c>
      <c r="K156" s="49" t="s">
        <v>67</v>
      </c>
      <c r="L156" s="47">
        <v>25000</v>
      </c>
      <c r="M156" s="47">
        <f t="shared" si="10"/>
        <v>1000000</v>
      </c>
      <c r="N156" s="48"/>
      <c r="O156" s="249"/>
      <c r="P156" s="249"/>
      <c r="Q156" s="249"/>
    </row>
    <row r="157" spans="1:17" ht="17" x14ac:dyDescent="0.15">
      <c r="A157" s="38"/>
      <c r="B157" s="95"/>
      <c r="C157" s="97"/>
      <c r="D157" s="97" t="s">
        <v>191</v>
      </c>
      <c r="E157" s="97"/>
      <c r="F157" s="98"/>
      <c r="G157" s="50" t="s">
        <v>192</v>
      </c>
      <c r="H157" s="100">
        <v>8</v>
      </c>
      <c r="I157" s="49" t="s">
        <v>71</v>
      </c>
      <c r="J157" s="100">
        <v>1</v>
      </c>
      <c r="K157" s="49" t="s">
        <v>25</v>
      </c>
      <c r="L157" s="47">
        <v>350000</v>
      </c>
      <c r="M157" s="47">
        <f t="shared" si="10"/>
        <v>2800000</v>
      </c>
      <c r="N157" s="48"/>
      <c r="O157" s="249"/>
      <c r="P157" s="249"/>
      <c r="Q157" s="249"/>
    </row>
    <row r="158" spans="1:17" ht="17" x14ac:dyDescent="0.15">
      <c r="A158" s="38"/>
      <c r="B158" s="95"/>
      <c r="C158" s="97"/>
      <c r="D158" s="97" t="s">
        <v>193</v>
      </c>
      <c r="E158" s="97"/>
      <c r="F158" s="98"/>
      <c r="G158" s="50"/>
      <c r="H158" s="100">
        <v>40</v>
      </c>
      <c r="I158" s="49" t="s">
        <v>71</v>
      </c>
      <c r="J158" s="100">
        <v>1</v>
      </c>
      <c r="K158" s="49" t="s">
        <v>25</v>
      </c>
      <c r="L158" s="47">
        <v>20000</v>
      </c>
      <c r="M158" s="47">
        <f t="shared" si="10"/>
        <v>800000</v>
      </c>
      <c r="N158" s="48"/>
      <c r="O158" s="249"/>
      <c r="P158" s="249"/>
      <c r="Q158" s="249"/>
    </row>
    <row r="159" spans="1:17" ht="17" x14ac:dyDescent="0.15">
      <c r="A159" s="38"/>
      <c r="B159" s="95"/>
      <c r="C159" s="97"/>
      <c r="D159" s="97" t="s">
        <v>194</v>
      </c>
      <c r="E159" s="97"/>
      <c r="F159" s="98"/>
      <c r="G159" s="50" t="s">
        <v>195</v>
      </c>
      <c r="H159" s="100">
        <v>2</v>
      </c>
      <c r="I159" s="49" t="s">
        <v>71</v>
      </c>
      <c r="J159" s="100">
        <v>1</v>
      </c>
      <c r="K159" s="49" t="s">
        <v>25</v>
      </c>
      <c r="L159" s="47">
        <v>1500000</v>
      </c>
      <c r="M159" s="47">
        <f t="shared" si="10"/>
        <v>3000000</v>
      </c>
      <c r="N159" s="48"/>
      <c r="O159" s="249"/>
      <c r="P159" s="249"/>
      <c r="Q159" s="249"/>
    </row>
    <row r="160" spans="1:17" ht="17" x14ac:dyDescent="0.15">
      <c r="A160" s="38"/>
      <c r="B160" s="95"/>
      <c r="C160" s="97"/>
      <c r="D160" s="97" t="s">
        <v>196</v>
      </c>
      <c r="E160" s="97"/>
      <c r="F160" s="98"/>
      <c r="G160" s="50" t="s">
        <v>192</v>
      </c>
      <c r="H160" s="100">
        <v>8</v>
      </c>
      <c r="I160" s="49" t="s">
        <v>71</v>
      </c>
      <c r="J160" s="100">
        <v>2</v>
      </c>
      <c r="K160" s="49" t="s">
        <v>67</v>
      </c>
      <c r="L160" s="47">
        <v>1350000</v>
      </c>
      <c r="M160" s="47">
        <f t="shared" si="10"/>
        <v>21600000</v>
      </c>
      <c r="N160" s="48"/>
      <c r="O160" s="249"/>
      <c r="P160" s="249"/>
      <c r="Q160" s="249"/>
    </row>
    <row r="161" spans="1:17" ht="16" x14ac:dyDescent="0.15">
      <c r="A161" s="27"/>
      <c r="B161" s="53"/>
      <c r="C161" s="92"/>
      <c r="D161" s="92"/>
      <c r="E161" s="92"/>
      <c r="F161" s="30"/>
      <c r="G161" s="65"/>
      <c r="H161" s="93"/>
      <c r="I161" s="33"/>
      <c r="J161" s="94"/>
      <c r="K161" s="33"/>
      <c r="L161" s="36"/>
      <c r="M161" s="36"/>
      <c r="N161" s="37"/>
      <c r="O161" s="249"/>
      <c r="P161" s="249"/>
      <c r="Q161" s="249"/>
    </row>
    <row r="162" spans="1:17" ht="16" x14ac:dyDescent="0.15">
      <c r="A162" s="27"/>
      <c r="B162" s="53"/>
      <c r="C162" s="91" t="s">
        <v>197</v>
      </c>
      <c r="D162" s="92"/>
      <c r="E162" s="92"/>
      <c r="F162" s="30"/>
      <c r="G162" s="65"/>
      <c r="H162" s="93"/>
      <c r="I162" s="33"/>
      <c r="J162" s="94"/>
      <c r="K162" s="33"/>
      <c r="L162" s="36"/>
      <c r="M162" s="36"/>
      <c r="N162" s="37"/>
      <c r="O162" s="249"/>
      <c r="P162" s="249"/>
      <c r="Q162" s="249"/>
    </row>
    <row r="163" spans="1:17" ht="17" x14ac:dyDescent="0.15">
      <c r="A163" s="27"/>
      <c r="B163" s="53"/>
      <c r="C163" s="92"/>
      <c r="D163" s="92" t="s">
        <v>198</v>
      </c>
      <c r="E163" s="92"/>
      <c r="F163" s="30"/>
      <c r="G163" s="65" t="s">
        <v>199</v>
      </c>
      <c r="H163" s="93">
        <v>366</v>
      </c>
      <c r="I163" s="33" t="s">
        <v>118</v>
      </c>
      <c r="J163" s="124">
        <v>1</v>
      </c>
      <c r="K163" s="33" t="s">
        <v>67</v>
      </c>
      <c r="L163" s="36">
        <v>650000</v>
      </c>
      <c r="M163" s="36">
        <f t="shared" ref="M163:M177" si="11">L163*J163*H163</f>
        <v>237900000</v>
      </c>
      <c r="N163" s="37"/>
      <c r="O163" s="249"/>
      <c r="P163" s="249"/>
      <c r="Q163" s="249"/>
    </row>
    <row r="164" spans="1:17" ht="17" x14ac:dyDescent="0.15">
      <c r="A164" s="27"/>
      <c r="B164" s="110"/>
      <c r="C164" s="111"/>
      <c r="D164" s="111" t="s">
        <v>200</v>
      </c>
      <c r="E164" s="111"/>
      <c r="F164" s="112"/>
      <c r="G164" s="65" t="s">
        <v>201</v>
      </c>
      <c r="H164" s="93">
        <v>24</v>
      </c>
      <c r="I164" s="33" t="s">
        <v>118</v>
      </c>
      <c r="J164" s="124">
        <v>1.5</v>
      </c>
      <c r="K164" s="33" t="s">
        <v>67</v>
      </c>
      <c r="L164" s="36">
        <v>650000</v>
      </c>
      <c r="M164" s="36">
        <f t="shared" si="11"/>
        <v>23400000</v>
      </c>
      <c r="N164" s="37"/>
      <c r="O164" s="249"/>
      <c r="P164" s="249"/>
      <c r="Q164" s="249"/>
    </row>
    <row r="165" spans="1:17" ht="17" x14ac:dyDescent="0.15">
      <c r="A165" s="27"/>
      <c r="B165" s="110"/>
      <c r="C165" s="111"/>
      <c r="D165" s="111" t="s">
        <v>202</v>
      </c>
      <c r="E165" s="111"/>
      <c r="F165" s="112"/>
      <c r="G165" s="65" t="s">
        <v>203</v>
      </c>
      <c r="H165" s="93">
        <v>40</v>
      </c>
      <c r="I165" s="33" t="s">
        <v>118</v>
      </c>
      <c r="J165" s="124">
        <v>1.5</v>
      </c>
      <c r="K165" s="33" t="s">
        <v>67</v>
      </c>
      <c r="L165" s="36">
        <v>650000</v>
      </c>
      <c r="M165" s="36">
        <f t="shared" si="11"/>
        <v>39000000</v>
      </c>
      <c r="N165" s="37"/>
      <c r="O165" s="249"/>
      <c r="P165" s="249"/>
      <c r="Q165" s="249"/>
    </row>
    <row r="166" spans="1:17" ht="17" x14ac:dyDescent="0.15">
      <c r="A166" s="27"/>
      <c r="B166" s="110"/>
      <c r="C166" s="111"/>
      <c r="D166" s="111"/>
      <c r="E166" s="111" t="s">
        <v>204</v>
      </c>
      <c r="F166" s="112"/>
      <c r="G166" s="65" t="s">
        <v>205</v>
      </c>
      <c r="H166" s="93">
        <v>36</v>
      </c>
      <c r="I166" s="33" t="s">
        <v>118</v>
      </c>
      <c r="J166" s="124">
        <v>1.5</v>
      </c>
      <c r="K166" s="33" t="s">
        <v>67</v>
      </c>
      <c r="L166" s="36">
        <v>1350000</v>
      </c>
      <c r="M166" s="36">
        <f t="shared" si="11"/>
        <v>72900000</v>
      </c>
      <c r="N166" s="37"/>
      <c r="O166" s="249"/>
      <c r="P166" s="249"/>
      <c r="Q166" s="249"/>
    </row>
    <row r="167" spans="1:17" ht="17" x14ac:dyDescent="0.15">
      <c r="A167" s="27"/>
      <c r="B167" s="110"/>
      <c r="C167" s="111"/>
      <c r="D167" s="111" t="s">
        <v>206</v>
      </c>
      <c r="E167" s="111"/>
      <c r="F167" s="112"/>
      <c r="G167" s="65" t="s">
        <v>207</v>
      </c>
      <c r="H167" s="93">
        <v>84</v>
      </c>
      <c r="I167" s="33" t="s">
        <v>118</v>
      </c>
      <c r="J167" s="124">
        <v>1.5</v>
      </c>
      <c r="K167" s="33" t="s">
        <v>67</v>
      </c>
      <c r="L167" s="36">
        <v>1000000</v>
      </c>
      <c r="M167" s="36">
        <f t="shared" si="11"/>
        <v>126000000</v>
      </c>
      <c r="N167" s="118"/>
      <c r="O167" s="249"/>
      <c r="P167" s="249"/>
      <c r="Q167" s="249"/>
    </row>
    <row r="168" spans="1:17" ht="17" x14ac:dyDescent="0.15">
      <c r="A168" s="27"/>
      <c r="B168" s="110"/>
      <c r="C168" s="111"/>
      <c r="D168" s="111" t="s">
        <v>208</v>
      </c>
      <c r="E168" s="111"/>
      <c r="F168" s="112"/>
      <c r="G168" s="65" t="s">
        <v>209</v>
      </c>
      <c r="H168" s="93">
        <v>48</v>
      </c>
      <c r="I168" s="33" t="s">
        <v>118</v>
      </c>
      <c r="J168" s="124">
        <v>1.5</v>
      </c>
      <c r="K168" s="33" t="s">
        <v>67</v>
      </c>
      <c r="L168" s="36">
        <v>1350000</v>
      </c>
      <c r="M168" s="36">
        <f t="shared" si="11"/>
        <v>97200000</v>
      </c>
      <c r="N168" s="37"/>
      <c r="O168" s="249"/>
      <c r="P168" s="249"/>
      <c r="Q168" s="249"/>
    </row>
    <row r="169" spans="1:17" ht="17" x14ac:dyDescent="0.15">
      <c r="A169" s="27"/>
      <c r="B169" s="110"/>
      <c r="C169" s="111"/>
      <c r="D169" s="111" t="s">
        <v>211</v>
      </c>
      <c r="E169" s="111"/>
      <c r="F169" s="112"/>
      <c r="G169" s="65" t="s">
        <v>212</v>
      </c>
      <c r="H169" s="94">
        <v>40</v>
      </c>
      <c r="I169" s="33" t="s">
        <v>118</v>
      </c>
      <c r="J169" s="124">
        <v>1.5</v>
      </c>
      <c r="K169" s="33" t="s">
        <v>67</v>
      </c>
      <c r="L169" s="36">
        <v>1000000</v>
      </c>
      <c r="M169" s="36">
        <f t="shared" si="11"/>
        <v>60000000</v>
      </c>
      <c r="N169" s="37"/>
      <c r="O169" s="249"/>
      <c r="P169" s="249"/>
      <c r="Q169" s="249"/>
    </row>
    <row r="170" spans="1:17" ht="17" x14ac:dyDescent="0.15">
      <c r="A170" s="27"/>
      <c r="B170" s="110"/>
      <c r="C170" s="111"/>
      <c r="D170" s="111" t="s">
        <v>210</v>
      </c>
      <c r="E170" s="111"/>
      <c r="F170" s="112"/>
      <c r="G170" s="65"/>
      <c r="H170" s="93">
        <v>0</v>
      </c>
      <c r="I170" s="33" t="s">
        <v>24</v>
      </c>
      <c r="J170" s="124">
        <v>1</v>
      </c>
      <c r="K170" s="33" t="s">
        <v>25</v>
      </c>
      <c r="L170" s="36">
        <v>25000000</v>
      </c>
      <c r="M170" s="36">
        <f t="shared" si="11"/>
        <v>0</v>
      </c>
      <c r="N170" s="37"/>
      <c r="O170" s="249"/>
      <c r="P170" s="249"/>
      <c r="Q170" s="249"/>
    </row>
    <row r="171" spans="1:17" ht="17" x14ac:dyDescent="0.15">
      <c r="A171" s="27"/>
      <c r="B171" s="110"/>
      <c r="C171" s="111"/>
      <c r="D171" s="111" t="s">
        <v>120</v>
      </c>
      <c r="E171" s="111"/>
      <c r="F171" s="112"/>
      <c r="G171" s="65" t="s">
        <v>213</v>
      </c>
      <c r="H171" s="93">
        <v>1</v>
      </c>
      <c r="I171" s="33" t="s">
        <v>24</v>
      </c>
      <c r="J171" s="124">
        <v>1.5</v>
      </c>
      <c r="K171" s="33" t="s">
        <v>67</v>
      </c>
      <c r="L171" s="36">
        <v>92500000</v>
      </c>
      <c r="M171" s="36">
        <f t="shared" si="11"/>
        <v>138750000</v>
      </c>
      <c r="N171" s="37"/>
      <c r="O171" s="249"/>
      <c r="P171" s="249"/>
      <c r="Q171" s="249"/>
    </row>
    <row r="172" spans="1:17" ht="17" x14ac:dyDescent="0.15">
      <c r="A172" s="27"/>
      <c r="B172" s="110"/>
      <c r="C172" s="111"/>
      <c r="D172" s="111"/>
      <c r="E172" s="111" t="s">
        <v>214</v>
      </c>
      <c r="F172" s="112"/>
      <c r="G172" s="65"/>
      <c r="H172" s="93">
        <v>1</v>
      </c>
      <c r="I172" s="33" t="s">
        <v>24</v>
      </c>
      <c r="J172" s="124">
        <v>1</v>
      </c>
      <c r="K172" s="33" t="s">
        <v>67</v>
      </c>
      <c r="L172" s="36">
        <v>35000000</v>
      </c>
      <c r="M172" s="36">
        <f t="shared" si="11"/>
        <v>35000000</v>
      </c>
      <c r="N172" s="37"/>
      <c r="O172" s="249"/>
      <c r="P172" s="249"/>
      <c r="Q172" s="249"/>
    </row>
    <row r="173" spans="1:17" ht="17" x14ac:dyDescent="0.15">
      <c r="A173" s="27"/>
      <c r="B173" s="110"/>
      <c r="C173" s="111"/>
      <c r="D173" s="111" t="s">
        <v>215</v>
      </c>
      <c r="E173" s="111"/>
      <c r="F173" s="112"/>
      <c r="G173" s="65"/>
      <c r="H173" s="93">
        <v>1</v>
      </c>
      <c r="I173" s="33" t="s">
        <v>24</v>
      </c>
      <c r="J173" s="124">
        <v>1.5</v>
      </c>
      <c r="K173" s="33" t="s">
        <v>67</v>
      </c>
      <c r="L173" s="36">
        <v>127500000</v>
      </c>
      <c r="M173" s="36">
        <f t="shared" si="11"/>
        <v>191250000</v>
      </c>
      <c r="N173" s="37"/>
      <c r="O173" s="249"/>
      <c r="P173" s="249"/>
      <c r="Q173" s="249"/>
    </row>
    <row r="174" spans="1:17" ht="17" x14ac:dyDescent="0.15">
      <c r="A174" s="27"/>
      <c r="B174" s="110"/>
      <c r="C174" s="111"/>
      <c r="D174" s="111"/>
      <c r="E174" s="111" t="s">
        <v>216</v>
      </c>
      <c r="F174" s="112"/>
      <c r="G174" s="65" t="s">
        <v>217</v>
      </c>
      <c r="H174" s="93">
        <v>2</v>
      </c>
      <c r="I174" s="33" t="s">
        <v>71</v>
      </c>
      <c r="J174" s="124">
        <v>1.5</v>
      </c>
      <c r="K174" s="33" t="s">
        <v>67</v>
      </c>
      <c r="L174" s="36">
        <v>6000000</v>
      </c>
      <c r="M174" s="36">
        <f t="shared" si="11"/>
        <v>18000000</v>
      </c>
      <c r="N174" s="37"/>
      <c r="O174" s="249"/>
      <c r="P174" s="249"/>
      <c r="Q174" s="249"/>
    </row>
    <row r="175" spans="1:17" ht="17" x14ac:dyDescent="0.15">
      <c r="A175" s="27"/>
      <c r="B175" s="110"/>
      <c r="C175" s="111"/>
      <c r="D175" s="111" t="s">
        <v>218</v>
      </c>
      <c r="E175" s="111"/>
      <c r="F175" s="112"/>
      <c r="G175" s="65"/>
      <c r="H175" s="93">
        <v>1</v>
      </c>
      <c r="I175" s="33" t="s">
        <v>24</v>
      </c>
      <c r="J175" s="124">
        <v>1.5</v>
      </c>
      <c r="K175" s="33" t="s">
        <v>67</v>
      </c>
      <c r="L175" s="36">
        <v>67500000</v>
      </c>
      <c r="M175" s="36">
        <f t="shared" si="11"/>
        <v>101250000</v>
      </c>
      <c r="N175" s="37"/>
      <c r="O175" s="249"/>
      <c r="P175" s="249"/>
      <c r="Q175" s="249"/>
    </row>
    <row r="176" spans="1:17" ht="17" x14ac:dyDescent="0.15">
      <c r="A176" s="27"/>
      <c r="B176" s="110"/>
      <c r="C176" s="111"/>
      <c r="D176" s="111" t="s">
        <v>219</v>
      </c>
      <c r="E176" s="111"/>
      <c r="F176" s="112"/>
      <c r="G176" s="65"/>
      <c r="H176" s="93">
        <v>3</v>
      </c>
      <c r="I176" s="33" t="s">
        <v>71</v>
      </c>
      <c r="J176" s="94">
        <v>2</v>
      </c>
      <c r="K176" s="33" t="s">
        <v>67</v>
      </c>
      <c r="L176" s="36">
        <v>6000000</v>
      </c>
      <c r="M176" s="36">
        <f t="shared" si="11"/>
        <v>36000000</v>
      </c>
      <c r="N176" s="118"/>
      <c r="O176" s="249"/>
      <c r="P176" s="249"/>
      <c r="Q176" s="249"/>
    </row>
    <row r="177" spans="1:17" ht="16" x14ac:dyDescent="0.15">
      <c r="A177" s="38"/>
      <c r="B177" s="113"/>
      <c r="C177" s="114"/>
      <c r="D177" s="114" t="s">
        <v>220</v>
      </c>
      <c r="E177" s="114"/>
      <c r="F177" s="116"/>
      <c r="G177" s="50"/>
      <c r="H177" s="125">
        <v>1</v>
      </c>
      <c r="I177" s="126" t="s">
        <v>24</v>
      </c>
      <c r="J177" s="127">
        <v>1</v>
      </c>
      <c r="K177" s="126" t="s">
        <v>25</v>
      </c>
      <c r="L177" s="128">
        <v>135000000</v>
      </c>
      <c r="M177" s="128">
        <f t="shared" si="11"/>
        <v>135000000</v>
      </c>
      <c r="N177" s="48"/>
      <c r="O177" s="249"/>
      <c r="P177" s="249"/>
      <c r="Q177" s="249"/>
    </row>
    <row r="178" spans="1:17" ht="16" x14ac:dyDescent="0.15">
      <c r="A178" s="38"/>
      <c r="B178" s="113"/>
      <c r="C178" s="114"/>
      <c r="D178" s="129" t="s">
        <v>221</v>
      </c>
      <c r="E178" s="130"/>
      <c r="F178" s="131"/>
      <c r="G178" s="132"/>
      <c r="H178" s="133"/>
      <c r="I178" s="134"/>
      <c r="J178" s="133"/>
      <c r="K178" s="134"/>
      <c r="L178" s="133"/>
      <c r="M178" s="133"/>
      <c r="N178" s="48"/>
      <c r="O178" s="249"/>
      <c r="P178" s="249"/>
      <c r="Q178" s="249"/>
    </row>
    <row r="179" spans="1:17" ht="16" x14ac:dyDescent="0.15">
      <c r="A179" s="38"/>
      <c r="B179" s="95"/>
      <c r="C179" s="97"/>
      <c r="D179" s="101"/>
      <c r="E179" s="101" t="s">
        <v>222</v>
      </c>
      <c r="F179" s="84"/>
      <c r="G179" s="135"/>
      <c r="H179" s="136"/>
      <c r="I179" s="137"/>
      <c r="J179" s="136"/>
      <c r="K179" s="137"/>
      <c r="L179" s="136"/>
      <c r="M179" s="136"/>
      <c r="N179" s="48"/>
      <c r="O179" s="249"/>
      <c r="P179" s="249"/>
      <c r="Q179" s="249"/>
    </row>
    <row r="180" spans="1:17" ht="17" x14ac:dyDescent="0.15">
      <c r="A180" s="38"/>
      <c r="B180" s="138"/>
      <c r="C180" s="139"/>
      <c r="D180" s="140" t="s">
        <v>223</v>
      </c>
      <c r="E180" s="8"/>
      <c r="F180" s="134"/>
      <c r="G180" s="141" t="s">
        <v>224</v>
      </c>
      <c r="H180" s="142">
        <v>48</v>
      </c>
      <c r="I180" s="143" t="s">
        <v>118</v>
      </c>
      <c r="J180" s="144">
        <v>1.5</v>
      </c>
      <c r="K180" s="49" t="s">
        <v>67</v>
      </c>
      <c r="L180" s="47">
        <v>1000000</v>
      </c>
      <c r="M180" s="47">
        <f t="shared" ref="M180:M186" si="12">L180*J180*H180</f>
        <v>72000000</v>
      </c>
      <c r="N180" s="48"/>
      <c r="O180" s="249"/>
      <c r="P180" s="249"/>
      <c r="Q180" s="249"/>
    </row>
    <row r="181" spans="1:17" ht="17" x14ac:dyDescent="0.15">
      <c r="A181" s="38"/>
      <c r="B181" s="113"/>
      <c r="C181" s="114"/>
      <c r="D181" s="101"/>
      <c r="E181" s="84" t="s">
        <v>225</v>
      </c>
      <c r="F181" s="145"/>
      <c r="G181" s="132" t="s">
        <v>226</v>
      </c>
      <c r="H181" s="142">
        <v>2</v>
      </c>
      <c r="I181" s="49" t="s">
        <v>24</v>
      </c>
      <c r="J181" s="146">
        <v>1.5</v>
      </c>
      <c r="K181" s="49" t="s">
        <v>67</v>
      </c>
      <c r="L181" s="47">
        <v>6000000</v>
      </c>
      <c r="M181" s="47">
        <f t="shared" si="12"/>
        <v>18000000</v>
      </c>
      <c r="N181" s="48"/>
      <c r="O181" s="249"/>
      <c r="P181" s="249"/>
      <c r="Q181" s="249"/>
    </row>
    <row r="182" spans="1:17" ht="17" x14ac:dyDescent="0.15">
      <c r="A182" s="38"/>
      <c r="B182" s="113"/>
      <c r="C182" s="114"/>
      <c r="D182" s="101" t="s">
        <v>227</v>
      </c>
      <c r="E182" s="109"/>
      <c r="F182" s="145"/>
      <c r="G182" s="132"/>
      <c r="H182" s="142">
        <v>1</v>
      </c>
      <c r="I182" s="49" t="s">
        <v>71</v>
      </c>
      <c r="J182" s="100">
        <v>1</v>
      </c>
      <c r="K182" s="49" t="s">
        <v>67</v>
      </c>
      <c r="L182" s="47">
        <v>1500000</v>
      </c>
      <c r="M182" s="47">
        <f t="shared" si="12"/>
        <v>1500000</v>
      </c>
      <c r="N182" s="48"/>
      <c r="O182" s="249"/>
      <c r="P182" s="249"/>
      <c r="Q182" s="249"/>
    </row>
    <row r="183" spans="1:17" ht="17" x14ac:dyDescent="0.15">
      <c r="A183" s="38"/>
      <c r="B183" s="113"/>
      <c r="C183" s="114"/>
      <c r="D183" s="101" t="s">
        <v>228</v>
      </c>
      <c r="E183" s="109"/>
      <c r="F183" s="145"/>
      <c r="G183" s="50" t="s">
        <v>229</v>
      </c>
      <c r="H183" s="142">
        <v>1</v>
      </c>
      <c r="I183" s="49" t="s">
        <v>71</v>
      </c>
      <c r="J183" s="100">
        <v>1</v>
      </c>
      <c r="K183" s="49" t="s">
        <v>67</v>
      </c>
      <c r="L183" s="47">
        <v>450000</v>
      </c>
      <c r="M183" s="47">
        <f t="shared" si="12"/>
        <v>450000</v>
      </c>
      <c r="N183" s="48"/>
      <c r="O183" s="249"/>
      <c r="P183" s="249"/>
      <c r="Q183" s="249"/>
    </row>
    <row r="184" spans="1:17" ht="17" x14ac:dyDescent="0.15">
      <c r="A184" s="38"/>
      <c r="B184" s="113"/>
      <c r="C184" s="114"/>
      <c r="D184" s="101" t="s">
        <v>131</v>
      </c>
      <c r="E184" s="109"/>
      <c r="F184" s="145"/>
      <c r="G184" s="50"/>
      <c r="H184" s="142">
        <v>10</v>
      </c>
      <c r="I184" s="49" t="s">
        <v>71</v>
      </c>
      <c r="J184" s="100">
        <v>1</v>
      </c>
      <c r="K184" s="49" t="s">
        <v>67</v>
      </c>
      <c r="L184" s="47">
        <v>450000</v>
      </c>
      <c r="M184" s="47">
        <f t="shared" si="12"/>
        <v>4500000</v>
      </c>
      <c r="N184" s="48"/>
      <c r="O184" s="249"/>
      <c r="P184" s="249"/>
      <c r="Q184" s="249"/>
    </row>
    <row r="185" spans="1:17" ht="17" x14ac:dyDescent="0.15">
      <c r="A185" s="38"/>
      <c r="B185" s="113"/>
      <c r="C185" s="114"/>
      <c r="D185" s="101" t="s">
        <v>230</v>
      </c>
      <c r="E185" s="109"/>
      <c r="F185" s="145"/>
      <c r="G185" s="50"/>
      <c r="H185" s="142">
        <v>3</v>
      </c>
      <c r="I185" s="49" t="s">
        <v>71</v>
      </c>
      <c r="J185" s="100">
        <v>1</v>
      </c>
      <c r="K185" s="49" t="s">
        <v>67</v>
      </c>
      <c r="L185" s="47">
        <v>1750000</v>
      </c>
      <c r="M185" s="47">
        <f t="shared" si="12"/>
        <v>5250000</v>
      </c>
      <c r="N185" s="48"/>
      <c r="O185" s="249"/>
      <c r="P185" s="249"/>
      <c r="Q185" s="249"/>
    </row>
    <row r="186" spans="1:17" ht="17" x14ac:dyDescent="0.15">
      <c r="A186" s="38"/>
      <c r="B186" s="113"/>
      <c r="C186" s="114"/>
      <c r="D186" s="101" t="s">
        <v>231</v>
      </c>
      <c r="E186" s="114"/>
      <c r="F186" s="116"/>
      <c r="G186" s="50"/>
      <c r="H186" s="99">
        <v>1</v>
      </c>
      <c r="I186" s="49" t="s">
        <v>24</v>
      </c>
      <c r="J186" s="100">
        <v>1</v>
      </c>
      <c r="K186" s="49" t="s">
        <v>25</v>
      </c>
      <c r="L186" s="47">
        <v>625000000</v>
      </c>
      <c r="M186" s="47">
        <f t="shared" si="12"/>
        <v>625000000</v>
      </c>
      <c r="N186" s="48"/>
      <c r="O186" s="249"/>
      <c r="P186" s="249"/>
      <c r="Q186" s="249"/>
    </row>
    <row r="187" spans="1:17" ht="16" x14ac:dyDescent="0.15">
      <c r="A187" s="38"/>
      <c r="B187" s="95"/>
      <c r="C187" s="97"/>
      <c r="D187" s="147"/>
      <c r="E187" s="97" t="s">
        <v>232</v>
      </c>
      <c r="F187" s="98"/>
      <c r="G187" s="50"/>
      <c r="H187" s="99"/>
      <c r="I187" s="49"/>
      <c r="J187" s="100"/>
      <c r="K187" s="49"/>
      <c r="L187" s="47"/>
      <c r="M187" s="47"/>
      <c r="N187" s="48"/>
      <c r="O187" s="249"/>
      <c r="P187" s="249"/>
      <c r="Q187" s="249"/>
    </row>
    <row r="188" spans="1:17" ht="16" x14ac:dyDescent="0.15">
      <c r="A188" s="38"/>
      <c r="B188" s="113"/>
      <c r="C188" s="148"/>
      <c r="D188" s="114"/>
      <c r="E188" s="114" t="s">
        <v>233</v>
      </c>
      <c r="F188" s="116"/>
      <c r="G188" s="149"/>
      <c r="H188" s="99"/>
      <c r="I188" s="49"/>
      <c r="J188" s="100"/>
      <c r="K188" s="49"/>
      <c r="L188" s="47"/>
      <c r="M188" s="47"/>
      <c r="N188" s="48"/>
      <c r="O188" s="249"/>
      <c r="P188" s="249"/>
      <c r="Q188" s="249"/>
    </row>
    <row r="189" spans="1:17" ht="16" x14ac:dyDescent="0.15">
      <c r="A189" s="38"/>
      <c r="B189" s="113"/>
      <c r="C189" s="114"/>
      <c r="D189" s="114" t="s">
        <v>234</v>
      </c>
      <c r="E189" s="114"/>
      <c r="F189" s="116"/>
      <c r="G189" s="50"/>
      <c r="H189" s="99"/>
      <c r="I189" s="49"/>
      <c r="J189" s="100"/>
      <c r="K189" s="49"/>
      <c r="L189" s="47"/>
      <c r="M189" s="47"/>
      <c r="N189" s="48"/>
      <c r="O189" s="249"/>
      <c r="P189" s="249"/>
      <c r="Q189" s="249"/>
    </row>
    <row r="190" spans="1:17" ht="17" x14ac:dyDescent="0.15">
      <c r="A190" s="38"/>
      <c r="B190" s="113"/>
      <c r="C190" s="114"/>
      <c r="D190" s="114"/>
      <c r="E190" s="114" t="s">
        <v>235</v>
      </c>
      <c r="F190" s="116"/>
      <c r="G190" s="50"/>
      <c r="H190" s="99">
        <v>6</v>
      </c>
      <c r="I190" s="49" t="s">
        <v>71</v>
      </c>
      <c r="J190" s="100">
        <v>1</v>
      </c>
      <c r="K190" s="49" t="s">
        <v>25</v>
      </c>
      <c r="L190" s="47">
        <v>3500000</v>
      </c>
      <c r="M190" s="47">
        <f t="shared" ref="M190:M191" si="13">L190*J190*H190</f>
        <v>21000000</v>
      </c>
      <c r="N190" s="48"/>
      <c r="O190" s="249"/>
      <c r="P190" s="249"/>
      <c r="Q190" s="249"/>
    </row>
    <row r="191" spans="1:17" ht="17" x14ac:dyDescent="0.15">
      <c r="A191" s="38"/>
      <c r="B191" s="113"/>
      <c r="C191" s="114"/>
      <c r="D191" s="114"/>
      <c r="E191" s="114" t="s">
        <v>236</v>
      </c>
      <c r="F191" s="116"/>
      <c r="G191" s="50" t="s">
        <v>237</v>
      </c>
      <c r="H191" s="99">
        <v>4</v>
      </c>
      <c r="I191" s="49" t="s">
        <v>71</v>
      </c>
      <c r="J191" s="100">
        <v>1</v>
      </c>
      <c r="K191" s="49" t="s">
        <v>25</v>
      </c>
      <c r="L191" s="47">
        <v>3500000</v>
      </c>
      <c r="M191" s="47">
        <f t="shared" si="13"/>
        <v>14000000</v>
      </c>
      <c r="N191" s="48"/>
      <c r="O191" s="249"/>
      <c r="P191" s="249"/>
      <c r="Q191" s="249"/>
    </row>
    <row r="192" spans="1:17" ht="16" x14ac:dyDescent="0.15">
      <c r="A192" s="27"/>
      <c r="B192" s="110"/>
      <c r="C192" s="111"/>
      <c r="D192" s="111"/>
      <c r="E192" s="111"/>
      <c r="F192" s="112"/>
      <c r="G192" s="65"/>
      <c r="H192" s="93"/>
      <c r="I192" s="33"/>
      <c r="J192" s="94"/>
      <c r="K192" s="33"/>
      <c r="L192" s="36"/>
      <c r="M192" s="36"/>
      <c r="N192" s="37"/>
      <c r="O192" s="249"/>
      <c r="P192" s="249"/>
      <c r="Q192" s="249"/>
    </row>
    <row r="193" spans="1:17" ht="16" x14ac:dyDescent="0.15">
      <c r="A193" s="27"/>
      <c r="B193" s="110"/>
      <c r="C193" s="150" t="s">
        <v>238</v>
      </c>
      <c r="D193" s="111"/>
      <c r="E193" s="111"/>
      <c r="F193" s="112"/>
      <c r="G193" s="65"/>
      <c r="H193" s="93"/>
      <c r="I193" s="33"/>
      <c r="J193" s="94"/>
      <c r="K193" s="33"/>
      <c r="L193" s="36"/>
      <c r="M193" s="36"/>
      <c r="N193" s="37"/>
      <c r="O193" s="249"/>
      <c r="P193" s="249"/>
      <c r="Q193" s="249"/>
    </row>
    <row r="194" spans="1:17" ht="17" x14ac:dyDescent="0.15">
      <c r="A194" s="27"/>
      <c r="B194" s="110"/>
      <c r="C194" s="111"/>
      <c r="D194" s="111" t="s">
        <v>239</v>
      </c>
      <c r="E194" s="111"/>
      <c r="F194" s="112"/>
      <c r="G194" s="65" t="s">
        <v>240</v>
      </c>
      <c r="H194" s="93">
        <v>1</v>
      </c>
      <c r="I194" s="33" t="s">
        <v>24</v>
      </c>
      <c r="J194" s="94">
        <v>1</v>
      </c>
      <c r="K194" s="33" t="s">
        <v>67</v>
      </c>
      <c r="L194" s="36">
        <v>40000000</v>
      </c>
      <c r="M194" s="36">
        <f>L194*J194*H194</f>
        <v>40000000</v>
      </c>
      <c r="N194" s="37"/>
      <c r="O194" s="249"/>
      <c r="P194" s="249"/>
      <c r="Q194" s="249"/>
    </row>
    <row r="195" spans="1:17" ht="16" x14ac:dyDescent="0.15">
      <c r="A195" s="27"/>
      <c r="B195" s="110"/>
      <c r="C195" s="111"/>
      <c r="D195" s="111" t="s">
        <v>241</v>
      </c>
      <c r="E195" s="111"/>
      <c r="F195" s="112"/>
      <c r="G195" s="65"/>
      <c r="H195" s="93"/>
      <c r="I195" s="33"/>
      <c r="J195" s="94"/>
      <c r="K195" s="33"/>
      <c r="L195" s="36"/>
      <c r="M195" s="36"/>
      <c r="N195" s="37"/>
      <c r="O195" s="249"/>
      <c r="P195" s="249"/>
      <c r="Q195" s="249"/>
    </row>
    <row r="196" spans="1:17" ht="17" x14ac:dyDescent="0.15">
      <c r="A196" s="27"/>
      <c r="B196" s="110"/>
      <c r="C196" s="111"/>
      <c r="D196" s="111" t="s">
        <v>242</v>
      </c>
      <c r="E196" s="111"/>
      <c r="F196" s="112"/>
      <c r="G196" s="65"/>
      <c r="H196" s="93">
        <v>1</v>
      </c>
      <c r="I196" s="33" t="s">
        <v>24</v>
      </c>
      <c r="J196" s="94">
        <v>1</v>
      </c>
      <c r="K196" s="33" t="s">
        <v>67</v>
      </c>
      <c r="L196" s="36">
        <v>60000000</v>
      </c>
      <c r="M196" s="36">
        <f t="shared" ref="M196:M198" si="14">L196*J196*H196</f>
        <v>60000000</v>
      </c>
      <c r="N196" s="37"/>
      <c r="O196" s="249"/>
      <c r="P196" s="249"/>
      <c r="Q196" s="249"/>
    </row>
    <row r="197" spans="1:17" ht="17" x14ac:dyDescent="0.15">
      <c r="A197" s="27"/>
      <c r="B197" s="110"/>
      <c r="C197" s="111"/>
      <c r="D197" s="111"/>
      <c r="E197" s="111" t="s">
        <v>243</v>
      </c>
      <c r="F197" s="112"/>
      <c r="G197" s="65"/>
      <c r="H197" s="93">
        <v>60</v>
      </c>
      <c r="I197" s="33" t="s">
        <v>71</v>
      </c>
      <c r="J197" s="94">
        <v>1</v>
      </c>
      <c r="K197" s="33" t="s">
        <v>67</v>
      </c>
      <c r="L197" s="36">
        <v>200000</v>
      </c>
      <c r="M197" s="36">
        <f t="shared" si="14"/>
        <v>12000000</v>
      </c>
      <c r="N197" s="37"/>
      <c r="O197" s="249"/>
      <c r="P197" s="249"/>
      <c r="Q197" s="249"/>
    </row>
    <row r="198" spans="1:17" ht="17" x14ac:dyDescent="0.15">
      <c r="A198" s="27"/>
      <c r="B198" s="110"/>
      <c r="C198" s="111"/>
      <c r="D198" s="111" t="s">
        <v>244</v>
      </c>
      <c r="E198" s="111"/>
      <c r="F198" s="112"/>
      <c r="G198" s="65"/>
      <c r="H198" s="93">
        <v>8</v>
      </c>
      <c r="I198" s="33" t="s">
        <v>71</v>
      </c>
      <c r="J198" s="94">
        <v>1</v>
      </c>
      <c r="K198" s="33" t="s">
        <v>67</v>
      </c>
      <c r="L198" s="36">
        <v>2500000</v>
      </c>
      <c r="M198" s="36">
        <f t="shared" si="14"/>
        <v>20000000</v>
      </c>
      <c r="N198" s="37"/>
      <c r="O198" s="249"/>
      <c r="P198" s="249"/>
      <c r="Q198" s="249"/>
    </row>
    <row r="199" spans="1:17" ht="16" x14ac:dyDescent="0.15">
      <c r="A199" s="27"/>
      <c r="B199" s="110"/>
      <c r="C199" s="111"/>
      <c r="D199" s="111"/>
      <c r="E199" s="111"/>
      <c r="F199" s="112"/>
      <c r="G199" s="65"/>
      <c r="H199" s="93"/>
      <c r="I199" s="33"/>
      <c r="J199" s="94"/>
      <c r="K199" s="33"/>
      <c r="L199" s="36"/>
      <c r="M199" s="36"/>
      <c r="N199" s="37"/>
      <c r="O199" s="249"/>
      <c r="P199" s="249"/>
      <c r="Q199" s="249"/>
    </row>
    <row r="200" spans="1:17" ht="16" x14ac:dyDescent="0.15">
      <c r="A200" s="27"/>
      <c r="B200" s="110"/>
      <c r="C200" s="150" t="s">
        <v>245</v>
      </c>
      <c r="D200" s="111"/>
      <c r="E200" s="111"/>
      <c r="F200" s="112"/>
      <c r="G200" s="65"/>
      <c r="H200" s="93"/>
      <c r="I200" s="33"/>
      <c r="J200" s="94"/>
      <c r="K200" s="33"/>
      <c r="L200" s="36"/>
      <c r="M200" s="36"/>
      <c r="N200" s="37"/>
      <c r="O200" s="249"/>
      <c r="P200" s="249"/>
      <c r="Q200" s="249"/>
    </row>
    <row r="201" spans="1:17" ht="17" x14ac:dyDescent="0.15">
      <c r="A201" s="38"/>
      <c r="B201" s="113"/>
      <c r="C201" s="114"/>
      <c r="D201" s="114" t="s">
        <v>246</v>
      </c>
      <c r="E201" s="114"/>
      <c r="F201" s="116"/>
      <c r="G201" s="50" t="s">
        <v>247</v>
      </c>
      <c r="H201" s="99">
        <v>1</v>
      </c>
      <c r="I201" s="49" t="s">
        <v>24</v>
      </c>
      <c r="J201" s="100">
        <v>1</v>
      </c>
      <c r="K201" s="49" t="s">
        <v>25</v>
      </c>
      <c r="L201" s="47">
        <v>20000000</v>
      </c>
      <c r="M201" s="47">
        <f>L201*J201*H201</f>
        <v>20000000</v>
      </c>
      <c r="N201" s="48"/>
      <c r="O201" s="249"/>
      <c r="P201" s="249"/>
      <c r="Q201" s="249"/>
    </row>
    <row r="202" spans="1:17" ht="16" x14ac:dyDescent="0.15">
      <c r="A202" s="27"/>
      <c r="B202" s="110"/>
      <c r="C202" s="111"/>
      <c r="D202" s="111"/>
      <c r="E202" s="111"/>
      <c r="F202" s="112"/>
      <c r="G202" s="65"/>
      <c r="H202" s="93"/>
      <c r="I202" s="33"/>
      <c r="J202" s="94"/>
      <c r="K202" s="33"/>
      <c r="L202" s="36"/>
      <c r="M202" s="36"/>
      <c r="N202" s="37"/>
      <c r="O202" s="249"/>
      <c r="P202" s="249"/>
      <c r="Q202" s="249"/>
    </row>
    <row r="203" spans="1:17" ht="16" x14ac:dyDescent="0.15">
      <c r="A203" s="18" t="s">
        <v>248</v>
      </c>
      <c r="B203" s="151" t="s">
        <v>249</v>
      </c>
      <c r="C203" s="152"/>
      <c r="D203" s="152"/>
      <c r="E203" s="152"/>
      <c r="F203" s="153"/>
      <c r="G203" s="22"/>
      <c r="H203" s="23"/>
      <c r="I203" s="24"/>
      <c r="J203" s="23"/>
      <c r="K203" s="24"/>
      <c r="L203" s="25"/>
      <c r="M203" s="25"/>
      <c r="N203" s="26">
        <f>SUM(M204:M216)</f>
        <v>1140000000</v>
      </c>
      <c r="O203" s="249"/>
      <c r="P203" s="249"/>
      <c r="Q203" s="249"/>
    </row>
    <row r="204" spans="1:17" ht="17" x14ac:dyDescent="0.15">
      <c r="A204" s="38"/>
      <c r="B204" s="113"/>
      <c r="C204" s="114" t="s">
        <v>250</v>
      </c>
      <c r="D204" s="114"/>
      <c r="E204" s="114"/>
      <c r="F204" s="116"/>
      <c r="G204" s="50"/>
      <c r="H204" s="99">
        <v>1</v>
      </c>
      <c r="I204" s="49" t="s">
        <v>50</v>
      </c>
      <c r="J204" s="100">
        <v>1</v>
      </c>
      <c r="K204" s="49" t="s">
        <v>25</v>
      </c>
      <c r="L204" s="47">
        <v>280000000</v>
      </c>
      <c r="M204" s="47">
        <f t="shared" ref="M204:M215" si="15">L204*J204*H204</f>
        <v>280000000</v>
      </c>
      <c r="N204" s="48"/>
      <c r="O204" s="249"/>
      <c r="P204" s="249"/>
      <c r="Q204" s="249"/>
    </row>
    <row r="205" spans="1:17" ht="17" x14ac:dyDescent="0.15">
      <c r="A205" s="38"/>
      <c r="B205" s="113"/>
      <c r="C205" s="114"/>
      <c r="D205" s="114" t="s">
        <v>251</v>
      </c>
      <c r="E205" s="114"/>
      <c r="F205" s="116"/>
      <c r="G205" s="50"/>
      <c r="H205" s="99">
        <v>1</v>
      </c>
      <c r="I205" s="49" t="s">
        <v>50</v>
      </c>
      <c r="J205" s="100">
        <v>1</v>
      </c>
      <c r="K205" s="49" t="s">
        <v>25</v>
      </c>
      <c r="L205" s="47">
        <v>70000000</v>
      </c>
      <c r="M205" s="47">
        <f t="shared" si="15"/>
        <v>70000000</v>
      </c>
      <c r="N205" s="48"/>
      <c r="O205" s="249"/>
      <c r="P205" s="249"/>
      <c r="Q205" s="249"/>
    </row>
    <row r="206" spans="1:17" ht="17" x14ac:dyDescent="0.15">
      <c r="A206" s="38"/>
      <c r="B206" s="113"/>
      <c r="C206" s="114" t="s">
        <v>252</v>
      </c>
      <c r="D206" s="114"/>
      <c r="E206" s="114"/>
      <c r="F206" s="116"/>
      <c r="G206" s="50"/>
      <c r="H206" s="99">
        <v>1</v>
      </c>
      <c r="I206" s="49" t="s">
        <v>50</v>
      </c>
      <c r="J206" s="100">
        <v>1</v>
      </c>
      <c r="K206" s="49" t="s">
        <v>25</v>
      </c>
      <c r="L206" s="47">
        <v>65000000</v>
      </c>
      <c r="M206" s="47">
        <f t="shared" si="15"/>
        <v>65000000</v>
      </c>
      <c r="N206" s="48"/>
      <c r="O206" s="249"/>
      <c r="P206" s="249"/>
      <c r="Q206" s="249"/>
    </row>
    <row r="207" spans="1:17" ht="17" x14ac:dyDescent="0.15">
      <c r="A207" s="38"/>
      <c r="B207" s="113"/>
      <c r="C207" s="114"/>
      <c r="D207" s="114" t="s">
        <v>251</v>
      </c>
      <c r="E207" s="114"/>
      <c r="F207" s="116"/>
      <c r="G207" s="50"/>
      <c r="H207" s="99">
        <v>1</v>
      </c>
      <c r="I207" s="49" t="s">
        <v>50</v>
      </c>
      <c r="J207" s="100">
        <v>1</v>
      </c>
      <c r="K207" s="49" t="s">
        <v>25</v>
      </c>
      <c r="L207" s="47">
        <v>17500000</v>
      </c>
      <c r="M207" s="47">
        <f t="shared" si="15"/>
        <v>17500000</v>
      </c>
      <c r="N207" s="48"/>
      <c r="O207" s="249"/>
      <c r="P207" s="249"/>
      <c r="Q207" s="249"/>
    </row>
    <row r="208" spans="1:17" ht="17" x14ac:dyDescent="0.15">
      <c r="A208" s="38"/>
      <c r="B208" s="113"/>
      <c r="C208" s="114" t="s">
        <v>253</v>
      </c>
      <c r="D208" s="114"/>
      <c r="E208" s="114"/>
      <c r="F208" s="116"/>
      <c r="G208" s="50"/>
      <c r="H208" s="99">
        <v>1</v>
      </c>
      <c r="I208" s="49" t="s">
        <v>50</v>
      </c>
      <c r="J208" s="100">
        <v>1</v>
      </c>
      <c r="K208" s="49" t="s">
        <v>25</v>
      </c>
      <c r="L208" s="47">
        <v>40000000</v>
      </c>
      <c r="M208" s="47">
        <f t="shared" si="15"/>
        <v>40000000</v>
      </c>
      <c r="N208" s="48"/>
      <c r="O208" s="249"/>
      <c r="P208" s="249"/>
      <c r="Q208" s="249"/>
    </row>
    <row r="209" spans="1:17" ht="17" x14ac:dyDescent="0.15">
      <c r="A209" s="38"/>
      <c r="B209" s="113"/>
      <c r="C209" s="114"/>
      <c r="D209" s="114" t="s">
        <v>251</v>
      </c>
      <c r="E209" s="114"/>
      <c r="F209" s="116"/>
      <c r="G209" s="50"/>
      <c r="H209" s="99">
        <v>1</v>
      </c>
      <c r="I209" s="49" t="s">
        <v>50</v>
      </c>
      <c r="J209" s="100">
        <v>1</v>
      </c>
      <c r="K209" s="49" t="s">
        <v>25</v>
      </c>
      <c r="L209" s="47">
        <v>25000000</v>
      </c>
      <c r="M209" s="47">
        <f t="shared" si="15"/>
        <v>25000000</v>
      </c>
      <c r="N209" s="48"/>
      <c r="O209" s="249"/>
      <c r="P209" s="249"/>
      <c r="Q209" s="249"/>
    </row>
    <row r="210" spans="1:17" ht="17" x14ac:dyDescent="0.15">
      <c r="A210" s="38"/>
      <c r="B210" s="113"/>
      <c r="C210" s="114" t="s">
        <v>254</v>
      </c>
      <c r="D210" s="114"/>
      <c r="E210" s="114"/>
      <c r="F210" s="116"/>
      <c r="G210" s="50"/>
      <c r="H210" s="99">
        <v>1</v>
      </c>
      <c r="I210" s="49" t="s">
        <v>50</v>
      </c>
      <c r="J210" s="100">
        <v>1</v>
      </c>
      <c r="K210" s="49" t="s">
        <v>25</v>
      </c>
      <c r="L210" s="47">
        <v>137500000</v>
      </c>
      <c r="M210" s="47">
        <f t="shared" si="15"/>
        <v>137500000</v>
      </c>
      <c r="N210" s="48"/>
      <c r="O210" s="249"/>
      <c r="P210" s="249"/>
      <c r="Q210" s="249"/>
    </row>
    <row r="211" spans="1:17" ht="17" x14ac:dyDescent="0.15">
      <c r="A211" s="38"/>
      <c r="B211" s="113"/>
      <c r="C211" s="114"/>
      <c r="D211" s="114" t="s">
        <v>251</v>
      </c>
      <c r="E211" s="114"/>
      <c r="F211" s="116"/>
      <c r="G211" s="50"/>
      <c r="H211" s="99">
        <v>1</v>
      </c>
      <c r="I211" s="49" t="s">
        <v>50</v>
      </c>
      <c r="J211" s="100">
        <v>1</v>
      </c>
      <c r="K211" s="49" t="s">
        <v>25</v>
      </c>
      <c r="L211" s="47">
        <v>55000000</v>
      </c>
      <c r="M211" s="47">
        <f t="shared" si="15"/>
        <v>55000000</v>
      </c>
      <c r="N211" s="48"/>
      <c r="O211" s="249"/>
      <c r="P211" s="249"/>
      <c r="Q211" s="249"/>
    </row>
    <row r="212" spans="1:17" ht="17" x14ac:dyDescent="0.15">
      <c r="A212" s="27"/>
      <c r="B212" s="110"/>
      <c r="C212" s="111" t="s">
        <v>255</v>
      </c>
      <c r="D212" s="111"/>
      <c r="E212" s="111"/>
      <c r="F212" s="112"/>
      <c r="G212" s="65"/>
      <c r="H212" s="93">
        <v>1</v>
      </c>
      <c r="I212" s="33" t="s">
        <v>50</v>
      </c>
      <c r="J212" s="94">
        <v>1</v>
      </c>
      <c r="K212" s="33" t="s">
        <v>67</v>
      </c>
      <c r="L212" s="36">
        <v>315000000</v>
      </c>
      <c r="M212" s="36">
        <f t="shared" si="15"/>
        <v>315000000</v>
      </c>
      <c r="N212" s="37"/>
      <c r="O212" s="249"/>
      <c r="P212" s="249"/>
      <c r="Q212" s="249"/>
    </row>
    <row r="213" spans="1:17" ht="17" x14ac:dyDescent="0.15">
      <c r="A213" s="27"/>
      <c r="B213" s="110"/>
      <c r="C213" s="111"/>
      <c r="D213" s="111" t="s">
        <v>251</v>
      </c>
      <c r="E213" s="111"/>
      <c r="F213" s="112"/>
      <c r="G213" s="65"/>
      <c r="H213" s="93">
        <v>1</v>
      </c>
      <c r="I213" s="33" t="s">
        <v>50</v>
      </c>
      <c r="J213" s="94">
        <v>1</v>
      </c>
      <c r="K213" s="33" t="s">
        <v>67</v>
      </c>
      <c r="L213" s="36">
        <v>135000000</v>
      </c>
      <c r="M213" s="36">
        <f t="shared" si="15"/>
        <v>135000000</v>
      </c>
      <c r="N213" s="37"/>
      <c r="O213" s="249"/>
      <c r="P213" s="249"/>
      <c r="Q213" s="249"/>
    </row>
    <row r="214" spans="1:17" ht="17" x14ac:dyDescent="0.15">
      <c r="A214" s="27"/>
      <c r="B214" s="110"/>
      <c r="C214" s="111" t="s">
        <v>256</v>
      </c>
      <c r="D214" s="111"/>
      <c r="E214" s="111"/>
      <c r="F214" s="112"/>
      <c r="G214" s="65"/>
      <c r="H214" s="93">
        <v>0</v>
      </c>
      <c r="I214" s="33" t="s">
        <v>50</v>
      </c>
      <c r="J214" s="94">
        <v>1</v>
      </c>
      <c r="K214" s="33" t="s">
        <v>67</v>
      </c>
      <c r="L214" s="36">
        <v>45000000</v>
      </c>
      <c r="M214" s="36">
        <f t="shared" si="15"/>
        <v>0</v>
      </c>
      <c r="N214" s="37"/>
      <c r="O214" s="249"/>
      <c r="P214" s="249"/>
      <c r="Q214" s="249"/>
    </row>
    <row r="215" spans="1:17" ht="17" x14ac:dyDescent="0.15">
      <c r="A215" s="27"/>
      <c r="B215" s="110"/>
      <c r="C215" s="111"/>
      <c r="D215" s="111" t="s">
        <v>251</v>
      </c>
      <c r="E215" s="111"/>
      <c r="F215" s="112"/>
      <c r="G215" s="65"/>
      <c r="H215" s="93">
        <v>0</v>
      </c>
      <c r="I215" s="33" t="s">
        <v>50</v>
      </c>
      <c r="J215" s="94">
        <v>1</v>
      </c>
      <c r="K215" s="33" t="s">
        <v>67</v>
      </c>
      <c r="L215" s="36">
        <v>25000000</v>
      </c>
      <c r="M215" s="36">
        <f t="shared" si="15"/>
        <v>0</v>
      </c>
      <c r="N215" s="37"/>
      <c r="O215" s="249"/>
      <c r="P215" s="249"/>
      <c r="Q215" s="249"/>
    </row>
    <row r="216" spans="1:17" ht="16" x14ac:dyDescent="0.15">
      <c r="A216" s="27"/>
      <c r="B216" s="110"/>
      <c r="C216" s="111"/>
      <c r="D216" s="111"/>
      <c r="E216" s="111"/>
      <c r="F216" s="112"/>
      <c r="G216" s="65"/>
      <c r="H216" s="93"/>
      <c r="I216" s="33"/>
      <c r="J216" s="94"/>
      <c r="K216" s="33"/>
      <c r="L216" s="36"/>
      <c r="M216" s="36"/>
      <c r="N216" s="37"/>
      <c r="O216" s="249"/>
      <c r="P216" s="249"/>
      <c r="Q216" s="249"/>
    </row>
    <row r="217" spans="1:17" ht="16" x14ac:dyDescent="0.15">
      <c r="A217" s="18" t="s">
        <v>257</v>
      </c>
      <c r="B217" s="151" t="s">
        <v>258</v>
      </c>
      <c r="C217" s="152"/>
      <c r="D217" s="152"/>
      <c r="E217" s="152"/>
      <c r="F217" s="153"/>
      <c r="G217" s="22"/>
      <c r="H217" s="23"/>
      <c r="I217" s="24"/>
      <c r="J217" s="23"/>
      <c r="K217" s="24"/>
      <c r="L217" s="25"/>
      <c r="M217" s="25"/>
      <c r="N217" s="26">
        <f>SUM(M218:M250)</f>
        <v>1539625000</v>
      </c>
      <c r="O217" s="249"/>
      <c r="P217" s="249"/>
      <c r="Q217" s="249"/>
    </row>
    <row r="218" spans="1:17" ht="17" x14ac:dyDescent="0.15">
      <c r="A218" s="27"/>
      <c r="B218" s="53" t="s">
        <v>259</v>
      </c>
      <c r="C218" s="89"/>
      <c r="D218" s="89"/>
      <c r="E218" s="89"/>
      <c r="F218" s="30"/>
      <c r="G218" s="65" t="s">
        <v>260</v>
      </c>
      <c r="H218" s="32">
        <v>150</v>
      </c>
      <c r="I218" s="33" t="s">
        <v>261</v>
      </c>
      <c r="J218" s="34">
        <v>1</v>
      </c>
      <c r="K218" s="33" t="s">
        <v>25</v>
      </c>
      <c r="L218" s="35">
        <v>30000</v>
      </c>
      <c r="M218" s="36">
        <f t="shared" ref="M218:M224" si="16">L218*J218*H218</f>
        <v>4500000</v>
      </c>
      <c r="N218" s="37"/>
      <c r="O218" s="249"/>
      <c r="P218" s="249"/>
      <c r="Q218" s="249"/>
    </row>
    <row r="219" spans="1:17" ht="17" x14ac:dyDescent="0.15">
      <c r="A219" s="27"/>
      <c r="B219" s="53" t="s">
        <v>262</v>
      </c>
      <c r="C219" s="89"/>
      <c r="D219" s="89"/>
      <c r="E219" s="89"/>
      <c r="F219" s="30"/>
      <c r="G219" s="65"/>
      <c r="H219" s="32">
        <v>15000</v>
      </c>
      <c r="I219" s="33" t="s">
        <v>261</v>
      </c>
      <c r="J219" s="34">
        <v>1</v>
      </c>
      <c r="K219" s="33" t="s">
        <v>25</v>
      </c>
      <c r="L219" s="35">
        <v>3500</v>
      </c>
      <c r="M219" s="36">
        <f t="shared" si="16"/>
        <v>52500000</v>
      </c>
      <c r="N219" s="37"/>
      <c r="O219" s="249"/>
      <c r="P219" s="249"/>
      <c r="Q219" s="249"/>
    </row>
    <row r="220" spans="1:17" ht="17" x14ac:dyDescent="0.15">
      <c r="A220" s="27"/>
      <c r="B220" s="53" t="s">
        <v>263</v>
      </c>
      <c r="C220" s="89"/>
      <c r="D220" s="89"/>
      <c r="E220" s="89"/>
      <c r="F220" s="30"/>
      <c r="G220" s="65"/>
      <c r="H220" s="32">
        <v>400</v>
      </c>
      <c r="I220" s="33" t="s">
        <v>261</v>
      </c>
      <c r="J220" s="34">
        <v>1</v>
      </c>
      <c r="K220" s="33" t="s">
        <v>25</v>
      </c>
      <c r="L220" s="35">
        <v>10000</v>
      </c>
      <c r="M220" s="36">
        <f t="shared" si="16"/>
        <v>4000000</v>
      </c>
      <c r="N220" s="37"/>
      <c r="O220" s="249"/>
      <c r="P220" s="249"/>
      <c r="Q220" s="249"/>
    </row>
    <row r="221" spans="1:17" ht="17" x14ac:dyDescent="0.15">
      <c r="A221" s="38"/>
      <c r="B221" s="95" t="s">
        <v>264</v>
      </c>
      <c r="C221" s="101"/>
      <c r="D221" s="101"/>
      <c r="E221" s="101"/>
      <c r="F221" s="98"/>
      <c r="G221" s="105" t="s">
        <v>265</v>
      </c>
      <c r="H221" s="43">
        <v>15000</v>
      </c>
      <c r="I221" s="49" t="s">
        <v>50</v>
      </c>
      <c r="J221" s="45">
        <v>1</v>
      </c>
      <c r="K221" s="49" t="s">
        <v>25</v>
      </c>
      <c r="L221" s="46">
        <v>35000</v>
      </c>
      <c r="M221" s="47">
        <f t="shared" si="16"/>
        <v>525000000</v>
      </c>
      <c r="N221" s="48"/>
      <c r="O221" s="249"/>
      <c r="P221" s="249"/>
      <c r="Q221" s="249"/>
    </row>
    <row r="222" spans="1:17" ht="17" x14ac:dyDescent="0.15">
      <c r="A222" s="38"/>
      <c r="B222" s="95" t="s">
        <v>266</v>
      </c>
      <c r="C222" s="101"/>
      <c r="D222" s="101"/>
      <c r="E222" s="101"/>
      <c r="F222" s="98"/>
      <c r="G222" s="105" t="s">
        <v>267</v>
      </c>
      <c r="H222" s="43">
        <v>15000</v>
      </c>
      <c r="I222" s="49" t="s">
        <v>50</v>
      </c>
      <c r="J222" s="45">
        <v>1</v>
      </c>
      <c r="K222" s="49" t="s">
        <v>25</v>
      </c>
      <c r="L222" s="46">
        <v>35000</v>
      </c>
      <c r="M222" s="47">
        <f t="shared" si="16"/>
        <v>525000000</v>
      </c>
      <c r="N222" s="48"/>
      <c r="O222" s="249"/>
      <c r="P222" s="249"/>
      <c r="Q222" s="249"/>
    </row>
    <row r="223" spans="1:17" ht="17" x14ac:dyDescent="0.15">
      <c r="A223" s="38"/>
      <c r="B223" s="155" t="s">
        <v>268</v>
      </c>
      <c r="C223" s="121"/>
      <c r="D223" s="121"/>
      <c r="E223" s="121"/>
      <c r="F223" s="109"/>
      <c r="G223" s="106"/>
      <c r="H223" s="43">
        <v>450</v>
      </c>
      <c r="I223" s="44" t="s">
        <v>261</v>
      </c>
      <c r="J223" s="45">
        <v>1</v>
      </c>
      <c r="K223" s="44" t="s">
        <v>25</v>
      </c>
      <c r="L223" s="46">
        <v>15000</v>
      </c>
      <c r="M223" s="102">
        <f t="shared" si="16"/>
        <v>6750000</v>
      </c>
      <c r="N223" s="48"/>
      <c r="O223" s="249"/>
      <c r="P223" s="249"/>
      <c r="Q223" s="249"/>
    </row>
    <row r="224" spans="1:17" ht="17" x14ac:dyDescent="0.15">
      <c r="A224" s="38"/>
      <c r="B224" s="95" t="s">
        <v>269</v>
      </c>
      <c r="C224" s="101"/>
      <c r="D224" s="101"/>
      <c r="E224" s="101"/>
      <c r="F224" s="98"/>
      <c r="G224" s="105" t="s">
        <v>270</v>
      </c>
      <c r="H224" s="43">
        <v>15000</v>
      </c>
      <c r="I224" s="49" t="s">
        <v>261</v>
      </c>
      <c r="J224" s="45">
        <v>2</v>
      </c>
      <c r="K224" s="49" t="s">
        <v>67</v>
      </c>
      <c r="L224" s="46">
        <v>1750</v>
      </c>
      <c r="M224" s="102">
        <f t="shared" si="16"/>
        <v>52500000</v>
      </c>
      <c r="N224" s="48"/>
      <c r="O224" s="249"/>
      <c r="P224" s="249"/>
      <c r="Q224" s="249"/>
    </row>
    <row r="225" spans="1:17" ht="16" x14ac:dyDescent="0.15">
      <c r="A225" s="27"/>
      <c r="B225" s="90" t="s">
        <v>272</v>
      </c>
      <c r="C225" s="89"/>
      <c r="D225" s="89"/>
      <c r="E225" s="89"/>
      <c r="F225" s="30"/>
      <c r="G225" s="154"/>
      <c r="H225" s="32"/>
      <c r="I225" s="33"/>
      <c r="J225" s="34"/>
      <c r="K225" s="33"/>
      <c r="L225" s="35"/>
      <c r="M225" s="36"/>
      <c r="N225" s="37"/>
      <c r="O225" s="249"/>
      <c r="P225" s="249"/>
      <c r="Q225" s="249"/>
    </row>
    <row r="226" spans="1:17" ht="17" x14ac:dyDescent="0.15">
      <c r="A226" s="27"/>
      <c r="B226" s="53"/>
      <c r="C226" s="92" t="s">
        <v>274</v>
      </c>
      <c r="D226" s="89"/>
      <c r="E226" s="89"/>
      <c r="F226" s="30"/>
      <c r="G226" s="154"/>
      <c r="H226" s="32">
        <v>50</v>
      </c>
      <c r="I226" s="33" t="s">
        <v>50</v>
      </c>
      <c r="J226" s="34">
        <v>1</v>
      </c>
      <c r="K226" s="33" t="s">
        <v>67</v>
      </c>
      <c r="L226" s="35">
        <v>350000</v>
      </c>
      <c r="M226" s="36">
        <f t="shared" ref="M226:M229" si="17">L226*J226*H226</f>
        <v>17500000</v>
      </c>
      <c r="N226" s="37"/>
      <c r="O226" s="249"/>
      <c r="P226" s="249"/>
      <c r="Q226" s="249"/>
    </row>
    <row r="227" spans="1:17" ht="17" x14ac:dyDescent="0.15">
      <c r="A227" s="27"/>
      <c r="B227" s="53"/>
      <c r="C227" s="92" t="s">
        <v>275</v>
      </c>
      <c r="D227" s="89"/>
      <c r="E227" s="89"/>
      <c r="F227" s="30"/>
      <c r="G227" s="65" t="s">
        <v>276</v>
      </c>
      <c r="H227" s="32">
        <v>75</v>
      </c>
      <c r="I227" s="33" t="s">
        <v>50</v>
      </c>
      <c r="J227" s="34">
        <v>1</v>
      </c>
      <c r="K227" s="33" t="s">
        <v>67</v>
      </c>
      <c r="L227" s="35">
        <v>95000</v>
      </c>
      <c r="M227" s="36">
        <f t="shared" si="17"/>
        <v>7125000</v>
      </c>
      <c r="N227" s="37"/>
      <c r="O227" s="249"/>
      <c r="P227" s="249"/>
      <c r="Q227" s="249"/>
    </row>
    <row r="228" spans="1:17" ht="17" x14ac:dyDescent="0.15">
      <c r="A228" s="27"/>
      <c r="B228" s="53"/>
      <c r="C228" s="92" t="s">
        <v>278</v>
      </c>
      <c r="D228" s="89"/>
      <c r="E228" s="89"/>
      <c r="F228" s="30"/>
      <c r="G228" s="65" t="s">
        <v>279</v>
      </c>
      <c r="H228" s="32">
        <v>150</v>
      </c>
      <c r="I228" s="33" t="s">
        <v>50</v>
      </c>
      <c r="J228" s="34">
        <v>1</v>
      </c>
      <c r="K228" s="33" t="s">
        <v>67</v>
      </c>
      <c r="L228" s="35">
        <v>85000</v>
      </c>
      <c r="M228" s="36">
        <f t="shared" si="17"/>
        <v>12750000</v>
      </c>
      <c r="N228" s="37"/>
      <c r="O228" s="249"/>
      <c r="P228" s="249"/>
      <c r="Q228" s="249"/>
    </row>
    <row r="229" spans="1:17" ht="17" x14ac:dyDescent="0.15">
      <c r="A229" s="27"/>
      <c r="B229" s="53"/>
      <c r="C229" s="92" t="s">
        <v>280</v>
      </c>
      <c r="D229" s="89"/>
      <c r="E229" s="89"/>
      <c r="F229" s="30"/>
      <c r="G229" s="65"/>
      <c r="H229" s="32">
        <v>1</v>
      </c>
      <c r="I229" s="33" t="s">
        <v>281</v>
      </c>
      <c r="J229" s="34">
        <v>1</v>
      </c>
      <c r="K229" s="33" t="s">
        <v>67</v>
      </c>
      <c r="L229" s="35">
        <v>5000000</v>
      </c>
      <c r="M229" s="36">
        <f t="shared" si="17"/>
        <v>5000000</v>
      </c>
      <c r="N229" s="118"/>
      <c r="O229" s="249"/>
      <c r="P229" s="249"/>
      <c r="Q229" s="249"/>
    </row>
    <row r="230" spans="1:17" ht="16" x14ac:dyDescent="0.15">
      <c r="A230" s="27"/>
      <c r="B230" s="53"/>
      <c r="C230" s="92"/>
      <c r="D230" s="92" t="s">
        <v>282</v>
      </c>
      <c r="E230" s="92"/>
      <c r="F230" s="30"/>
      <c r="G230" s="65"/>
      <c r="H230" s="93"/>
      <c r="I230" s="33"/>
      <c r="J230" s="94"/>
      <c r="K230" s="33"/>
      <c r="L230" s="36"/>
      <c r="M230" s="36"/>
      <c r="N230" s="37"/>
      <c r="O230" s="249"/>
      <c r="P230" s="249"/>
      <c r="Q230" s="249"/>
    </row>
    <row r="231" spans="1:17" ht="16" x14ac:dyDescent="0.15">
      <c r="A231" s="62"/>
      <c r="B231" s="110"/>
      <c r="C231" s="111"/>
      <c r="D231" s="111" t="s">
        <v>283</v>
      </c>
      <c r="E231" s="111"/>
      <c r="F231" s="112"/>
      <c r="G231" s="65"/>
      <c r="H231" s="93"/>
      <c r="I231" s="33"/>
      <c r="J231" s="94"/>
      <c r="K231" s="33"/>
      <c r="L231" s="36"/>
      <c r="M231" s="36"/>
      <c r="N231" s="37"/>
      <c r="O231" s="249"/>
      <c r="P231" s="249"/>
      <c r="Q231" s="249"/>
    </row>
    <row r="232" spans="1:17" ht="16" x14ac:dyDescent="0.15">
      <c r="A232" s="27"/>
      <c r="B232" s="110"/>
      <c r="C232" s="111"/>
      <c r="D232" s="111" t="s">
        <v>284</v>
      </c>
      <c r="E232" s="111"/>
      <c r="F232" s="112"/>
      <c r="G232" s="65"/>
      <c r="H232" s="93"/>
      <c r="I232" s="33"/>
      <c r="J232" s="94"/>
      <c r="K232" s="33"/>
      <c r="L232" s="36"/>
      <c r="M232" s="36"/>
      <c r="N232" s="37"/>
      <c r="O232" s="249"/>
      <c r="P232" s="249"/>
      <c r="Q232" s="249"/>
    </row>
    <row r="233" spans="1:17" ht="16" x14ac:dyDescent="0.15">
      <c r="A233" s="27"/>
      <c r="B233" s="110"/>
      <c r="C233" s="111"/>
      <c r="D233" s="111" t="s">
        <v>285</v>
      </c>
      <c r="E233" s="111"/>
      <c r="F233" s="112"/>
      <c r="G233" s="65"/>
      <c r="H233" s="93"/>
      <c r="I233" s="33"/>
      <c r="J233" s="94"/>
      <c r="K233" s="33"/>
      <c r="L233" s="36"/>
      <c r="M233" s="36"/>
      <c r="N233" s="37"/>
      <c r="O233" s="249"/>
      <c r="P233" s="249"/>
      <c r="Q233" s="249"/>
    </row>
    <row r="234" spans="1:17" ht="16" x14ac:dyDescent="0.15">
      <c r="A234" s="27"/>
      <c r="B234" s="110"/>
      <c r="C234" s="111"/>
      <c r="D234" s="111" t="s">
        <v>286</v>
      </c>
      <c r="E234" s="111"/>
      <c r="F234" s="112"/>
      <c r="G234" s="65"/>
      <c r="H234" s="93"/>
      <c r="I234" s="33"/>
      <c r="J234" s="94"/>
      <c r="K234" s="33"/>
      <c r="L234" s="36"/>
      <c r="M234" s="36"/>
      <c r="N234" s="37"/>
      <c r="O234" s="249"/>
      <c r="P234" s="249"/>
      <c r="Q234" s="249"/>
    </row>
    <row r="235" spans="1:17" ht="16" x14ac:dyDescent="0.15">
      <c r="A235" s="27"/>
      <c r="B235" s="110"/>
      <c r="C235" s="111"/>
      <c r="D235" s="111" t="s">
        <v>287</v>
      </c>
      <c r="E235" s="111"/>
      <c r="F235" s="112"/>
      <c r="G235" s="65"/>
      <c r="H235" s="93"/>
      <c r="I235" s="33"/>
      <c r="J235" s="94"/>
      <c r="K235" s="33"/>
      <c r="L235" s="36"/>
      <c r="M235" s="36"/>
      <c r="N235" s="37"/>
      <c r="O235" s="249"/>
      <c r="P235" s="249"/>
      <c r="Q235" s="249"/>
    </row>
    <row r="236" spans="1:17" ht="16" x14ac:dyDescent="0.15">
      <c r="A236" s="27"/>
      <c r="B236" s="110"/>
      <c r="C236" s="111"/>
      <c r="D236" s="111" t="s">
        <v>288</v>
      </c>
      <c r="E236" s="111"/>
      <c r="F236" s="112"/>
      <c r="G236" s="65"/>
      <c r="H236" s="93"/>
      <c r="I236" s="33"/>
      <c r="J236" s="94"/>
      <c r="K236" s="33"/>
      <c r="L236" s="36"/>
      <c r="M236" s="36"/>
      <c r="N236" s="37"/>
      <c r="O236" s="249"/>
      <c r="P236" s="249"/>
      <c r="Q236" s="249"/>
    </row>
    <row r="237" spans="1:17" ht="16" x14ac:dyDescent="0.15">
      <c r="A237" s="27"/>
      <c r="B237" s="110"/>
      <c r="C237" s="111"/>
      <c r="D237" s="111" t="s">
        <v>289</v>
      </c>
      <c r="E237" s="111"/>
      <c r="F237" s="112"/>
      <c r="G237" s="65"/>
      <c r="H237" s="93"/>
      <c r="I237" s="33"/>
      <c r="J237" s="94"/>
      <c r="K237" s="33"/>
      <c r="L237" s="36"/>
      <c r="M237" s="36"/>
      <c r="N237" s="37"/>
      <c r="O237" s="249"/>
      <c r="P237" s="249"/>
      <c r="Q237" s="249"/>
    </row>
    <row r="238" spans="1:17" ht="16" x14ac:dyDescent="0.15">
      <c r="A238" s="27"/>
      <c r="B238" s="110"/>
      <c r="C238" s="111"/>
      <c r="D238" s="111" t="s">
        <v>290</v>
      </c>
      <c r="E238" s="111"/>
      <c r="F238" s="112"/>
      <c r="G238" s="65"/>
      <c r="H238" s="93"/>
      <c r="I238" s="33"/>
      <c r="J238" s="94"/>
      <c r="K238" s="33"/>
      <c r="L238" s="36"/>
      <c r="M238" s="36"/>
      <c r="N238" s="37"/>
      <c r="O238" s="249"/>
      <c r="P238" s="249"/>
      <c r="Q238" s="249"/>
    </row>
    <row r="239" spans="1:17" ht="16" x14ac:dyDescent="0.15">
      <c r="A239" s="27"/>
      <c r="B239" s="110"/>
      <c r="C239" s="111"/>
      <c r="D239" s="111"/>
      <c r="E239" s="111"/>
      <c r="F239" s="112"/>
      <c r="G239" s="65"/>
      <c r="H239" s="93"/>
      <c r="I239" s="33"/>
      <c r="J239" s="94"/>
      <c r="K239" s="33"/>
      <c r="L239" s="36"/>
      <c r="M239" s="36"/>
      <c r="N239" s="37"/>
      <c r="O239" s="249"/>
      <c r="P239" s="249"/>
      <c r="Q239" s="249"/>
    </row>
    <row r="240" spans="1:17" ht="16" x14ac:dyDescent="0.15">
      <c r="A240" s="27"/>
      <c r="B240" s="156" t="s">
        <v>271</v>
      </c>
      <c r="C240" s="157"/>
      <c r="D240" s="157"/>
      <c r="E240" s="157"/>
      <c r="F240" s="158"/>
      <c r="G240" s="65"/>
      <c r="H240" s="93"/>
      <c r="I240" s="33"/>
      <c r="J240" s="94"/>
      <c r="K240" s="33"/>
      <c r="L240" s="36"/>
      <c r="M240" s="36"/>
      <c r="N240" s="37"/>
      <c r="O240" s="249"/>
      <c r="P240" s="249"/>
      <c r="Q240" s="249"/>
    </row>
    <row r="241" spans="1:17" ht="17" x14ac:dyDescent="0.15">
      <c r="A241" s="38"/>
      <c r="B241" s="159"/>
      <c r="C241" s="101" t="s">
        <v>273</v>
      </c>
      <c r="D241" s="121"/>
      <c r="E241" s="121"/>
      <c r="F241" s="109"/>
      <c r="G241" s="50"/>
      <c r="H241" s="43">
        <v>100</v>
      </c>
      <c r="I241" s="49" t="s">
        <v>50</v>
      </c>
      <c r="J241" s="45">
        <v>1</v>
      </c>
      <c r="K241" s="49" t="s">
        <v>67</v>
      </c>
      <c r="L241" s="46">
        <v>350000</v>
      </c>
      <c r="M241" s="47">
        <f>L241*J241*H241</f>
        <v>35000000</v>
      </c>
      <c r="N241" s="48"/>
      <c r="O241" s="249"/>
      <c r="P241" s="249"/>
      <c r="Q241" s="249"/>
    </row>
    <row r="242" spans="1:17" ht="17" x14ac:dyDescent="0.15">
      <c r="A242" s="38"/>
      <c r="B242" s="159"/>
      <c r="C242" s="101" t="s">
        <v>277</v>
      </c>
      <c r="D242" s="121"/>
      <c r="E242" s="121"/>
      <c r="F242" s="109"/>
      <c r="G242" s="50" t="s">
        <v>291</v>
      </c>
      <c r="H242" s="99">
        <v>7</v>
      </c>
      <c r="I242" s="49" t="s">
        <v>292</v>
      </c>
      <c r="J242" s="100">
        <v>1</v>
      </c>
      <c r="K242" s="49" t="s">
        <v>67</v>
      </c>
      <c r="L242" s="160" t="s">
        <v>52</v>
      </c>
      <c r="M242" s="160" t="s">
        <v>52</v>
      </c>
      <c r="N242" s="48"/>
      <c r="O242" s="249"/>
      <c r="P242" s="249"/>
      <c r="Q242" s="249"/>
    </row>
    <row r="243" spans="1:17" ht="16" x14ac:dyDescent="0.15">
      <c r="A243" s="38"/>
      <c r="B243" s="159"/>
      <c r="C243" s="115" t="s">
        <v>283</v>
      </c>
      <c r="D243" s="161"/>
      <c r="E243" s="162"/>
      <c r="F243" s="109"/>
      <c r="G243" s="50"/>
      <c r="H243" s="125">
        <v>1</v>
      </c>
      <c r="I243" s="126" t="s">
        <v>50</v>
      </c>
      <c r="J243" s="163">
        <v>1</v>
      </c>
      <c r="K243" s="126" t="s">
        <v>67</v>
      </c>
      <c r="L243" s="128">
        <v>2000000</v>
      </c>
      <c r="M243" s="128">
        <f>L243*J243*H243</f>
        <v>2000000</v>
      </c>
      <c r="N243" s="48"/>
      <c r="O243" s="249"/>
      <c r="P243" s="249"/>
      <c r="Q243" s="249"/>
    </row>
    <row r="244" spans="1:17" ht="16" x14ac:dyDescent="0.15">
      <c r="A244" s="38"/>
      <c r="B244" s="159"/>
      <c r="C244" s="115" t="s">
        <v>284</v>
      </c>
      <c r="D244" s="161"/>
      <c r="E244" s="162"/>
      <c r="F244" s="109"/>
      <c r="G244" s="50"/>
      <c r="H244" s="133"/>
      <c r="I244" s="134"/>
      <c r="J244" s="134"/>
      <c r="K244" s="134"/>
      <c r="L244" s="133"/>
      <c r="M244" s="133"/>
      <c r="N244" s="48"/>
      <c r="O244" s="249"/>
      <c r="P244" s="249"/>
      <c r="Q244" s="249"/>
    </row>
    <row r="245" spans="1:17" ht="16" x14ac:dyDescent="0.15">
      <c r="A245" s="38"/>
      <c r="B245" s="159"/>
      <c r="C245" s="107" t="s">
        <v>293</v>
      </c>
      <c r="D245" s="120"/>
      <c r="E245" s="120"/>
      <c r="F245" s="108"/>
      <c r="G245" s="50"/>
      <c r="H245" s="136"/>
      <c r="I245" s="137"/>
      <c r="J245" s="137"/>
      <c r="K245" s="137"/>
      <c r="L245" s="136"/>
      <c r="M245" s="136"/>
      <c r="N245" s="48"/>
      <c r="O245" s="249"/>
      <c r="P245" s="249"/>
      <c r="Q245" s="249"/>
    </row>
    <row r="246" spans="1:17" ht="16" x14ac:dyDescent="0.15">
      <c r="A246" s="27"/>
      <c r="B246" s="164"/>
      <c r="C246" s="157"/>
      <c r="D246" s="157"/>
      <c r="E246" s="157"/>
      <c r="F246" s="158"/>
      <c r="G246" s="165"/>
      <c r="H246" s="93"/>
      <c r="I246" s="33"/>
      <c r="J246" s="94"/>
      <c r="K246" s="33"/>
      <c r="L246" s="36"/>
      <c r="M246" s="36"/>
      <c r="N246" s="37"/>
      <c r="O246" s="249"/>
      <c r="P246" s="249"/>
      <c r="Q246" s="249"/>
    </row>
    <row r="247" spans="1:17" ht="16" x14ac:dyDescent="0.15">
      <c r="A247" s="27"/>
      <c r="B247" s="156" t="s">
        <v>294</v>
      </c>
      <c r="C247" s="157"/>
      <c r="D247" s="157"/>
      <c r="E247" s="157"/>
      <c r="F247" s="158"/>
      <c r="G247" s="165"/>
      <c r="H247" s="93"/>
      <c r="I247" s="33"/>
      <c r="J247" s="94"/>
      <c r="K247" s="33"/>
      <c r="L247" s="36"/>
      <c r="M247" s="36"/>
      <c r="N247" s="37"/>
      <c r="O247" s="249"/>
      <c r="P247" s="249"/>
      <c r="Q247" s="249"/>
    </row>
    <row r="248" spans="1:17" ht="17" x14ac:dyDescent="0.15">
      <c r="A248" s="38"/>
      <c r="B248" s="159"/>
      <c r="C248" s="101" t="s">
        <v>295</v>
      </c>
      <c r="D248" s="121"/>
      <c r="E248" s="121"/>
      <c r="F248" s="109"/>
      <c r="G248" s="44" t="s">
        <v>296</v>
      </c>
      <c r="H248" s="43">
        <v>1000</v>
      </c>
      <c r="I248" s="44" t="s">
        <v>50</v>
      </c>
      <c r="J248" s="45">
        <v>1</v>
      </c>
      <c r="K248" s="44" t="s">
        <v>67</v>
      </c>
      <c r="L248" s="46">
        <v>125000</v>
      </c>
      <c r="M248" s="102">
        <f t="shared" ref="M248:M249" si="18">L248*J248*H248</f>
        <v>125000000</v>
      </c>
      <c r="N248" s="48"/>
      <c r="O248" s="249"/>
      <c r="P248" s="249"/>
      <c r="Q248" s="249"/>
    </row>
    <row r="249" spans="1:17" ht="17" x14ac:dyDescent="0.15">
      <c r="A249" s="38"/>
      <c r="B249" s="113"/>
      <c r="C249" s="114" t="s">
        <v>297</v>
      </c>
      <c r="D249" s="114"/>
      <c r="E249" s="114"/>
      <c r="F249" s="116"/>
      <c r="G249" s="50" t="s">
        <v>298</v>
      </c>
      <c r="H249" s="166">
        <v>30</v>
      </c>
      <c r="I249" s="143" t="s">
        <v>71</v>
      </c>
      <c r="J249" s="166">
        <v>1</v>
      </c>
      <c r="K249" s="143" t="s">
        <v>67</v>
      </c>
      <c r="L249" s="167">
        <v>5500000</v>
      </c>
      <c r="M249" s="102">
        <f t="shared" si="18"/>
        <v>165000000</v>
      </c>
      <c r="N249" s="48"/>
      <c r="O249" s="249"/>
      <c r="P249" s="249"/>
      <c r="Q249" s="249"/>
    </row>
    <row r="250" spans="1:17" ht="16" x14ac:dyDescent="0.15">
      <c r="A250" s="27"/>
      <c r="B250" s="110"/>
      <c r="C250" s="111"/>
      <c r="D250" s="111"/>
      <c r="E250" s="111"/>
      <c r="F250" s="112"/>
      <c r="G250" s="65"/>
      <c r="H250" s="93"/>
      <c r="I250" s="33"/>
      <c r="J250" s="94"/>
      <c r="K250" s="33"/>
      <c r="L250" s="36"/>
      <c r="M250" s="36"/>
      <c r="N250" s="37"/>
      <c r="O250" s="249"/>
      <c r="P250" s="249"/>
      <c r="Q250" s="249"/>
    </row>
    <row r="251" spans="1:17" ht="16" x14ac:dyDescent="0.15">
      <c r="A251" s="18" t="s">
        <v>299</v>
      </c>
      <c r="B251" s="151" t="s">
        <v>300</v>
      </c>
      <c r="C251" s="152"/>
      <c r="D251" s="152"/>
      <c r="E251" s="152"/>
      <c r="F251" s="153"/>
      <c r="G251" s="22"/>
      <c r="H251" s="23"/>
      <c r="I251" s="24"/>
      <c r="J251" s="23"/>
      <c r="K251" s="24"/>
      <c r="L251" s="25"/>
      <c r="M251" s="25"/>
      <c r="N251" s="26">
        <f>SUM(M252:M298)</f>
        <v>586200000</v>
      </c>
      <c r="O251" s="249"/>
      <c r="P251" s="249"/>
      <c r="Q251" s="249"/>
    </row>
    <row r="252" spans="1:17" ht="16" x14ac:dyDescent="0.15">
      <c r="A252" s="27"/>
      <c r="B252" s="168" t="s">
        <v>301</v>
      </c>
      <c r="C252" s="169"/>
      <c r="D252" s="169"/>
      <c r="E252" s="169"/>
      <c r="F252" s="112"/>
      <c r="G252" s="65"/>
      <c r="H252" s="32"/>
      <c r="I252" s="33"/>
      <c r="J252" s="34"/>
      <c r="K252" s="33"/>
      <c r="L252" s="69"/>
      <c r="M252" s="36"/>
      <c r="N252" s="37"/>
      <c r="O252" s="249"/>
      <c r="P252" s="249"/>
      <c r="Q252" s="249"/>
    </row>
    <row r="253" spans="1:17" ht="17" x14ac:dyDescent="0.15">
      <c r="A253" s="27"/>
      <c r="B253" s="88"/>
      <c r="C253" s="170" t="s">
        <v>302</v>
      </c>
      <c r="D253" s="170"/>
      <c r="E253" s="170"/>
      <c r="F253" s="112"/>
      <c r="G253" s="65"/>
      <c r="H253" s="32">
        <v>1</v>
      </c>
      <c r="I253" s="33" t="s">
        <v>66</v>
      </c>
      <c r="J253" s="34">
        <v>1</v>
      </c>
      <c r="K253" s="33" t="s">
        <v>25</v>
      </c>
      <c r="L253" s="69">
        <v>20000000</v>
      </c>
      <c r="M253" s="36">
        <f t="shared" ref="M253:M276" si="19">L253*J253*H253</f>
        <v>20000000</v>
      </c>
      <c r="N253" s="37"/>
      <c r="O253" s="249"/>
      <c r="P253" s="249"/>
      <c r="Q253" s="249"/>
    </row>
    <row r="254" spans="1:17" ht="17" x14ac:dyDescent="0.15">
      <c r="A254" s="27"/>
      <c r="B254" s="171"/>
      <c r="C254" s="169" t="s">
        <v>303</v>
      </c>
      <c r="D254" s="169"/>
      <c r="E254" s="169"/>
      <c r="F254" s="112"/>
      <c r="G254" s="65"/>
      <c r="H254" s="32">
        <v>1</v>
      </c>
      <c r="I254" s="33" t="s">
        <v>66</v>
      </c>
      <c r="J254" s="34">
        <v>1</v>
      </c>
      <c r="K254" s="33" t="s">
        <v>25</v>
      </c>
      <c r="L254" s="35">
        <v>15000000</v>
      </c>
      <c r="M254" s="36">
        <f t="shared" si="19"/>
        <v>15000000</v>
      </c>
      <c r="N254" s="37"/>
      <c r="O254" s="249"/>
      <c r="P254" s="249"/>
      <c r="Q254" s="249"/>
    </row>
    <row r="255" spans="1:17" ht="17" x14ac:dyDescent="0.15">
      <c r="A255" s="27"/>
      <c r="B255" s="172"/>
      <c r="C255" s="89" t="s">
        <v>304</v>
      </c>
      <c r="D255" s="89"/>
      <c r="E255" s="89"/>
      <c r="F255" s="30"/>
      <c r="G255" s="65"/>
      <c r="H255" s="32">
        <v>1</v>
      </c>
      <c r="I255" s="33" t="s">
        <v>66</v>
      </c>
      <c r="J255" s="34">
        <v>1</v>
      </c>
      <c r="K255" s="33" t="s">
        <v>25</v>
      </c>
      <c r="L255" s="35">
        <v>10000000</v>
      </c>
      <c r="M255" s="36">
        <f t="shared" si="19"/>
        <v>10000000</v>
      </c>
      <c r="N255" s="37"/>
      <c r="O255" s="249"/>
      <c r="P255" s="249"/>
      <c r="Q255" s="249"/>
    </row>
    <row r="256" spans="1:17" ht="17" x14ac:dyDescent="0.15">
      <c r="A256" s="27"/>
      <c r="B256" s="172"/>
      <c r="C256" s="89" t="s">
        <v>305</v>
      </c>
      <c r="D256" s="89"/>
      <c r="E256" s="89"/>
      <c r="F256" s="30"/>
      <c r="G256" s="65"/>
      <c r="H256" s="32">
        <v>1</v>
      </c>
      <c r="I256" s="33" t="s">
        <v>66</v>
      </c>
      <c r="J256" s="34">
        <v>1</v>
      </c>
      <c r="K256" s="33" t="s">
        <v>25</v>
      </c>
      <c r="L256" s="35">
        <v>10000000</v>
      </c>
      <c r="M256" s="36">
        <f t="shared" si="19"/>
        <v>10000000</v>
      </c>
      <c r="N256" s="37"/>
      <c r="O256" s="249"/>
      <c r="P256" s="249"/>
      <c r="Q256" s="249"/>
    </row>
    <row r="257" spans="1:17" ht="17" x14ac:dyDescent="0.15">
      <c r="A257" s="27"/>
      <c r="B257" s="172"/>
      <c r="C257" s="89"/>
      <c r="D257" s="89" t="s">
        <v>306</v>
      </c>
      <c r="E257" s="89"/>
      <c r="F257" s="30"/>
      <c r="G257" s="65"/>
      <c r="H257" s="32">
        <v>3</v>
      </c>
      <c r="I257" s="33" t="s">
        <v>66</v>
      </c>
      <c r="J257" s="34">
        <v>4</v>
      </c>
      <c r="K257" s="33" t="s">
        <v>67</v>
      </c>
      <c r="L257" s="35">
        <v>2500000</v>
      </c>
      <c r="M257" s="36">
        <f t="shared" si="19"/>
        <v>30000000</v>
      </c>
      <c r="N257" s="37"/>
      <c r="O257" s="249"/>
      <c r="P257" s="249"/>
      <c r="Q257" s="249"/>
    </row>
    <row r="258" spans="1:17" ht="17" x14ac:dyDescent="0.15">
      <c r="A258" s="27"/>
      <c r="B258" s="172"/>
      <c r="C258" s="89" t="s">
        <v>307</v>
      </c>
      <c r="D258" s="89"/>
      <c r="E258" s="89"/>
      <c r="F258" s="30"/>
      <c r="G258" s="65"/>
      <c r="H258" s="32">
        <v>1</v>
      </c>
      <c r="I258" s="33" t="s">
        <v>66</v>
      </c>
      <c r="J258" s="34">
        <v>1</v>
      </c>
      <c r="K258" s="33" t="s">
        <v>25</v>
      </c>
      <c r="L258" s="35">
        <v>7500000</v>
      </c>
      <c r="M258" s="36">
        <f t="shared" si="19"/>
        <v>7500000</v>
      </c>
      <c r="N258" s="37"/>
      <c r="O258" s="249"/>
      <c r="P258" s="249"/>
      <c r="Q258" s="249"/>
    </row>
    <row r="259" spans="1:17" ht="17" x14ac:dyDescent="0.15">
      <c r="A259" s="27"/>
      <c r="B259" s="172"/>
      <c r="C259" s="89"/>
      <c r="D259" s="89" t="s">
        <v>308</v>
      </c>
      <c r="E259" s="89"/>
      <c r="F259" s="30"/>
      <c r="G259" s="65"/>
      <c r="H259" s="32">
        <v>30</v>
      </c>
      <c r="I259" s="33" t="s">
        <v>66</v>
      </c>
      <c r="J259" s="34">
        <v>1</v>
      </c>
      <c r="K259" s="33" t="s">
        <v>67</v>
      </c>
      <c r="L259" s="35">
        <v>650000</v>
      </c>
      <c r="M259" s="36">
        <f t="shared" si="19"/>
        <v>19500000</v>
      </c>
      <c r="N259" s="37"/>
      <c r="O259" s="249"/>
      <c r="P259" s="249"/>
      <c r="Q259" s="249"/>
    </row>
    <row r="260" spans="1:17" ht="17" x14ac:dyDescent="0.15">
      <c r="A260" s="27"/>
      <c r="B260" s="80"/>
      <c r="C260" s="89"/>
      <c r="D260" s="89" t="s">
        <v>309</v>
      </c>
      <c r="E260" s="30"/>
      <c r="F260" s="65"/>
      <c r="G260" s="65" t="s">
        <v>310</v>
      </c>
      <c r="H260" s="173">
        <v>0</v>
      </c>
      <c r="I260" s="33" t="s">
        <v>66</v>
      </c>
      <c r="J260" s="33">
        <v>1</v>
      </c>
      <c r="K260" s="33" t="s">
        <v>67</v>
      </c>
      <c r="L260" s="36">
        <v>1500000</v>
      </c>
      <c r="M260" s="36">
        <f t="shared" si="19"/>
        <v>0</v>
      </c>
      <c r="N260" s="37"/>
      <c r="O260" s="249"/>
      <c r="P260" s="249"/>
      <c r="Q260" s="249"/>
    </row>
    <row r="261" spans="1:17" ht="17" x14ac:dyDescent="0.15">
      <c r="A261" s="27"/>
      <c r="B261" s="80"/>
      <c r="C261" s="89" t="s">
        <v>311</v>
      </c>
      <c r="D261" s="89"/>
      <c r="E261" s="89"/>
      <c r="F261" s="174"/>
      <c r="G261" s="65"/>
      <c r="H261" s="173">
        <v>1</v>
      </c>
      <c r="I261" s="33" t="s">
        <v>66</v>
      </c>
      <c r="J261" s="34">
        <v>1</v>
      </c>
      <c r="K261" s="33" t="s">
        <v>25</v>
      </c>
      <c r="L261" s="35">
        <v>1500000</v>
      </c>
      <c r="M261" s="36">
        <f t="shared" si="19"/>
        <v>1500000</v>
      </c>
      <c r="N261" s="37"/>
      <c r="O261" s="249"/>
      <c r="P261" s="249"/>
      <c r="Q261" s="249"/>
    </row>
    <row r="262" spans="1:17" ht="17" x14ac:dyDescent="0.15">
      <c r="A262" s="27"/>
      <c r="B262" s="80"/>
      <c r="C262" s="89"/>
      <c r="D262" s="89" t="s">
        <v>312</v>
      </c>
      <c r="E262" s="89"/>
      <c r="F262" s="174"/>
      <c r="G262" s="65"/>
      <c r="H262" s="173">
        <v>15</v>
      </c>
      <c r="I262" s="33" t="s">
        <v>66</v>
      </c>
      <c r="J262" s="34">
        <v>1</v>
      </c>
      <c r="K262" s="33" t="s">
        <v>67</v>
      </c>
      <c r="L262" s="35">
        <v>450000</v>
      </c>
      <c r="M262" s="36">
        <f t="shared" si="19"/>
        <v>6750000</v>
      </c>
      <c r="N262" s="37"/>
      <c r="O262" s="249"/>
      <c r="P262" s="249"/>
      <c r="Q262" s="249"/>
    </row>
    <row r="263" spans="1:17" ht="17" x14ac:dyDescent="0.15">
      <c r="A263" s="27"/>
      <c r="B263" s="80"/>
      <c r="C263" s="89" t="s">
        <v>313</v>
      </c>
      <c r="D263" s="89"/>
      <c r="E263" s="89"/>
      <c r="F263" s="30"/>
      <c r="G263" s="65"/>
      <c r="H263" s="173">
        <v>1</v>
      </c>
      <c r="I263" s="33" t="s">
        <v>66</v>
      </c>
      <c r="J263" s="34">
        <v>1</v>
      </c>
      <c r="K263" s="33" t="s">
        <v>25</v>
      </c>
      <c r="L263" s="35">
        <v>7500000</v>
      </c>
      <c r="M263" s="36">
        <f t="shared" si="19"/>
        <v>7500000</v>
      </c>
      <c r="N263" s="37"/>
      <c r="O263" s="249"/>
      <c r="P263" s="249"/>
      <c r="Q263" s="249"/>
    </row>
    <row r="264" spans="1:17" ht="17" x14ac:dyDescent="0.15">
      <c r="A264" s="27"/>
      <c r="B264" s="80"/>
      <c r="C264" s="89"/>
      <c r="D264" s="89" t="s">
        <v>314</v>
      </c>
      <c r="E264" s="89"/>
      <c r="F264" s="30"/>
      <c r="G264" s="65"/>
      <c r="H264" s="173">
        <v>5</v>
      </c>
      <c r="I264" s="33" t="s">
        <v>66</v>
      </c>
      <c r="J264" s="34">
        <v>2</v>
      </c>
      <c r="K264" s="33" t="s">
        <v>67</v>
      </c>
      <c r="L264" s="35">
        <v>750000</v>
      </c>
      <c r="M264" s="36">
        <f t="shared" si="19"/>
        <v>7500000</v>
      </c>
      <c r="N264" s="37"/>
      <c r="O264" s="249"/>
      <c r="P264" s="249"/>
      <c r="Q264" s="249"/>
    </row>
    <row r="265" spans="1:17" ht="17" x14ac:dyDescent="0.15">
      <c r="A265" s="27"/>
      <c r="B265" s="80"/>
      <c r="C265" s="89"/>
      <c r="D265" s="89" t="s">
        <v>315</v>
      </c>
      <c r="E265" s="89"/>
      <c r="F265" s="30"/>
      <c r="G265" s="65"/>
      <c r="H265" s="32">
        <v>2</v>
      </c>
      <c r="I265" s="33" t="s">
        <v>66</v>
      </c>
      <c r="J265" s="34">
        <v>3</v>
      </c>
      <c r="K265" s="33" t="s">
        <v>67</v>
      </c>
      <c r="L265" s="35">
        <v>1000000</v>
      </c>
      <c r="M265" s="36">
        <f t="shared" si="19"/>
        <v>6000000</v>
      </c>
      <c r="N265" s="37"/>
      <c r="O265" s="249"/>
      <c r="P265" s="249"/>
      <c r="Q265" s="249"/>
    </row>
    <row r="266" spans="1:17" ht="17" x14ac:dyDescent="0.15">
      <c r="A266" s="27"/>
      <c r="B266" s="176"/>
      <c r="C266" s="89"/>
      <c r="D266" s="89" t="s">
        <v>316</v>
      </c>
      <c r="E266" s="89"/>
      <c r="F266" s="30"/>
      <c r="G266" s="65"/>
      <c r="H266" s="32">
        <v>30</v>
      </c>
      <c r="I266" s="33" t="s">
        <v>66</v>
      </c>
      <c r="J266" s="34">
        <v>1</v>
      </c>
      <c r="K266" s="33" t="s">
        <v>67</v>
      </c>
      <c r="L266" s="35">
        <v>450000</v>
      </c>
      <c r="M266" s="36">
        <f t="shared" si="19"/>
        <v>13500000</v>
      </c>
      <c r="N266" s="37"/>
      <c r="O266" s="249"/>
      <c r="P266" s="249"/>
      <c r="Q266" s="249"/>
    </row>
    <row r="267" spans="1:17" ht="17" x14ac:dyDescent="0.15">
      <c r="A267" s="27"/>
      <c r="B267" s="175"/>
      <c r="C267" s="89" t="s">
        <v>317</v>
      </c>
      <c r="D267" s="89"/>
      <c r="E267" s="89"/>
      <c r="F267" s="30"/>
      <c r="G267" s="65" t="s">
        <v>318</v>
      </c>
      <c r="H267" s="32">
        <v>1</v>
      </c>
      <c r="I267" s="33" t="s">
        <v>319</v>
      </c>
      <c r="J267" s="34">
        <v>2</v>
      </c>
      <c r="K267" s="33" t="s">
        <v>67</v>
      </c>
      <c r="L267" s="35">
        <v>60000000</v>
      </c>
      <c r="M267" s="36">
        <f t="shared" si="19"/>
        <v>120000000</v>
      </c>
      <c r="N267" s="37"/>
      <c r="O267" s="249"/>
      <c r="P267" s="249"/>
      <c r="Q267" s="249"/>
    </row>
    <row r="268" spans="1:17" ht="17" x14ac:dyDescent="0.15">
      <c r="A268" s="38"/>
      <c r="B268" s="177"/>
      <c r="C268" s="101" t="s">
        <v>320</v>
      </c>
      <c r="D268" s="101"/>
      <c r="E268" s="101"/>
      <c r="F268" s="98"/>
      <c r="G268" s="50"/>
      <c r="H268" s="43">
        <v>1</v>
      </c>
      <c r="I268" s="44" t="s">
        <v>66</v>
      </c>
      <c r="J268" s="45">
        <v>1</v>
      </c>
      <c r="K268" s="49" t="s">
        <v>25</v>
      </c>
      <c r="L268" s="46">
        <v>35000000</v>
      </c>
      <c r="M268" s="47">
        <f t="shared" si="19"/>
        <v>35000000</v>
      </c>
      <c r="N268" s="48"/>
      <c r="O268" s="249"/>
      <c r="P268" s="249"/>
      <c r="Q268" s="249"/>
    </row>
    <row r="269" spans="1:17" ht="17" x14ac:dyDescent="0.15">
      <c r="A269" s="38"/>
      <c r="B269" s="177"/>
      <c r="C269" s="101" t="s">
        <v>321</v>
      </c>
      <c r="D269" s="101"/>
      <c r="E269" s="101"/>
      <c r="F269" s="98"/>
      <c r="G269" s="50"/>
      <c r="H269" s="43">
        <v>1</v>
      </c>
      <c r="I269" s="44" t="s">
        <v>66</v>
      </c>
      <c r="J269" s="45">
        <v>1</v>
      </c>
      <c r="K269" s="49" t="s">
        <v>25</v>
      </c>
      <c r="L269" s="46">
        <v>12500000</v>
      </c>
      <c r="M269" s="47">
        <f t="shared" si="19"/>
        <v>12500000</v>
      </c>
      <c r="N269" s="48"/>
      <c r="O269" s="249"/>
      <c r="P269" s="249"/>
      <c r="Q269" s="249"/>
    </row>
    <row r="270" spans="1:17" ht="17" x14ac:dyDescent="0.15">
      <c r="A270" s="38"/>
      <c r="B270" s="177"/>
      <c r="C270" s="101" t="s">
        <v>322</v>
      </c>
      <c r="D270" s="101"/>
      <c r="E270" s="101"/>
      <c r="F270" s="98"/>
      <c r="G270" s="50" t="s">
        <v>323</v>
      </c>
      <c r="H270" s="43">
        <v>2</v>
      </c>
      <c r="I270" s="49" t="s">
        <v>66</v>
      </c>
      <c r="J270" s="45">
        <v>4</v>
      </c>
      <c r="K270" s="49" t="s">
        <v>67</v>
      </c>
      <c r="L270" s="46">
        <v>450000</v>
      </c>
      <c r="M270" s="47">
        <f t="shared" si="19"/>
        <v>3600000</v>
      </c>
      <c r="N270" s="48"/>
      <c r="O270" s="249"/>
      <c r="P270" s="249"/>
      <c r="Q270" s="249"/>
    </row>
    <row r="271" spans="1:17" ht="17" x14ac:dyDescent="0.15">
      <c r="A271" s="38"/>
      <c r="B271" s="177"/>
      <c r="C271" s="101"/>
      <c r="D271" s="101" t="s">
        <v>324</v>
      </c>
      <c r="E271" s="101"/>
      <c r="F271" s="98"/>
      <c r="G271" s="50" t="s">
        <v>323</v>
      </c>
      <c r="H271" s="43">
        <v>5</v>
      </c>
      <c r="I271" s="49" t="s">
        <v>66</v>
      </c>
      <c r="J271" s="45">
        <v>3</v>
      </c>
      <c r="K271" s="49" t="s">
        <v>67</v>
      </c>
      <c r="L271" s="46">
        <v>400000</v>
      </c>
      <c r="M271" s="47">
        <f t="shared" si="19"/>
        <v>6000000</v>
      </c>
      <c r="N271" s="48"/>
      <c r="O271" s="249"/>
      <c r="P271" s="249"/>
      <c r="Q271" s="249"/>
    </row>
    <row r="272" spans="1:17" ht="17" x14ac:dyDescent="0.15">
      <c r="A272" s="38"/>
      <c r="B272" s="177"/>
      <c r="C272" s="101"/>
      <c r="D272" s="101" t="s">
        <v>325</v>
      </c>
      <c r="E272" s="101"/>
      <c r="F272" s="98"/>
      <c r="G272" s="50" t="s">
        <v>323</v>
      </c>
      <c r="H272" s="43">
        <v>48</v>
      </c>
      <c r="I272" s="49" t="s">
        <v>66</v>
      </c>
      <c r="J272" s="45">
        <v>1</v>
      </c>
      <c r="K272" s="49" t="s">
        <v>67</v>
      </c>
      <c r="L272" s="46">
        <v>400000</v>
      </c>
      <c r="M272" s="47">
        <f t="shared" si="19"/>
        <v>19200000</v>
      </c>
      <c r="N272" s="48"/>
      <c r="O272" s="249"/>
      <c r="P272" s="249"/>
      <c r="Q272" s="249"/>
    </row>
    <row r="273" spans="1:17" ht="17" x14ac:dyDescent="0.15">
      <c r="A273" s="38"/>
      <c r="B273" s="177"/>
      <c r="C273" s="107" t="s">
        <v>326</v>
      </c>
      <c r="D273" s="120"/>
      <c r="E273" s="120"/>
      <c r="F273" s="108"/>
      <c r="G273" s="106"/>
      <c r="H273" s="43">
        <v>1</v>
      </c>
      <c r="I273" s="44" t="s">
        <v>66</v>
      </c>
      <c r="J273" s="45">
        <v>1</v>
      </c>
      <c r="K273" s="44" t="s">
        <v>25</v>
      </c>
      <c r="L273" s="46">
        <v>6000000</v>
      </c>
      <c r="M273" s="102">
        <f t="shared" si="19"/>
        <v>6000000</v>
      </c>
      <c r="N273" s="48"/>
      <c r="O273" s="249"/>
      <c r="P273" s="249"/>
      <c r="Q273" s="249"/>
    </row>
    <row r="274" spans="1:17" ht="17" x14ac:dyDescent="0.15">
      <c r="A274" s="38"/>
      <c r="B274" s="177"/>
      <c r="C274" s="107" t="s">
        <v>327</v>
      </c>
      <c r="D274" s="120"/>
      <c r="E274" s="120"/>
      <c r="F274" s="108"/>
      <c r="G274" s="106"/>
      <c r="H274" s="43">
        <v>3</v>
      </c>
      <c r="I274" s="44" t="s">
        <v>66</v>
      </c>
      <c r="J274" s="45">
        <v>1</v>
      </c>
      <c r="K274" s="44" t="s">
        <v>25</v>
      </c>
      <c r="L274" s="46">
        <v>1750000</v>
      </c>
      <c r="M274" s="102">
        <f t="shared" si="19"/>
        <v>5250000</v>
      </c>
      <c r="N274" s="48"/>
      <c r="O274" s="249"/>
      <c r="P274" s="249"/>
      <c r="Q274" s="249"/>
    </row>
    <row r="275" spans="1:17" ht="17" x14ac:dyDescent="0.15">
      <c r="A275" s="38"/>
      <c r="B275" s="177"/>
      <c r="C275" s="107" t="s">
        <v>328</v>
      </c>
      <c r="D275" s="120"/>
      <c r="E275" s="120"/>
      <c r="F275" s="108"/>
      <c r="G275" s="106"/>
      <c r="H275" s="43">
        <v>1</v>
      </c>
      <c r="I275" s="44" t="s">
        <v>66</v>
      </c>
      <c r="J275" s="45">
        <v>1</v>
      </c>
      <c r="K275" s="44" t="s">
        <v>67</v>
      </c>
      <c r="L275" s="46">
        <v>3500000</v>
      </c>
      <c r="M275" s="102">
        <f t="shared" si="19"/>
        <v>3500000</v>
      </c>
      <c r="N275" s="48"/>
      <c r="O275" s="249"/>
      <c r="P275" s="249"/>
      <c r="Q275" s="249"/>
    </row>
    <row r="276" spans="1:17" ht="17" x14ac:dyDescent="0.15">
      <c r="A276" s="38"/>
      <c r="B276" s="177"/>
      <c r="C276" s="101"/>
      <c r="D276" s="101" t="s">
        <v>329</v>
      </c>
      <c r="E276" s="101"/>
      <c r="F276" s="84"/>
      <c r="G276" s="106"/>
      <c r="H276" s="43">
        <v>4</v>
      </c>
      <c r="I276" s="44" t="s">
        <v>66</v>
      </c>
      <c r="J276" s="45">
        <v>1</v>
      </c>
      <c r="K276" s="44" t="s">
        <v>67</v>
      </c>
      <c r="L276" s="46">
        <v>1500000</v>
      </c>
      <c r="M276" s="102">
        <f t="shared" si="19"/>
        <v>6000000</v>
      </c>
      <c r="N276" s="48"/>
      <c r="O276" s="249"/>
      <c r="P276" s="249"/>
      <c r="Q276" s="249"/>
    </row>
    <row r="277" spans="1:17" ht="16" x14ac:dyDescent="0.15">
      <c r="A277" s="27"/>
      <c r="B277" s="168"/>
      <c r="C277" s="169"/>
      <c r="D277" s="169"/>
      <c r="E277" s="169"/>
      <c r="F277" s="112"/>
      <c r="G277" s="65"/>
      <c r="H277" s="32"/>
      <c r="I277" s="33"/>
      <c r="J277" s="34"/>
      <c r="K277" s="33"/>
      <c r="L277" s="35"/>
      <c r="M277" s="36"/>
      <c r="N277" s="37"/>
      <c r="O277" s="249"/>
      <c r="P277" s="249"/>
      <c r="Q277" s="249"/>
    </row>
    <row r="278" spans="1:17" ht="16" x14ac:dyDescent="0.15">
      <c r="A278" s="27"/>
      <c r="B278" s="168" t="s">
        <v>330</v>
      </c>
      <c r="C278" s="169"/>
      <c r="D278" s="169"/>
      <c r="E278" s="169"/>
      <c r="F278" s="112"/>
      <c r="G278" s="65"/>
      <c r="H278" s="32"/>
      <c r="I278" s="33"/>
      <c r="J278" s="34"/>
      <c r="K278" s="33"/>
      <c r="L278" s="69"/>
      <c r="M278" s="36"/>
      <c r="N278" s="37"/>
      <c r="O278" s="249"/>
      <c r="P278" s="249"/>
      <c r="Q278" s="249"/>
    </row>
    <row r="279" spans="1:17" ht="17" x14ac:dyDescent="0.15">
      <c r="A279" s="27"/>
      <c r="B279" s="171"/>
      <c r="C279" s="169" t="s">
        <v>331</v>
      </c>
      <c r="D279" s="169"/>
      <c r="E279" s="169"/>
      <c r="F279" s="112"/>
      <c r="G279" s="65"/>
      <c r="H279" s="173">
        <v>1</v>
      </c>
      <c r="I279" s="33" t="s">
        <v>66</v>
      </c>
      <c r="J279" s="34">
        <v>1</v>
      </c>
      <c r="K279" s="33" t="s">
        <v>25</v>
      </c>
      <c r="L279" s="35">
        <v>15000000</v>
      </c>
      <c r="M279" s="36">
        <f t="shared" ref="M279:M290" si="20">L279*J279*H279</f>
        <v>15000000</v>
      </c>
      <c r="N279" s="37"/>
      <c r="O279" s="249"/>
      <c r="P279" s="249"/>
      <c r="Q279" s="249"/>
    </row>
    <row r="280" spans="1:17" ht="17" x14ac:dyDescent="0.15">
      <c r="A280" s="27"/>
      <c r="B280" s="171"/>
      <c r="C280" s="169" t="s">
        <v>332</v>
      </c>
      <c r="D280" s="169"/>
      <c r="E280" s="169"/>
      <c r="F280" s="112"/>
      <c r="G280" s="65"/>
      <c r="H280" s="173">
        <v>1</v>
      </c>
      <c r="I280" s="33" t="s">
        <v>66</v>
      </c>
      <c r="J280" s="34">
        <v>1</v>
      </c>
      <c r="K280" s="33" t="s">
        <v>25</v>
      </c>
      <c r="L280" s="35">
        <v>10000000</v>
      </c>
      <c r="M280" s="36">
        <f t="shared" si="20"/>
        <v>10000000</v>
      </c>
      <c r="N280" s="37"/>
      <c r="O280" s="249"/>
      <c r="P280" s="249"/>
      <c r="Q280" s="249"/>
    </row>
    <row r="281" spans="1:17" ht="17" x14ac:dyDescent="0.15">
      <c r="A281" s="27"/>
      <c r="B281" s="171"/>
      <c r="C281" s="169" t="s">
        <v>333</v>
      </c>
      <c r="D281" s="169"/>
      <c r="E281" s="169"/>
      <c r="F281" s="112"/>
      <c r="G281" s="65"/>
      <c r="H281" s="173">
        <v>1</v>
      </c>
      <c r="I281" s="33" t="s">
        <v>66</v>
      </c>
      <c r="J281" s="34">
        <v>1</v>
      </c>
      <c r="K281" s="33" t="s">
        <v>25</v>
      </c>
      <c r="L281" s="35">
        <v>5000000</v>
      </c>
      <c r="M281" s="36">
        <f t="shared" si="20"/>
        <v>5000000</v>
      </c>
      <c r="N281" s="37"/>
      <c r="O281" s="249"/>
      <c r="P281" s="249"/>
      <c r="Q281" s="249"/>
    </row>
    <row r="282" spans="1:17" ht="17" x14ac:dyDescent="0.15">
      <c r="A282" s="27"/>
      <c r="B282" s="171"/>
      <c r="C282" s="169" t="s">
        <v>334</v>
      </c>
      <c r="D282" s="169"/>
      <c r="E282" s="169"/>
      <c r="F282" s="112"/>
      <c r="G282" s="65"/>
      <c r="H282" s="173">
        <v>30</v>
      </c>
      <c r="I282" s="33" t="s">
        <v>66</v>
      </c>
      <c r="J282" s="34">
        <v>1</v>
      </c>
      <c r="K282" s="33" t="s">
        <v>67</v>
      </c>
      <c r="L282" s="35">
        <v>650000</v>
      </c>
      <c r="M282" s="36">
        <f t="shared" si="20"/>
        <v>19500000</v>
      </c>
      <c r="N282" s="37"/>
      <c r="O282" s="249"/>
      <c r="P282" s="249"/>
      <c r="Q282" s="249"/>
    </row>
    <row r="283" spans="1:17" ht="17" x14ac:dyDescent="0.15">
      <c r="A283" s="27"/>
      <c r="B283" s="171"/>
      <c r="C283" s="169" t="s">
        <v>335</v>
      </c>
      <c r="D283" s="169"/>
      <c r="E283" s="169"/>
      <c r="F283" s="112"/>
      <c r="G283" s="65"/>
      <c r="H283" s="173">
        <v>1</v>
      </c>
      <c r="I283" s="33" t="s">
        <v>66</v>
      </c>
      <c r="J283" s="34">
        <v>1</v>
      </c>
      <c r="K283" s="33" t="s">
        <v>25</v>
      </c>
      <c r="L283" s="35">
        <v>2500000</v>
      </c>
      <c r="M283" s="36">
        <f t="shared" si="20"/>
        <v>2500000</v>
      </c>
      <c r="N283" s="37"/>
      <c r="O283" s="249"/>
      <c r="P283" s="249"/>
      <c r="Q283" s="249"/>
    </row>
    <row r="284" spans="1:17" ht="17" x14ac:dyDescent="0.15">
      <c r="A284" s="27"/>
      <c r="B284" s="171"/>
      <c r="C284" s="169"/>
      <c r="D284" s="169" t="s">
        <v>336</v>
      </c>
      <c r="E284" s="169"/>
      <c r="F284" s="112"/>
      <c r="G284" s="65"/>
      <c r="H284" s="173">
        <v>30</v>
      </c>
      <c r="I284" s="33" t="s">
        <v>66</v>
      </c>
      <c r="J284" s="34">
        <v>1</v>
      </c>
      <c r="K284" s="33" t="s">
        <v>67</v>
      </c>
      <c r="L284" s="35">
        <v>650000</v>
      </c>
      <c r="M284" s="36">
        <f t="shared" si="20"/>
        <v>19500000</v>
      </c>
      <c r="N284" s="37"/>
      <c r="O284" s="249"/>
      <c r="P284" s="249"/>
      <c r="Q284" s="249"/>
    </row>
    <row r="285" spans="1:17" ht="17" x14ac:dyDescent="0.15">
      <c r="A285" s="27"/>
      <c r="B285" s="171"/>
      <c r="C285" s="169" t="s">
        <v>337</v>
      </c>
      <c r="D285" s="169"/>
      <c r="E285" s="169"/>
      <c r="F285" s="112"/>
      <c r="G285" s="65"/>
      <c r="H285" s="173">
        <v>1</v>
      </c>
      <c r="I285" s="33" t="s">
        <v>66</v>
      </c>
      <c r="J285" s="34">
        <v>1</v>
      </c>
      <c r="K285" s="33" t="s">
        <v>25</v>
      </c>
      <c r="L285" s="35">
        <v>2500000</v>
      </c>
      <c r="M285" s="36">
        <f t="shared" si="20"/>
        <v>2500000</v>
      </c>
      <c r="N285" s="37"/>
      <c r="O285" s="249"/>
      <c r="P285" s="249"/>
      <c r="Q285" s="249"/>
    </row>
    <row r="286" spans="1:17" ht="17" x14ac:dyDescent="0.15">
      <c r="A286" s="27"/>
      <c r="B286" s="171"/>
      <c r="C286" s="169"/>
      <c r="D286" s="169" t="s">
        <v>338</v>
      </c>
      <c r="E286" s="169"/>
      <c r="F286" s="112"/>
      <c r="G286" s="65"/>
      <c r="H286" s="173">
        <v>70</v>
      </c>
      <c r="I286" s="33" t="s">
        <v>66</v>
      </c>
      <c r="J286" s="34">
        <v>1</v>
      </c>
      <c r="K286" s="33" t="s">
        <v>67</v>
      </c>
      <c r="L286" s="35">
        <v>650000</v>
      </c>
      <c r="M286" s="36">
        <f t="shared" si="20"/>
        <v>45500000</v>
      </c>
      <c r="N286" s="37"/>
      <c r="O286" s="249"/>
      <c r="P286" s="249"/>
      <c r="Q286" s="249"/>
    </row>
    <row r="287" spans="1:17" ht="17" x14ac:dyDescent="0.15">
      <c r="A287" s="27"/>
      <c r="B287" s="171"/>
      <c r="C287" s="169" t="s">
        <v>339</v>
      </c>
      <c r="D287" s="169"/>
      <c r="E287" s="169"/>
      <c r="F287" s="112"/>
      <c r="G287" s="65"/>
      <c r="H287" s="173">
        <v>2</v>
      </c>
      <c r="I287" s="33" t="s">
        <v>66</v>
      </c>
      <c r="J287" s="34">
        <v>1</v>
      </c>
      <c r="K287" s="33" t="s">
        <v>25</v>
      </c>
      <c r="L287" s="35">
        <v>7500000</v>
      </c>
      <c r="M287" s="36">
        <f t="shared" si="20"/>
        <v>15000000</v>
      </c>
      <c r="N287" s="37"/>
      <c r="O287" s="249"/>
      <c r="P287" s="249"/>
      <c r="Q287" s="249"/>
    </row>
    <row r="288" spans="1:17" ht="17" x14ac:dyDescent="0.15">
      <c r="A288" s="27"/>
      <c r="B288" s="171"/>
      <c r="C288" s="89"/>
      <c r="D288" s="89" t="s">
        <v>340</v>
      </c>
      <c r="E288" s="89"/>
      <c r="F288" s="30"/>
      <c r="G288" s="65"/>
      <c r="H288" s="68">
        <v>4</v>
      </c>
      <c r="I288" s="33" t="s">
        <v>66</v>
      </c>
      <c r="J288" s="34">
        <v>7</v>
      </c>
      <c r="K288" s="33" t="s">
        <v>67</v>
      </c>
      <c r="L288" s="35">
        <v>1000000</v>
      </c>
      <c r="M288" s="36">
        <f t="shared" si="20"/>
        <v>28000000</v>
      </c>
      <c r="N288" s="118"/>
      <c r="O288" s="249"/>
      <c r="P288" s="249"/>
      <c r="Q288" s="249"/>
    </row>
    <row r="289" spans="1:17" ht="17" x14ac:dyDescent="0.15">
      <c r="A289" s="27"/>
      <c r="B289" s="171"/>
      <c r="C289" s="89" t="s">
        <v>341</v>
      </c>
      <c r="D289" s="89"/>
      <c r="E289" s="89"/>
      <c r="F289" s="30"/>
      <c r="G289" s="65"/>
      <c r="H289" s="68">
        <v>1</v>
      </c>
      <c r="I289" s="33" t="s">
        <v>66</v>
      </c>
      <c r="J289" s="34">
        <v>1</v>
      </c>
      <c r="K289" s="33" t="s">
        <v>25</v>
      </c>
      <c r="L289" s="35">
        <v>3000000</v>
      </c>
      <c r="M289" s="36">
        <f t="shared" si="20"/>
        <v>3000000</v>
      </c>
      <c r="N289" s="37"/>
      <c r="O289" s="249"/>
      <c r="P289" s="249"/>
      <c r="Q289" s="249"/>
    </row>
    <row r="290" spans="1:17" ht="17" x14ac:dyDescent="0.15">
      <c r="A290" s="27"/>
      <c r="B290" s="171"/>
      <c r="C290" s="89"/>
      <c r="D290" s="89" t="s">
        <v>342</v>
      </c>
      <c r="E290" s="89"/>
      <c r="F290" s="30"/>
      <c r="G290" s="65"/>
      <c r="H290" s="68">
        <v>8</v>
      </c>
      <c r="I290" s="33" t="s">
        <v>66</v>
      </c>
      <c r="J290" s="34">
        <v>1</v>
      </c>
      <c r="K290" s="33" t="s">
        <v>67</v>
      </c>
      <c r="L290" s="35">
        <v>550000</v>
      </c>
      <c r="M290" s="36">
        <f t="shared" si="20"/>
        <v>4400000</v>
      </c>
      <c r="N290" s="37"/>
      <c r="O290" s="249"/>
      <c r="P290" s="249"/>
      <c r="Q290" s="249"/>
    </row>
    <row r="291" spans="1:17" ht="16" x14ac:dyDescent="0.15">
      <c r="A291" s="27"/>
      <c r="B291" s="164"/>
      <c r="C291" s="89"/>
      <c r="D291" s="89"/>
      <c r="E291" s="89"/>
      <c r="F291" s="30"/>
      <c r="G291" s="65"/>
      <c r="H291" s="68"/>
      <c r="I291" s="33"/>
      <c r="J291" s="34"/>
      <c r="K291" s="33"/>
      <c r="L291" s="35"/>
      <c r="M291" s="36"/>
      <c r="N291" s="37"/>
      <c r="O291" s="249"/>
      <c r="P291" s="249"/>
      <c r="Q291" s="249"/>
    </row>
    <row r="292" spans="1:17" ht="16" x14ac:dyDescent="0.15">
      <c r="A292" s="27"/>
      <c r="B292" s="164" t="s">
        <v>343</v>
      </c>
      <c r="C292" s="89"/>
      <c r="D292" s="89"/>
      <c r="E292" s="89"/>
      <c r="F292" s="30"/>
      <c r="G292" s="65"/>
      <c r="H292" s="68"/>
      <c r="I292" s="33"/>
      <c r="J292" s="34"/>
      <c r="K292" s="33"/>
      <c r="L292" s="35"/>
      <c r="M292" s="36"/>
      <c r="N292" s="37"/>
      <c r="O292" s="249"/>
      <c r="P292" s="249"/>
      <c r="Q292" s="249"/>
    </row>
    <row r="293" spans="1:17" ht="17" x14ac:dyDescent="0.15">
      <c r="A293" s="27"/>
      <c r="B293" s="171"/>
      <c r="C293" s="89" t="s">
        <v>344</v>
      </c>
      <c r="D293" s="89"/>
      <c r="E293" s="89"/>
      <c r="F293" s="30"/>
      <c r="G293" s="65"/>
      <c r="H293" s="68">
        <v>1</v>
      </c>
      <c r="I293" s="33" t="s">
        <v>66</v>
      </c>
      <c r="J293" s="34">
        <v>1</v>
      </c>
      <c r="K293" s="33" t="s">
        <v>25</v>
      </c>
      <c r="L293" s="35">
        <v>10000000</v>
      </c>
      <c r="M293" s="36">
        <f t="shared" ref="M293:M297" si="21">L293*J293*H293</f>
        <v>10000000</v>
      </c>
      <c r="N293" s="37"/>
      <c r="O293" s="249"/>
      <c r="P293" s="249"/>
      <c r="Q293" s="249"/>
    </row>
    <row r="294" spans="1:17" ht="17" x14ac:dyDescent="0.15">
      <c r="A294" s="27"/>
      <c r="B294" s="171"/>
      <c r="C294" s="89" t="s">
        <v>345</v>
      </c>
      <c r="D294" s="89"/>
      <c r="E294" s="89"/>
      <c r="F294" s="30"/>
      <c r="G294" s="65"/>
      <c r="H294" s="68">
        <v>1</v>
      </c>
      <c r="I294" s="33" t="s">
        <v>66</v>
      </c>
      <c r="J294" s="34">
        <v>1</v>
      </c>
      <c r="K294" s="33" t="s">
        <v>25</v>
      </c>
      <c r="L294" s="35">
        <v>15000000</v>
      </c>
      <c r="M294" s="36">
        <f t="shared" si="21"/>
        <v>15000000</v>
      </c>
      <c r="N294" s="37"/>
      <c r="O294" s="249"/>
      <c r="P294" s="249"/>
      <c r="Q294" s="249"/>
    </row>
    <row r="295" spans="1:17" ht="17" x14ac:dyDescent="0.15">
      <c r="A295" s="27"/>
      <c r="B295" s="171"/>
      <c r="C295" s="89" t="s">
        <v>346</v>
      </c>
      <c r="D295" s="89"/>
      <c r="E295" s="89"/>
      <c r="F295" s="30"/>
      <c r="G295" s="65"/>
      <c r="H295" s="68">
        <v>1</v>
      </c>
      <c r="I295" s="33" t="s">
        <v>66</v>
      </c>
      <c r="J295" s="34">
        <v>1</v>
      </c>
      <c r="K295" s="33" t="s">
        <v>25</v>
      </c>
      <c r="L295" s="35">
        <v>7500000</v>
      </c>
      <c r="M295" s="36">
        <f t="shared" si="21"/>
        <v>7500000</v>
      </c>
      <c r="N295" s="37"/>
      <c r="O295" s="249"/>
      <c r="P295" s="249"/>
      <c r="Q295" s="249"/>
    </row>
    <row r="296" spans="1:17" ht="17" x14ac:dyDescent="0.15">
      <c r="A296" s="27"/>
      <c r="B296" s="171"/>
      <c r="C296" s="89" t="s">
        <v>347</v>
      </c>
      <c r="D296" s="89"/>
      <c r="E296" s="89"/>
      <c r="F296" s="30"/>
      <c r="G296" s="65"/>
      <c r="H296" s="68">
        <v>1</v>
      </c>
      <c r="I296" s="33" t="s">
        <v>66</v>
      </c>
      <c r="J296" s="34">
        <v>1</v>
      </c>
      <c r="K296" s="33" t="s">
        <v>25</v>
      </c>
      <c r="L296" s="35">
        <v>5000000</v>
      </c>
      <c r="M296" s="36">
        <f t="shared" si="21"/>
        <v>5000000</v>
      </c>
      <c r="N296" s="37"/>
      <c r="O296" s="249"/>
      <c r="P296" s="249"/>
      <c r="Q296" s="249"/>
    </row>
    <row r="297" spans="1:17" ht="17" x14ac:dyDescent="0.15">
      <c r="A297" s="27"/>
      <c r="B297" s="171"/>
      <c r="C297" s="89" t="s">
        <v>348</v>
      </c>
      <c r="D297" s="89"/>
      <c r="E297" s="89"/>
      <c r="F297" s="30"/>
      <c r="G297" s="65"/>
      <c r="H297" s="68">
        <v>2</v>
      </c>
      <c r="I297" s="33" t="s">
        <v>66</v>
      </c>
      <c r="J297" s="34">
        <v>1</v>
      </c>
      <c r="K297" s="33" t="s">
        <v>25</v>
      </c>
      <c r="L297" s="35">
        <v>3500000</v>
      </c>
      <c r="M297" s="36">
        <f t="shared" si="21"/>
        <v>7000000</v>
      </c>
      <c r="N297" s="37"/>
      <c r="O297" s="249"/>
      <c r="P297" s="249"/>
      <c r="Q297" s="249"/>
    </row>
    <row r="298" spans="1:17" ht="16" x14ac:dyDescent="0.15">
      <c r="A298" s="27"/>
      <c r="B298" s="88"/>
      <c r="C298" s="89"/>
      <c r="D298" s="89"/>
      <c r="E298" s="89"/>
      <c r="F298" s="30"/>
      <c r="G298" s="65"/>
      <c r="H298" s="32"/>
      <c r="I298" s="33"/>
      <c r="J298" s="34"/>
      <c r="K298" s="33"/>
      <c r="L298" s="69"/>
      <c r="M298" s="36"/>
      <c r="N298" s="37"/>
      <c r="O298" s="249"/>
      <c r="P298" s="249"/>
      <c r="Q298" s="249"/>
    </row>
    <row r="299" spans="1:17" ht="16" x14ac:dyDescent="0.15">
      <c r="A299" s="18" t="s">
        <v>349</v>
      </c>
      <c r="B299" s="188" t="s">
        <v>350</v>
      </c>
      <c r="C299" s="189"/>
      <c r="D299" s="189"/>
      <c r="E299" s="189"/>
      <c r="F299" s="190"/>
      <c r="G299" s="22"/>
      <c r="H299" s="23"/>
      <c r="I299" s="24"/>
      <c r="J299" s="23"/>
      <c r="K299" s="24"/>
      <c r="L299" s="25"/>
      <c r="M299" s="25"/>
      <c r="N299" s="26">
        <f>SUM(M300:M332)</f>
        <v>414779861.1111111</v>
      </c>
      <c r="O299" s="249"/>
      <c r="P299" s="249"/>
      <c r="Q299" s="249"/>
    </row>
    <row r="300" spans="1:17" ht="16" x14ac:dyDescent="0.15">
      <c r="A300" s="27"/>
      <c r="B300" s="53" t="s">
        <v>351</v>
      </c>
      <c r="C300" s="92"/>
      <c r="D300" s="92"/>
      <c r="E300" s="92"/>
      <c r="F300" s="112"/>
      <c r="G300" s="65"/>
      <c r="H300" s="191"/>
      <c r="I300" s="68"/>
      <c r="J300" s="191"/>
      <c r="K300" s="68"/>
      <c r="L300" s="36"/>
      <c r="M300" s="36"/>
      <c r="N300" s="37"/>
      <c r="O300" s="249"/>
      <c r="P300" s="249"/>
      <c r="Q300" s="249"/>
    </row>
    <row r="301" spans="1:17" ht="17" x14ac:dyDescent="0.15">
      <c r="A301" s="27"/>
      <c r="B301" s="53"/>
      <c r="C301" s="70" t="s">
        <v>352</v>
      </c>
      <c r="D301" s="92"/>
      <c r="E301" s="92"/>
      <c r="F301" s="112"/>
      <c r="G301" s="65"/>
      <c r="H301" s="191">
        <v>4</v>
      </c>
      <c r="I301" s="68" t="s">
        <v>71</v>
      </c>
      <c r="J301" s="191">
        <v>7</v>
      </c>
      <c r="K301" s="68" t="s">
        <v>67</v>
      </c>
      <c r="L301" s="36">
        <v>750000</v>
      </c>
      <c r="M301" s="36">
        <f t="shared" ref="M301:M302" si="22">L301*J301*H301</f>
        <v>21000000</v>
      </c>
      <c r="N301" s="37"/>
      <c r="O301" s="249"/>
      <c r="P301" s="249"/>
      <c r="Q301" s="249"/>
    </row>
    <row r="302" spans="1:17" ht="17" x14ac:dyDescent="0.15">
      <c r="A302" s="27"/>
      <c r="B302" s="53"/>
      <c r="C302" s="70" t="s">
        <v>353</v>
      </c>
      <c r="D302" s="3"/>
      <c r="E302" s="3"/>
      <c r="F302" s="112"/>
      <c r="G302" s="65"/>
      <c r="H302" s="191">
        <v>4</v>
      </c>
      <c r="I302" s="68" t="s">
        <v>71</v>
      </c>
      <c r="J302" s="191">
        <v>7</v>
      </c>
      <c r="K302" s="68" t="s">
        <v>354</v>
      </c>
      <c r="L302" s="36">
        <v>750000</v>
      </c>
      <c r="M302" s="36">
        <f t="shared" si="22"/>
        <v>21000000</v>
      </c>
      <c r="N302" s="37"/>
      <c r="O302" s="249"/>
      <c r="P302" s="249"/>
      <c r="Q302" s="249"/>
    </row>
    <row r="303" spans="1:17" ht="16" x14ac:dyDescent="0.15">
      <c r="A303" s="27"/>
      <c r="B303" s="53" t="s">
        <v>355</v>
      </c>
      <c r="C303" s="92"/>
      <c r="D303" s="92"/>
      <c r="E303" s="92"/>
      <c r="F303" s="30"/>
      <c r="G303" s="65"/>
      <c r="H303" s="191"/>
      <c r="I303" s="68"/>
      <c r="J303" s="191"/>
      <c r="K303" s="68"/>
      <c r="L303" s="36"/>
      <c r="M303" s="36"/>
      <c r="N303" s="37"/>
      <c r="O303" s="249"/>
      <c r="P303" s="249"/>
      <c r="Q303" s="249"/>
    </row>
    <row r="304" spans="1:17" ht="17" x14ac:dyDescent="0.15">
      <c r="A304" s="27"/>
      <c r="B304" s="53"/>
      <c r="C304" s="92" t="s">
        <v>356</v>
      </c>
      <c r="D304" s="92"/>
      <c r="E304" s="92"/>
      <c r="F304" s="30"/>
      <c r="G304" s="65"/>
      <c r="H304" s="191">
        <v>6</v>
      </c>
      <c r="I304" s="68" t="s">
        <v>357</v>
      </c>
      <c r="J304" s="191">
        <v>6</v>
      </c>
      <c r="K304" s="68" t="s">
        <v>358</v>
      </c>
      <c r="L304" s="36">
        <v>600000</v>
      </c>
      <c r="M304" s="36">
        <f t="shared" ref="M304:M305" si="23">L304*J304*H304</f>
        <v>21600000</v>
      </c>
      <c r="N304" s="37"/>
      <c r="O304" s="249"/>
      <c r="P304" s="249"/>
      <c r="Q304" s="249"/>
    </row>
    <row r="305" spans="1:17" ht="17" x14ac:dyDescent="0.15">
      <c r="A305" s="27"/>
      <c r="B305" s="53"/>
      <c r="C305" s="92" t="s">
        <v>301</v>
      </c>
      <c r="D305" s="92"/>
      <c r="E305" s="92"/>
      <c r="F305" s="30"/>
      <c r="G305" s="65"/>
      <c r="H305" s="191">
        <v>6</v>
      </c>
      <c r="I305" s="68" t="s">
        <v>357</v>
      </c>
      <c r="J305" s="191">
        <v>6</v>
      </c>
      <c r="K305" s="68" t="s">
        <v>358</v>
      </c>
      <c r="L305" s="36">
        <v>600000</v>
      </c>
      <c r="M305" s="36">
        <f t="shared" si="23"/>
        <v>21600000</v>
      </c>
      <c r="N305" s="37"/>
      <c r="O305" s="249"/>
      <c r="P305" s="249"/>
      <c r="Q305" s="249"/>
    </row>
    <row r="306" spans="1:17" ht="16" x14ac:dyDescent="0.15">
      <c r="A306" s="27"/>
      <c r="B306" s="53" t="s">
        <v>359</v>
      </c>
      <c r="C306" s="92"/>
      <c r="D306" s="92"/>
      <c r="E306" s="92"/>
      <c r="F306" s="30"/>
      <c r="G306" s="65"/>
      <c r="H306" s="191"/>
      <c r="I306" s="68"/>
      <c r="J306" s="191"/>
      <c r="K306" s="68"/>
      <c r="L306" s="36"/>
      <c r="M306" s="36"/>
      <c r="N306" s="37"/>
      <c r="O306" s="249"/>
      <c r="P306" s="249"/>
      <c r="Q306" s="249"/>
    </row>
    <row r="307" spans="1:17" ht="17" x14ac:dyDescent="0.15">
      <c r="A307" s="27"/>
      <c r="B307" s="53"/>
      <c r="C307" s="92" t="s">
        <v>360</v>
      </c>
      <c r="D307" s="70"/>
      <c r="E307" s="70"/>
      <c r="F307" s="174"/>
      <c r="G307" s="65"/>
      <c r="H307" s="191">
        <v>300</v>
      </c>
      <c r="I307" s="68" t="s">
        <v>361</v>
      </c>
      <c r="J307" s="191">
        <v>1</v>
      </c>
      <c r="K307" s="68" t="s">
        <v>67</v>
      </c>
      <c r="L307" s="36">
        <v>25000</v>
      </c>
      <c r="M307" s="36">
        <f t="shared" ref="M307:M310" si="24">L307*J307*H307</f>
        <v>7500000</v>
      </c>
      <c r="N307" s="37"/>
      <c r="O307" s="249"/>
      <c r="P307" s="249"/>
      <c r="Q307" s="249"/>
    </row>
    <row r="308" spans="1:17" ht="17" x14ac:dyDescent="0.15">
      <c r="A308" s="27"/>
      <c r="B308" s="53"/>
      <c r="C308" s="92" t="s">
        <v>362</v>
      </c>
      <c r="D308" s="70"/>
      <c r="E308" s="70"/>
      <c r="F308" s="174"/>
      <c r="G308" s="65"/>
      <c r="H308" s="191">
        <v>500</v>
      </c>
      <c r="I308" s="68" t="s">
        <v>361</v>
      </c>
      <c r="J308" s="191">
        <v>1</v>
      </c>
      <c r="K308" s="68" t="s">
        <v>67</v>
      </c>
      <c r="L308" s="36">
        <v>25000</v>
      </c>
      <c r="M308" s="36">
        <f t="shared" si="24"/>
        <v>12500000</v>
      </c>
      <c r="N308" s="37"/>
      <c r="O308" s="249"/>
      <c r="P308" s="249"/>
      <c r="Q308" s="249"/>
    </row>
    <row r="309" spans="1:17" ht="17" x14ac:dyDescent="0.15">
      <c r="A309" s="27"/>
      <c r="B309" s="53"/>
      <c r="C309" s="92" t="s">
        <v>363</v>
      </c>
      <c r="D309" s="92"/>
      <c r="E309" s="92"/>
      <c r="F309" s="30"/>
      <c r="G309" s="65"/>
      <c r="H309" s="191">
        <v>300</v>
      </c>
      <c r="I309" s="68" t="s">
        <v>361</v>
      </c>
      <c r="J309" s="191">
        <v>1</v>
      </c>
      <c r="K309" s="68" t="s">
        <v>67</v>
      </c>
      <c r="L309" s="36">
        <v>45000</v>
      </c>
      <c r="M309" s="36">
        <f t="shared" si="24"/>
        <v>13500000</v>
      </c>
      <c r="N309" s="37"/>
      <c r="O309" s="249"/>
      <c r="P309" s="249"/>
      <c r="Q309" s="249"/>
    </row>
    <row r="310" spans="1:17" ht="17" x14ac:dyDescent="0.15">
      <c r="A310" s="27"/>
      <c r="B310" s="53"/>
      <c r="C310" s="92" t="s">
        <v>364</v>
      </c>
      <c r="D310" s="70"/>
      <c r="E310" s="70"/>
      <c r="F310" s="174"/>
      <c r="G310" s="65"/>
      <c r="H310" s="191">
        <v>500</v>
      </c>
      <c r="I310" s="68" t="s">
        <v>361</v>
      </c>
      <c r="J310" s="191">
        <v>1</v>
      </c>
      <c r="K310" s="68" t="s">
        <v>67</v>
      </c>
      <c r="L310" s="36">
        <v>45000</v>
      </c>
      <c r="M310" s="36">
        <f t="shared" si="24"/>
        <v>22500000</v>
      </c>
      <c r="N310" s="37"/>
      <c r="O310" s="249"/>
      <c r="P310" s="249"/>
      <c r="Q310" s="249"/>
    </row>
    <row r="311" spans="1:17" ht="17" x14ac:dyDescent="0.15">
      <c r="A311" s="27"/>
      <c r="B311" s="53"/>
      <c r="C311" s="92" t="s">
        <v>365</v>
      </c>
      <c r="D311" s="70"/>
      <c r="E311" s="70"/>
      <c r="F311" s="174"/>
      <c r="G311" s="65"/>
      <c r="H311" s="191">
        <v>100</v>
      </c>
      <c r="I311" s="68" t="s">
        <v>366</v>
      </c>
      <c r="J311" s="191">
        <v>1</v>
      </c>
      <c r="K311" s="68" t="s">
        <v>67</v>
      </c>
      <c r="L311" s="72" t="s">
        <v>52</v>
      </c>
      <c r="M311" s="72" t="s">
        <v>52</v>
      </c>
      <c r="N311" s="37"/>
      <c r="O311" s="249"/>
      <c r="P311" s="249"/>
      <c r="Q311" s="249"/>
    </row>
    <row r="312" spans="1:17" ht="17" x14ac:dyDescent="0.15">
      <c r="A312" s="27"/>
      <c r="B312" s="53"/>
      <c r="C312" s="92" t="s">
        <v>367</v>
      </c>
      <c r="D312" s="70"/>
      <c r="E312" s="70"/>
      <c r="F312" s="174"/>
      <c r="G312" s="65"/>
      <c r="H312" s="191">
        <v>1</v>
      </c>
      <c r="I312" s="68" t="s">
        <v>50</v>
      </c>
      <c r="J312" s="191">
        <v>1</v>
      </c>
      <c r="K312" s="68" t="s">
        <v>67</v>
      </c>
      <c r="L312" s="36">
        <v>5000000</v>
      </c>
      <c r="M312" s="36">
        <f>L312*J312*H312</f>
        <v>5000000</v>
      </c>
      <c r="N312" s="37"/>
      <c r="O312" s="249"/>
      <c r="P312" s="249"/>
      <c r="Q312" s="249"/>
    </row>
    <row r="313" spans="1:17" ht="16" x14ac:dyDescent="0.15">
      <c r="A313" s="27"/>
      <c r="B313" s="53" t="s">
        <v>368</v>
      </c>
      <c r="C313" s="92"/>
      <c r="D313" s="92"/>
      <c r="E313" s="92"/>
      <c r="F313" s="30"/>
      <c r="G313" s="65"/>
      <c r="H313" s="191"/>
      <c r="I313" s="173"/>
      <c r="J313" s="191"/>
      <c r="K313" s="68"/>
      <c r="L313" s="36"/>
      <c r="M313" s="36"/>
      <c r="N313" s="37"/>
      <c r="O313" s="249"/>
      <c r="P313" s="249"/>
      <c r="Q313" s="249"/>
    </row>
    <row r="314" spans="1:17" ht="16" x14ac:dyDescent="0.15">
      <c r="A314" s="27"/>
      <c r="B314" s="110"/>
      <c r="C314" s="192" t="s">
        <v>369</v>
      </c>
      <c r="D314" s="192"/>
      <c r="E314" s="192"/>
      <c r="F314" s="193"/>
      <c r="G314" s="194"/>
      <c r="H314" s="195">
        <v>300</v>
      </c>
      <c r="I314" s="66" t="s">
        <v>261</v>
      </c>
      <c r="J314" s="196" t="s">
        <v>370</v>
      </c>
      <c r="K314" s="197" t="s">
        <v>25</v>
      </c>
      <c r="L314" s="198">
        <v>30000</v>
      </c>
      <c r="M314" s="36">
        <f t="shared" ref="M314:M316" si="25">L314*J314*H314</f>
        <v>9000000</v>
      </c>
      <c r="N314" s="37"/>
      <c r="O314" s="249"/>
      <c r="P314" s="249"/>
      <c r="Q314" s="249"/>
    </row>
    <row r="315" spans="1:17" ht="16" x14ac:dyDescent="0.15">
      <c r="A315" s="27"/>
      <c r="B315" s="110"/>
      <c r="C315" s="192" t="s">
        <v>371</v>
      </c>
      <c r="D315" s="192"/>
      <c r="E315" s="192"/>
      <c r="F315" s="193"/>
      <c r="G315" s="81" t="s">
        <v>372</v>
      </c>
      <c r="H315" s="194">
        <v>15300</v>
      </c>
      <c r="I315" s="199" t="s">
        <v>261</v>
      </c>
      <c r="J315" s="200" t="s">
        <v>370</v>
      </c>
      <c r="K315" s="66" t="s">
        <v>25</v>
      </c>
      <c r="L315" s="198">
        <v>9500</v>
      </c>
      <c r="M315" s="36">
        <f t="shared" si="25"/>
        <v>145350000</v>
      </c>
      <c r="N315" s="37"/>
      <c r="O315" s="249"/>
      <c r="P315" s="249"/>
      <c r="Q315" s="249"/>
    </row>
    <row r="316" spans="1:17" ht="16" x14ac:dyDescent="0.15">
      <c r="A316" s="38"/>
      <c r="B316" s="113" t="s">
        <v>374</v>
      </c>
      <c r="C316" s="201"/>
      <c r="D316" s="201"/>
      <c r="E316" s="201"/>
      <c r="F316" s="202"/>
      <c r="G316" s="85" t="s">
        <v>375</v>
      </c>
      <c r="H316" s="203">
        <v>1</v>
      </c>
      <c r="I316" s="204" t="s">
        <v>24</v>
      </c>
      <c r="J316" s="205" t="s">
        <v>376</v>
      </c>
      <c r="K316" s="206" t="s">
        <v>67</v>
      </c>
      <c r="L316" s="207">
        <v>35000000</v>
      </c>
      <c r="M316" s="47">
        <f t="shared" si="25"/>
        <v>1579861.111111111</v>
      </c>
      <c r="N316" s="48"/>
      <c r="O316" s="249"/>
      <c r="P316" s="249"/>
      <c r="Q316" s="249"/>
    </row>
    <row r="317" spans="1:17" ht="16" x14ac:dyDescent="0.15">
      <c r="A317" s="27"/>
      <c r="B317" s="110" t="s">
        <v>373</v>
      </c>
      <c r="C317" s="192"/>
      <c r="D317" s="192"/>
      <c r="E317" s="192"/>
      <c r="F317" s="193"/>
      <c r="G317" s="81"/>
      <c r="H317" s="195"/>
      <c r="I317" s="199"/>
      <c r="J317" s="196"/>
      <c r="K317" s="197"/>
      <c r="L317" s="198"/>
      <c r="M317" s="198"/>
      <c r="N317" s="37"/>
      <c r="O317" s="249"/>
      <c r="P317" s="249"/>
      <c r="Q317" s="249"/>
    </row>
    <row r="318" spans="1:17" ht="16" x14ac:dyDescent="0.15">
      <c r="A318" s="27"/>
      <c r="B318" s="110"/>
      <c r="C318" s="192" t="s">
        <v>377</v>
      </c>
      <c r="D318" s="192"/>
      <c r="E318" s="192"/>
      <c r="F318" s="193"/>
      <c r="G318" s="81"/>
      <c r="H318" s="195">
        <v>100</v>
      </c>
      <c r="I318" s="199" t="s">
        <v>71</v>
      </c>
      <c r="J318" s="196" t="s">
        <v>378</v>
      </c>
      <c r="K318" s="197" t="s">
        <v>67</v>
      </c>
      <c r="L318" s="198">
        <v>55000</v>
      </c>
      <c r="M318" s="36">
        <f t="shared" ref="M318:M320" si="26">L318*J318*H318</f>
        <v>11000000</v>
      </c>
      <c r="N318" s="37"/>
      <c r="O318" s="249"/>
      <c r="P318" s="249"/>
      <c r="Q318" s="249"/>
    </row>
    <row r="319" spans="1:17" ht="16" x14ac:dyDescent="0.15">
      <c r="A319" s="27"/>
      <c r="B319" s="110"/>
      <c r="C319" s="192" t="s">
        <v>379</v>
      </c>
      <c r="D319" s="192"/>
      <c r="E319" s="192"/>
      <c r="F319" s="193"/>
      <c r="G319" s="194"/>
      <c r="H319" s="195">
        <v>1</v>
      </c>
      <c r="I319" s="66" t="s">
        <v>71</v>
      </c>
      <c r="J319" s="196" t="s">
        <v>378</v>
      </c>
      <c r="K319" s="197" t="s">
        <v>67</v>
      </c>
      <c r="L319" s="198">
        <v>2500000</v>
      </c>
      <c r="M319" s="36">
        <f t="shared" si="26"/>
        <v>5000000</v>
      </c>
      <c r="N319" s="118"/>
      <c r="O319" s="249"/>
      <c r="P319" s="249"/>
      <c r="Q319" s="249"/>
    </row>
    <row r="320" spans="1:17" ht="16" x14ac:dyDescent="0.15">
      <c r="A320" s="52"/>
      <c r="B320" s="110"/>
      <c r="C320" s="192" t="s">
        <v>380</v>
      </c>
      <c r="D320" s="192"/>
      <c r="E320" s="192"/>
      <c r="F320" s="193"/>
      <c r="G320" s="194"/>
      <c r="H320" s="195">
        <v>40</v>
      </c>
      <c r="I320" s="66" t="s">
        <v>71</v>
      </c>
      <c r="J320" s="196" t="s">
        <v>381</v>
      </c>
      <c r="K320" s="197" t="s">
        <v>67</v>
      </c>
      <c r="L320" s="198">
        <v>125000</v>
      </c>
      <c r="M320" s="36">
        <f t="shared" si="26"/>
        <v>35000000</v>
      </c>
      <c r="N320" s="37"/>
      <c r="O320" s="249"/>
      <c r="P320" s="249"/>
      <c r="Q320" s="249"/>
    </row>
    <row r="321" spans="1:17" ht="16" x14ac:dyDescent="0.15">
      <c r="A321" s="62"/>
      <c r="B321" s="110" t="s">
        <v>382</v>
      </c>
      <c r="C321" s="192"/>
      <c r="D321" s="192"/>
      <c r="E321" s="192"/>
      <c r="F321" s="193"/>
      <c r="G321" s="194"/>
      <c r="H321" s="195"/>
      <c r="I321" s="66"/>
      <c r="J321" s="196"/>
      <c r="K321" s="197"/>
      <c r="L321" s="198"/>
      <c r="M321" s="198"/>
      <c r="N321" s="37"/>
      <c r="O321" s="249"/>
      <c r="P321" s="249"/>
      <c r="Q321" s="249"/>
    </row>
    <row r="322" spans="1:17" ht="16" x14ac:dyDescent="0.15">
      <c r="A322" s="62"/>
      <c r="B322" s="110"/>
      <c r="C322" s="192" t="s">
        <v>383</v>
      </c>
      <c r="D322" s="192"/>
      <c r="E322" s="192"/>
      <c r="F322" s="193"/>
      <c r="G322" s="194"/>
      <c r="H322" s="195">
        <v>4</v>
      </c>
      <c r="I322" s="66" t="s">
        <v>71</v>
      </c>
      <c r="J322" s="196" t="s">
        <v>381</v>
      </c>
      <c r="K322" s="197" t="s">
        <v>67</v>
      </c>
      <c r="L322" s="198">
        <v>250000</v>
      </c>
      <c r="M322" s="36">
        <f t="shared" ref="M322:M324" si="27">L322*J322*H322</f>
        <v>7000000</v>
      </c>
      <c r="N322" s="37"/>
      <c r="O322" s="249"/>
      <c r="P322" s="249"/>
      <c r="Q322" s="249"/>
    </row>
    <row r="323" spans="1:17" ht="16" x14ac:dyDescent="0.15">
      <c r="A323" s="62"/>
      <c r="B323" s="110"/>
      <c r="C323" s="192" t="s">
        <v>384</v>
      </c>
      <c r="D323" s="192"/>
      <c r="E323" s="192"/>
      <c r="F323" s="193"/>
      <c r="G323" s="194"/>
      <c r="H323" s="195">
        <v>2</v>
      </c>
      <c r="I323" s="66" t="s">
        <v>71</v>
      </c>
      <c r="J323" s="196" t="s">
        <v>381</v>
      </c>
      <c r="K323" s="197" t="s">
        <v>67</v>
      </c>
      <c r="L323" s="198">
        <v>350000</v>
      </c>
      <c r="M323" s="36">
        <f t="shared" si="27"/>
        <v>4900000</v>
      </c>
      <c r="N323" s="37"/>
      <c r="O323" s="249"/>
      <c r="P323" s="249"/>
      <c r="Q323" s="249"/>
    </row>
    <row r="324" spans="1:17" ht="16" x14ac:dyDescent="0.15">
      <c r="A324" s="62"/>
      <c r="B324" s="110"/>
      <c r="C324" s="192" t="s">
        <v>385</v>
      </c>
      <c r="D324" s="192"/>
      <c r="E324" s="192"/>
      <c r="F324" s="193"/>
      <c r="G324" s="194"/>
      <c r="H324" s="195">
        <v>1</v>
      </c>
      <c r="I324" s="66" t="s">
        <v>24</v>
      </c>
      <c r="J324" s="196" t="s">
        <v>370</v>
      </c>
      <c r="K324" s="66" t="s">
        <v>25</v>
      </c>
      <c r="L324" s="198">
        <v>5000000</v>
      </c>
      <c r="M324" s="36">
        <f t="shared" si="27"/>
        <v>5000000</v>
      </c>
      <c r="N324" s="37"/>
      <c r="O324" s="249"/>
      <c r="P324" s="249"/>
      <c r="Q324" s="249"/>
    </row>
    <row r="325" spans="1:17" ht="16" x14ac:dyDescent="0.15">
      <c r="A325" s="209"/>
      <c r="B325" s="113" t="s">
        <v>386</v>
      </c>
      <c r="C325" s="201"/>
      <c r="D325" s="201"/>
      <c r="E325" s="201"/>
      <c r="F325" s="202"/>
      <c r="G325" s="85"/>
      <c r="H325" s="203"/>
      <c r="I325" s="210"/>
      <c r="J325" s="211"/>
      <c r="K325" s="210"/>
      <c r="L325" s="207"/>
      <c r="M325" s="47"/>
      <c r="N325" s="48"/>
      <c r="O325" s="249"/>
      <c r="P325" s="249"/>
      <c r="Q325" s="249"/>
    </row>
    <row r="326" spans="1:17" ht="16" x14ac:dyDescent="0.15">
      <c r="A326" s="209"/>
      <c r="B326" s="113"/>
      <c r="C326" s="201" t="s">
        <v>387</v>
      </c>
      <c r="D326" s="201"/>
      <c r="E326" s="201"/>
      <c r="F326" s="202"/>
      <c r="G326" s="85"/>
      <c r="H326" s="203">
        <v>10</v>
      </c>
      <c r="I326" s="210" t="s">
        <v>71</v>
      </c>
      <c r="J326" s="211" t="s">
        <v>370</v>
      </c>
      <c r="K326" s="210" t="s">
        <v>67</v>
      </c>
      <c r="L326" s="207">
        <v>750000</v>
      </c>
      <c r="M326" s="47">
        <f t="shared" ref="M326:M331" si="28">L326*J326*H326</f>
        <v>7500000</v>
      </c>
      <c r="N326" s="48"/>
      <c r="O326" s="249"/>
      <c r="P326" s="249"/>
      <c r="Q326" s="249"/>
    </row>
    <row r="327" spans="1:17" ht="16" x14ac:dyDescent="0.15">
      <c r="A327" s="209"/>
      <c r="B327" s="113"/>
      <c r="C327" s="201" t="s">
        <v>388</v>
      </c>
      <c r="D327" s="201"/>
      <c r="E327" s="201"/>
      <c r="F327" s="202"/>
      <c r="G327" s="85"/>
      <c r="H327" s="203">
        <v>10</v>
      </c>
      <c r="I327" s="210" t="s">
        <v>71</v>
      </c>
      <c r="J327" s="211" t="s">
        <v>370</v>
      </c>
      <c r="K327" s="210" t="s">
        <v>67</v>
      </c>
      <c r="L327" s="207">
        <v>1950000</v>
      </c>
      <c r="M327" s="47">
        <f t="shared" si="28"/>
        <v>19500000</v>
      </c>
      <c r="N327" s="48"/>
      <c r="O327" s="249"/>
      <c r="P327" s="249"/>
      <c r="Q327" s="249"/>
    </row>
    <row r="328" spans="1:17" ht="16" x14ac:dyDescent="0.15">
      <c r="A328" s="209"/>
      <c r="B328" s="113"/>
      <c r="C328" s="201" t="s">
        <v>389</v>
      </c>
      <c r="D328" s="201"/>
      <c r="E328" s="201"/>
      <c r="F328" s="202"/>
      <c r="G328" s="85"/>
      <c r="H328" s="203">
        <v>50</v>
      </c>
      <c r="I328" s="210" t="s">
        <v>24</v>
      </c>
      <c r="J328" s="211" t="s">
        <v>370</v>
      </c>
      <c r="K328" s="210" t="s">
        <v>67</v>
      </c>
      <c r="L328" s="207">
        <v>125000</v>
      </c>
      <c r="M328" s="47">
        <f t="shared" si="28"/>
        <v>6250000</v>
      </c>
      <c r="N328" s="48"/>
      <c r="O328" s="249"/>
      <c r="P328" s="249"/>
      <c r="Q328" s="249"/>
    </row>
    <row r="329" spans="1:17" ht="16" x14ac:dyDescent="0.15">
      <c r="A329" s="209"/>
      <c r="B329" s="113"/>
      <c r="C329" s="201" t="s">
        <v>390</v>
      </c>
      <c r="D329" s="201"/>
      <c r="E329" s="201"/>
      <c r="F329" s="213"/>
      <c r="G329" s="50"/>
      <c r="H329" s="214">
        <v>1</v>
      </c>
      <c r="I329" s="210" t="s">
        <v>24</v>
      </c>
      <c r="J329" s="215" t="s">
        <v>370</v>
      </c>
      <c r="K329" s="210" t="s">
        <v>67</v>
      </c>
      <c r="L329" s="216">
        <v>6000000</v>
      </c>
      <c r="M329" s="47">
        <f t="shared" si="28"/>
        <v>6000000</v>
      </c>
      <c r="N329" s="48"/>
      <c r="O329" s="249"/>
      <c r="P329" s="249"/>
      <c r="Q329" s="249"/>
    </row>
    <row r="330" spans="1:17" ht="16" x14ac:dyDescent="0.15">
      <c r="A330" s="209"/>
      <c r="B330" s="113"/>
      <c r="C330" s="201" t="s">
        <v>391</v>
      </c>
      <c r="D330" s="201"/>
      <c r="E330" s="201"/>
      <c r="F330" s="213"/>
      <c r="G330" s="50"/>
      <c r="H330" s="214">
        <v>150</v>
      </c>
      <c r="I330" s="210" t="s">
        <v>261</v>
      </c>
      <c r="J330" s="215" t="s">
        <v>370</v>
      </c>
      <c r="K330" s="210" t="s">
        <v>392</v>
      </c>
      <c r="L330" s="216">
        <v>20000</v>
      </c>
      <c r="M330" s="47">
        <f t="shared" si="28"/>
        <v>3000000</v>
      </c>
      <c r="N330" s="48"/>
      <c r="O330" s="249"/>
      <c r="P330" s="249"/>
      <c r="Q330" s="249"/>
    </row>
    <row r="331" spans="1:17" ht="16" x14ac:dyDescent="0.15">
      <c r="A331" s="209"/>
      <c r="B331" s="113"/>
      <c r="C331" s="201" t="s">
        <v>393</v>
      </c>
      <c r="D331" s="201"/>
      <c r="E331" s="201"/>
      <c r="F331" s="213"/>
      <c r="G331" s="50"/>
      <c r="H331" s="214">
        <v>20</v>
      </c>
      <c r="I331" s="210" t="s">
        <v>261</v>
      </c>
      <c r="J331" s="215" t="s">
        <v>370</v>
      </c>
      <c r="K331" s="210" t="s">
        <v>392</v>
      </c>
      <c r="L331" s="216">
        <v>125000</v>
      </c>
      <c r="M331" s="47">
        <f t="shared" si="28"/>
        <v>2500000</v>
      </c>
      <c r="N331" s="48"/>
      <c r="O331" s="249"/>
      <c r="P331" s="249"/>
      <c r="Q331" s="249"/>
    </row>
    <row r="332" spans="1:17" ht="16" x14ac:dyDescent="0.15">
      <c r="A332" s="52"/>
      <c r="B332" s="53"/>
      <c r="C332" s="54"/>
      <c r="D332" s="54"/>
      <c r="E332" s="54"/>
      <c r="F332" s="55"/>
      <c r="G332" s="65"/>
      <c r="H332" s="57"/>
      <c r="I332" s="58"/>
      <c r="J332" s="59"/>
      <c r="K332" s="58"/>
      <c r="L332" s="60"/>
      <c r="M332" s="36"/>
      <c r="N332" s="37"/>
      <c r="O332" s="249"/>
      <c r="P332" s="249"/>
      <c r="Q332" s="249"/>
    </row>
    <row r="333" spans="1:17" ht="16" x14ac:dyDescent="0.15">
      <c r="A333" s="18" t="s">
        <v>394</v>
      </c>
      <c r="B333" s="188" t="s">
        <v>395</v>
      </c>
      <c r="C333" s="189"/>
      <c r="D333" s="189"/>
      <c r="E333" s="189"/>
      <c r="F333" s="190"/>
      <c r="G333" s="22"/>
      <c r="H333" s="23"/>
      <c r="I333" s="24"/>
      <c r="J333" s="23"/>
      <c r="K333" s="24"/>
      <c r="L333" s="25"/>
      <c r="M333" s="25"/>
      <c r="N333" s="26">
        <f>SUM(M334:M346)</f>
        <v>191900000</v>
      </c>
      <c r="O333" s="249"/>
      <c r="P333" s="249"/>
      <c r="Q333" s="249"/>
    </row>
    <row r="334" spans="1:17" ht="16" x14ac:dyDescent="0.15">
      <c r="A334" s="62"/>
      <c r="B334" s="63" t="s">
        <v>396</v>
      </c>
      <c r="C334" s="64"/>
      <c r="D334" s="64"/>
      <c r="E334" s="64"/>
      <c r="F334" s="218"/>
      <c r="G334" s="65"/>
      <c r="H334" s="57"/>
      <c r="I334" s="58"/>
      <c r="J334" s="59"/>
      <c r="K334" s="58"/>
      <c r="L334" s="60"/>
      <c r="M334" s="36"/>
      <c r="N334" s="37"/>
      <c r="O334" s="249"/>
      <c r="P334" s="249"/>
      <c r="Q334" s="249"/>
    </row>
    <row r="335" spans="1:17" ht="16" x14ac:dyDescent="0.15">
      <c r="A335" s="62"/>
      <c r="B335" s="63"/>
      <c r="C335" s="64" t="s">
        <v>397</v>
      </c>
      <c r="D335" s="64"/>
      <c r="E335" s="64"/>
      <c r="F335" s="218"/>
      <c r="G335" s="65"/>
      <c r="H335" s="57">
        <v>20</v>
      </c>
      <c r="I335" s="58" t="s">
        <v>71</v>
      </c>
      <c r="J335" s="59" t="s">
        <v>370</v>
      </c>
      <c r="K335" s="58" t="s">
        <v>25</v>
      </c>
      <c r="L335" s="60">
        <v>650000</v>
      </c>
      <c r="M335" s="36">
        <f t="shared" ref="M335:M337" si="29">L335*J335*H335</f>
        <v>13000000</v>
      </c>
      <c r="N335" s="37"/>
      <c r="O335" s="249"/>
      <c r="P335" s="249"/>
      <c r="Q335" s="249"/>
    </row>
    <row r="336" spans="1:17" ht="16" x14ac:dyDescent="0.15">
      <c r="A336" s="62"/>
      <c r="B336" s="63"/>
      <c r="C336" s="64" t="s">
        <v>398</v>
      </c>
      <c r="D336" s="64"/>
      <c r="E336" s="64"/>
      <c r="F336" s="218"/>
      <c r="G336" s="65" t="s">
        <v>399</v>
      </c>
      <c r="H336" s="57">
        <v>1</v>
      </c>
      <c r="I336" s="58" t="s">
        <v>71</v>
      </c>
      <c r="J336" s="59" t="s">
        <v>370</v>
      </c>
      <c r="K336" s="58" t="s">
        <v>25</v>
      </c>
      <c r="L336" s="60">
        <v>5000000</v>
      </c>
      <c r="M336" s="36">
        <f t="shared" si="29"/>
        <v>5000000</v>
      </c>
      <c r="N336" s="37"/>
      <c r="O336" s="249"/>
      <c r="P336" s="249"/>
      <c r="Q336" s="249"/>
    </row>
    <row r="337" spans="1:17" ht="16" x14ac:dyDescent="0.15">
      <c r="A337" s="62"/>
      <c r="B337" s="63"/>
      <c r="C337" s="64" t="s">
        <v>398</v>
      </c>
      <c r="D337" s="64"/>
      <c r="E337" s="64"/>
      <c r="F337" s="218"/>
      <c r="G337" s="65" t="s">
        <v>400</v>
      </c>
      <c r="H337" s="57">
        <v>1</v>
      </c>
      <c r="I337" s="58" t="s">
        <v>71</v>
      </c>
      <c r="J337" s="59" t="s">
        <v>370</v>
      </c>
      <c r="K337" s="58" t="s">
        <v>25</v>
      </c>
      <c r="L337" s="60">
        <v>6000000</v>
      </c>
      <c r="M337" s="36">
        <f t="shared" si="29"/>
        <v>6000000</v>
      </c>
      <c r="N337" s="178"/>
      <c r="O337" s="249"/>
      <c r="P337" s="249"/>
      <c r="Q337" s="249"/>
    </row>
    <row r="338" spans="1:17" ht="16" x14ac:dyDescent="0.15">
      <c r="A338" s="62"/>
      <c r="B338" s="63" t="s">
        <v>401</v>
      </c>
      <c r="C338" s="64"/>
      <c r="D338" s="64"/>
      <c r="E338" s="64"/>
      <c r="F338" s="218"/>
      <c r="G338" s="65"/>
      <c r="H338" s="57"/>
      <c r="I338" s="58"/>
      <c r="J338" s="59"/>
      <c r="K338" s="58"/>
      <c r="L338" s="60"/>
      <c r="M338" s="36"/>
      <c r="N338" s="118"/>
      <c r="O338" s="249"/>
      <c r="P338" s="249"/>
      <c r="Q338" s="249"/>
    </row>
    <row r="339" spans="1:17" ht="16" x14ac:dyDescent="0.15">
      <c r="A339" s="62"/>
      <c r="B339" s="63"/>
      <c r="C339" s="64" t="s">
        <v>397</v>
      </c>
      <c r="D339" s="64"/>
      <c r="E339" s="64"/>
      <c r="F339" s="218"/>
      <c r="G339" s="65"/>
      <c r="H339" s="57">
        <v>20</v>
      </c>
      <c r="I339" s="58" t="s">
        <v>71</v>
      </c>
      <c r="J339" s="59" t="s">
        <v>370</v>
      </c>
      <c r="K339" s="58" t="s">
        <v>25</v>
      </c>
      <c r="L339" s="60">
        <v>600000</v>
      </c>
      <c r="M339" s="36">
        <f t="shared" ref="M339:M341" si="30">L339*J339*H339</f>
        <v>12000000</v>
      </c>
      <c r="N339" s="37"/>
      <c r="O339" s="249"/>
      <c r="P339" s="249"/>
      <c r="Q339" s="249"/>
    </row>
    <row r="340" spans="1:17" ht="16" x14ac:dyDescent="0.15">
      <c r="A340" s="62"/>
      <c r="B340" s="63"/>
      <c r="C340" s="64" t="s">
        <v>398</v>
      </c>
      <c r="D340" s="64"/>
      <c r="E340" s="64"/>
      <c r="F340" s="218"/>
      <c r="G340" s="65"/>
      <c r="H340" s="57">
        <v>1</v>
      </c>
      <c r="I340" s="58" t="s">
        <v>71</v>
      </c>
      <c r="J340" s="59" t="s">
        <v>370</v>
      </c>
      <c r="K340" s="58" t="s">
        <v>25</v>
      </c>
      <c r="L340" s="60">
        <v>1950000</v>
      </c>
      <c r="M340" s="36">
        <f t="shared" si="30"/>
        <v>1950000</v>
      </c>
      <c r="N340" s="37"/>
      <c r="O340" s="249"/>
      <c r="P340" s="249"/>
      <c r="Q340" s="249"/>
    </row>
    <row r="341" spans="1:17" ht="16" x14ac:dyDescent="0.15">
      <c r="A341" s="62"/>
      <c r="B341" s="63"/>
      <c r="C341" s="64" t="s">
        <v>398</v>
      </c>
      <c r="D341" s="64"/>
      <c r="E341" s="64"/>
      <c r="F341" s="218"/>
      <c r="G341" s="65"/>
      <c r="H341" s="57">
        <v>1</v>
      </c>
      <c r="I341" s="58" t="s">
        <v>71</v>
      </c>
      <c r="J341" s="59" t="s">
        <v>370</v>
      </c>
      <c r="K341" s="58" t="s">
        <v>25</v>
      </c>
      <c r="L341" s="60">
        <v>2950000</v>
      </c>
      <c r="M341" s="36">
        <f t="shared" si="30"/>
        <v>2950000</v>
      </c>
      <c r="N341" s="37"/>
      <c r="O341" s="249"/>
      <c r="P341" s="249"/>
      <c r="Q341" s="249"/>
    </row>
    <row r="342" spans="1:17" ht="34" x14ac:dyDescent="0.15">
      <c r="A342" s="220"/>
      <c r="B342" s="221"/>
      <c r="C342" s="222" t="s">
        <v>402</v>
      </c>
      <c r="D342" s="222"/>
      <c r="E342" s="222"/>
      <c r="F342" s="223"/>
      <c r="G342" s="105" t="s">
        <v>403</v>
      </c>
      <c r="H342" s="132">
        <v>50</v>
      </c>
      <c r="I342" s="210" t="s">
        <v>71</v>
      </c>
      <c r="J342" s="224" t="s">
        <v>370</v>
      </c>
      <c r="K342" s="210" t="s">
        <v>25</v>
      </c>
      <c r="L342" s="225">
        <v>650000</v>
      </c>
      <c r="M342" s="47">
        <f>L342*H342</f>
        <v>32500000</v>
      </c>
      <c r="N342" s="48"/>
      <c r="O342" s="249"/>
      <c r="P342" s="249"/>
      <c r="Q342" s="249"/>
    </row>
    <row r="343" spans="1:17" ht="16" x14ac:dyDescent="0.15">
      <c r="A343" s="52"/>
      <c r="B343" s="53" t="s">
        <v>404</v>
      </c>
      <c r="C343" s="54"/>
      <c r="D343" s="54"/>
      <c r="E343" s="54"/>
      <c r="F343" s="55"/>
      <c r="G343" s="65"/>
      <c r="H343" s="57">
        <v>100</v>
      </c>
      <c r="I343" s="58" t="s">
        <v>71</v>
      </c>
      <c r="J343" s="59" t="s">
        <v>370</v>
      </c>
      <c r="K343" s="58" t="s">
        <v>25</v>
      </c>
      <c r="L343" s="60">
        <v>450000</v>
      </c>
      <c r="M343" s="36">
        <f t="shared" ref="M343:M346" si="31">L343*J343*H343</f>
        <v>45000000</v>
      </c>
      <c r="N343" s="37"/>
      <c r="O343" s="249"/>
      <c r="P343" s="249"/>
      <c r="Q343" s="249"/>
    </row>
    <row r="344" spans="1:17" ht="16" x14ac:dyDescent="0.15">
      <c r="A344" s="52"/>
      <c r="B344" s="53" t="s">
        <v>405</v>
      </c>
      <c r="C344" s="54"/>
      <c r="D344" s="54"/>
      <c r="E344" s="54"/>
      <c r="F344" s="55"/>
      <c r="G344" s="65"/>
      <c r="H344" s="57">
        <v>100</v>
      </c>
      <c r="I344" s="58" t="s">
        <v>71</v>
      </c>
      <c r="J344" s="59" t="s">
        <v>370</v>
      </c>
      <c r="K344" s="58" t="s">
        <v>25</v>
      </c>
      <c r="L344" s="60">
        <v>185000</v>
      </c>
      <c r="M344" s="36">
        <f t="shared" si="31"/>
        <v>18500000</v>
      </c>
      <c r="N344" s="37"/>
      <c r="O344" s="249"/>
      <c r="P344" s="249"/>
      <c r="Q344" s="249"/>
    </row>
    <row r="345" spans="1:17" ht="16" x14ac:dyDescent="0.15">
      <c r="A345" s="52"/>
      <c r="B345" s="53" t="s">
        <v>406</v>
      </c>
      <c r="C345" s="54"/>
      <c r="D345" s="54"/>
      <c r="E345" s="54"/>
      <c r="F345" s="55"/>
      <c r="G345" s="65"/>
      <c r="H345" s="57">
        <v>20</v>
      </c>
      <c r="I345" s="58" t="s">
        <v>71</v>
      </c>
      <c r="J345" s="59" t="s">
        <v>370</v>
      </c>
      <c r="K345" s="58" t="s">
        <v>25</v>
      </c>
      <c r="L345" s="60">
        <v>250000</v>
      </c>
      <c r="M345" s="36">
        <f t="shared" si="31"/>
        <v>5000000</v>
      </c>
      <c r="N345" s="179"/>
      <c r="O345" s="249"/>
      <c r="P345" s="249"/>
      <c r="Q345" s="249"/>
    </row>
    <row r="346" spans="1:17" ht="51" x14ac:dyDescent="0.15">
      <c r="A346" s="62"/>
      <c r="B346" s="53" t="s">
        <v>407</v>
      </c>
      <c r="C346" s="54"/>
      <c r="D346" s="54"/>
      <c r="E346" s="54"/>
      <c r="F346" s="55"/>
      <c r="G346" s="154" t="s">
        <v>408</v>
      </c>
      <c r="H346" s="195">
        <v>1</v>
      </c>
      <c r="I346" s="66" t="s">
        <v>24</v>
      </c>
      <c r="J346" s="196" t="s">
        <v>370</v>
      </c>
      <c r="K346" s="66" t="s">
        <v>25</v>
      </c>
      <c r="L346" s="198">
        <v>50000000</v>
      </c>
      <c r="M346" s="36">
        <f t="shared" si="31"/>
        <v>50000000</v>
      </c>
      <c r="N346" s="179"/>
      <c r="O346" s="249"/>
      <c r="P346" s="249"/>
      <c r="Q346" s="249"/>
    </row>
    <row r="347" spans="1:17" ht="16" x14ac:dyDescent="0.15">
      <c r="A347" s="18" t="s">
        <v>409</v>
      </c>
      <c r="B347" s="188" t="s">
        <v>410</v>
      </c>
      <c r="C347" s="189"/>
      <c r="D347" s="189"/>
      <c r="E347" s="189"/>
      <c r="F347" s="190"/>
      <c r="G347" s="22"/>
      <c r="H347" s="23"/>
      <c r="I347" s="24"/>
      <c r="J347" s="23"/>
      <c r="K347" s="24"/>
      <c r="L347" s="25"/>
      <c r="M347" s="25"/>
      <c r="N347" s="26">
        <f>SUM(M348:M350)</f>
        <v>90000000</v>
      </c>
      <c r="O347" s="249"/>
      <c r="P347" s="249"/>
      <c r="Q347" s="249"/>
    </row>
    <row r="348" spans="1:17" ht="16" x14ac:dyDescent="0.15">
      <c r="A348" s="220"/>
      <c r="B348" s="113" t="s">
        <v>411</v>
      </c>
      <c r="C348" s="201"/>
      <c r="D348" s="201"/>
      <c r="E348" s="201"/>
      <c r="F348" s="202"/>
      <c r="G348" s="85" t="s">
        <v>412</v>
      </c>
      <c r="H348" s="203">
        <v>1</v>
      </c>
      <c r="I348" s="206" t="s">
        <v>24</v>
      </c>
      <c r="J348" s="205" t="s">
        <v>370</v>
      </c>
      <c r="K348" s="206" t="s">
        <v>25</v>
      </c>
      <c r="L348" s="207">
        <v>75000000</v>
      </c>
      <c r="M348" s="207">
        <v>75000000</v>
      </c>
      <c r="N348" s="226"/>
      <c r="O348" s="249"/>
      <c r="P348" s="249"/>
      <c r="Q348" s="249"/>
    </row>
    <row r="349" spans="1:17" ht="16" x14ac:dyDescent="0.15">
      <c r="A349" s="220"/>
      <c r="B349" s="113" t="s">
        <v>413</v>
      </c>
      <c r="C349" s="201"/>
      <c r="D349" s="201"/>
      <c r="E349" s="201"/>
      <c r="F349" s="202"/>
      <c r="G349" s="135" t="s">
        <v>414</v>
      </c>
      <c r="H349" s="203">
        <v>1</v>
      </c>
      <c r="I349" s="206" t="s">
        <v>71</v>
      </c>
      <c r="J349" s="205" t="s">
        <v>370</v>
      </c>
      <c r="K349" s="206" t="s">
        <v>25</v>
      </c>
      <c r="L349" s="207">
        <v>15000000</v>
      </c>
      <c r="M349" s="47">
        <f>L349*J349*H349</f>
        <v>15000000</v>
      </c>
      <c r="N349" s="226"/>
      <c r="O349" s="249"/>
      <c r="P349" s="249"/>
      <c r="Q349" s="249"/>
    </row>
    <row r="350" spans="1:17" ht="16" x14ac:dyDescent="0.15">
      <c r="A350" s="62"/>
      <c r="B350" s="53"/>
      <c r="C350" s="54"/>
      <c r="D350" s="54"/>
      <c r="E350" s="54"/>
      <c r="F350" s="227"/>
      <c r="G350" s="194"/>
      <c r="H350" s="194"/>
      <c r="I350" s="66"/>
      <c r="J350" s="200"/>
      <c r="K350" s="66"/>
      <c r="L350" s="36"/>
      <c r="M350" s="228"/>
      <c r="N350" s="179"/>
      <c r="O350" s="249"/>
      <c r="P350" s="249"/>
      <c r="Q350" s="249"/>
    </row>
    <row r="351" spans="1:17" ht="16" x14ac:dyDescent="0.15">
      <c r="A351" s="217" t="s">
        <v>415</v>
      </c>
      <c r="B351" s="19" t="s">
        <v>416</v>
      </c>
      <c r="C351" s="20"/>
      <c r="D351" s="20"/>
      <c r="E351" s="20"/>
      <c r="F351" s="21"/>
      <c r="G351" s="22"/>
      <c r="H351" s="23"/>
      <c r="I351" s="24"/>
      <c r="J351" s="23"/>
      <c r="K351" s="24"/>
      <c r="L351" s="25"/>
      <c r="M351" s="25"/>
      <c r="N351" s="26">
        <f>SUM(M352:M357)</f>
        <v>5000000</v>
      </c>
      <c r="O351" s="249"/>
      <c r="P351" s="249"/>
      <c r="Q351" s="249"/>
    </row>
    <row r="352" spans="1:17" ht="16" x14ac:dyDescent="0.15">
      <c r="A352" s="62"/>
      <c r="B352" s="53" t="s">
        <v>417</v>
      </c>
      <c r="C352" s="54"/>
      <c r="D352" s="54"/>
      <c r="E352" s="54"/>
      <c r="F352" s="55"/>
      <c r="G352" s="65"/>
      <c r="H352" s="57"/>
      <c r="I352" s="58"/>
      <c r="J352" s="59"/>
      <c r="K352" s="58"/>
      <c r="L352" s="60"/>
      <c r="M352" s="36"/>
      <c r="N352" s="179"/>
      <c r="O352" s="249"/>
      <c r="P352" s="249"/>
      <c r="Q352" s="249"/>
    </row>
    <row r="353" spans="1:17" ht="16" x14ac:dyDescent="0.15">
      <c r="A353" s="62"/>
      <c r="B353" s="110"/>
      <c r="C353" s="54" t="s">
        <v>418</v>
      </c>
      <c r="D353" s="54"/>
      <c r="E353" s="54"/>
      <c r="F353" s="55"/>
      <c r="G353" s="56"/>
      <c r="H353" s="229">
        <v>5</v>
      </c>
      <c r="I353" s="56" t="s">
        <v>361</v>
      </c>
      <c r="J353" s="230">
        <v>1</v>
      </c>
      <c r="K353" s="56" t="s">
        <v>67</v>
      </c>
      <c r="L353" s="212">
        <v>500000</v>
      </c>
      <c r="M353" s="36">
        <f t="shared" ref="M353:M355" si="32">L353*J353*H353</f>
        <v>2500000</v>
      </c>
      <c r="N353" s="181"/>
      <c r="O353" s="249"/>
      <c r="P353" s="249"/>
      <c r="Q353" s="249"/>
    </row>
    <row r="354" spans="1:17" ht="16" x14ac:dyDescent="0.15">
      <c r="A354" s="62"/>
      <c r="B354" s="110"/>
      <c r="C354" s="54" t="s">
        <v>419</v>
      </c>
      <c r="D354" s="54"/>
      <c r="E354" s="54"/>
      <c r="F354" s="55"/>
      <c r="G354" s="56"/>
      <c r="H354" s="229">
        <v>5</v>
      </c>
      <c r="I354" s="56" t="s">
        <v>361</v>
      </c>
      <c r="J354" s="230">
        <v>1</v>
      </c>
      <c r="K354" s="56" t="s">
        <v>67</v>
      </c>
      <c r="L354" s="212">
        <v>350000</v>
      </c>
      <c r="M354" s="36">
        <f t="shared" si="32"/>
        <v>1750000</v>
      </c>
      <c r="N354" s="181"/>
      <c r="O354" s="249"/>
      <c r="P354" s="249"/>
      <c r="Q354" s="249"/>
    </row>
    <row r="355" spans="1:17" ht="16" x14ac:dyDescent="0.15">
      <c r="A355" s="62"/>
      <c r="B355" s="110"/>
      <c r="C355" s="54" t="s">
        <v>420</v>
      </c>
      <c r="D355" s="54"/>
      <c r="E355" s="54"/>
      <c r="F355" s="55"/>
      <c r="G355" s="56"/>
      <c r="H355" s="195">
        <v>5</v>
      </c>
      <c r="I355" s="231" t="s">
        <v>361</v>
      </c>
      <c r="J355" s="208" t="s">
        <v>370</v>
      </c>
      <c r="K355" s="231" t="s">
        <v>25</v>
      </c>
      <c r="L355" s="232">
        <v>150000</v>
      </c>
      <c r="M355" s="36">
        <f t="shared" si="32"/>
        <v>750000</v>
      </c>
      <c r="N355" s="183"/>
      <c r="O355" s="249"/>
      <c r="P355" s="249"/>
      <c r="Q355" s="249"/>
    </row>
    <row r="356" spans="1:17" ht="16" x14ac:dyDescent="0.15">
      <c r="A356" s="27"/>
      <c r="B356" s="110"/>
      <c r="C356" s="233"/>
      <c r="D356" s="233"/>
      <c r="E356" s="233"/>
      <c r="F356" s="30"/>
      <c r="G356" s="65"/>
      <c r="H356" s="229"/>
      <c r="I356" s="56"/>
      <c r="J356" s="230"/>
      <c r="K356" s="56"/>
      <c r="L356" s="212"/>
      <c r="M356" s="198"/>
      <c r="N356" s="185"/>
      <c r="O356" s="249"/>
      <c r="P356" s="249"/>
      <c r="Q356" s="249"/>
    </row>
    <row r="357" spans="1:17" ht="17" thickBot="1" x14ac:dyDescent="0.2">
      <c r="A357" s="234"/>
      <c r="B357" s="235"/>
      <c r="C357" s="236"/>
      <c r="D357" s="236"/>
      <c r="E357" s="236"/>
      <c r="F357" s="237"/>
      <c r="G357" s="238"/>
      <c r="H357" s="239"/>
      <c r="I357" s="239"/>
      <c r="J357" s="239"/>
      <c r="K357" s="239"/>
      <c r="L357" s="240"/>
      <c r="M357" s="241"/>
      <c r="N357" s="242"/>
      <c r="O357" s="249"/>
      <c r="P357" s="249"/>
      <c r="Q357" s="249"/>
    </row>
    <row r="358" spans="1:17" ht="17" thickBot="1" x14ac:dyDescent="0.2">
      <c r="A358" s="250"/>
      <c r="B358" s="235"/>
      <c r="C358" s="236"/>
      <c r="D358" s="236"/>
      <c r="E358" s="236"/>
      <c r="F358" s="237"/>
      <c r="G358" s="238"/>
      <c r="H358" s="239"/>
      <c r="I358" s="239"/>
      <c r="J358" s="239"/>
      <c r="K358" s="239"/>
      <c r="L358" s="240"/>
      <c r="M358" s="241"/>
      <c r="N358" s="251"/>
      <c r="O358" s="249"/>
      <c r="P358" s="249"/>
      <c r="Q358" s="249"/>
    </row>
    <row r="359" spans="1:17" ht="16" x14ac:dyDescent="0.15">
      <c r="A359" s="3"/>
      <c r="B359" s="243"/>
      <c r="C359" s="79"/>
      <c r="D359" s="79"/>
      <c r="E359" s="79"/>
      <c r="F359" s="244"/>
      <c r="G359" s="245"/>
      <c r="H359" s="245"/>
      <c r="I359" s="246"/>
      <c r="J359" s="246"/>
      <c r="K359" s="246"/>
      <c r="L359" s="180" t="s">
        <v>421</v>
      </c>
      <c r="M359" s="247">
        <f>SUM(M9:M358)</f>
        <v>8016029861.1111107</v>
      </c>
      <c r="N359" s="263">
        <f>SUM(N9:N358)</f>
        <v>8016029861.1111107</v>
      </c>
      <c r="O359" s="249"/>
      <c r="P359" s="249"/>
      <c r="Q359" s="249"/>
    </row>
    <row r="360" spans="1:17" ht="16" x14ac:dyDescent="0.15">
      <c r="A360" s="3"/>
      <c r="B360" s="243"/>
      <c r="C360" s="79"/>
      <c r="D360" s="79"/>
      <c r="E360" s="79"/>
      <c r="F360" s="244"/>
      <c r="G360" s="245"/>
      <c r="H360" s="245"/>
      <c r="I360" s="246"/>
      <c r="J360" s="246"/>
      <c r="K360" s="246"/>
      <c r="L360" s="180" t="s">
        <v>422</v>
      </c>
      <c r="M360" s="248">
        <f>11/12*M359</f>
        <v>7348027372.6851845</v>
      </c>
      <c r="N360" s="219"/>
      <c r="O360" s="249"/>
      <c r="P360" s="249"/>
      <c r="Q360" s="249"/>
    </row>
    <row r="361" spans="1:17" ht="16" x14ac:dyDescent="0.15">
      <c r="A361" s="3"/>
      <c r="B361" s="243"/>
      <c r="C361" s="79"/>
      <c r="D361" s="79"/>
      <c r="E361" s="79"/>
      <c r="F361" s="244"/>
      <c r="G361" s="245"/>
      <c r="H361" s="245"/>
      <c r="I361" s="246"/>
      <c r="J361" s="246"/>
      <c r="K361" s="246"/>
      <c r="L361" s="180" t="s">
        <v>423</v>
      </c>
      <c r="M361" s="248">
        <f>M360*12%</f>
        <v>881763284.72222209</v>
      </c>
      <c r="N361" s="219"/>
      <c r="O361" s="249"/>
      <c r="P361" s="249"/>
      <c r="Q361" s="249"/>
    </row>
    <row r="362" spans="1:17" ht="16" x14ac:dyDescent="0.15">
      <c r="A362" s="3"/>
      <c r="B362" s="243"/>
      <c r="C362" s="79"/>
      <c r="D362" s="79"/>
      <c r="E362" s="79"/>
      <c r="F362" s="244"/>
      <c r="G362" s="245"/>
      <c r="H362" s="245"/>
      <c r="I362" s="246"/>
      <c r="J362" s="246"/>
      <c r="K362" s="246"/>
      <c r="L362" s="180" t="s">
        <v>424</v>
      </c>
      <c r="M362" s="248">
        <f>M359+M361</f>
        <v>8897793145.8333321</v>
      </c>
      <c r="N362" s="219"/>
      <c r="O362" s="249"/>
      <c r="P362" s="249"/>
      <c r="Q362" s="249"/>
    </row>
    <row r="363" spans="1:17" ht="16" x14ac:dyDescent="0.15">
      <c r="A363" s="3"/>
      <c r="B363" s="243"/>
      <c r="C363" s="79"/>
      <c r="D363" s="79"/>
      <c r="E363" s="79"/>
      <c r="F363" s="244"/>
      <c r="G363" s="245"/>
      <c r="H363" s="245"/>
      <c r="I363" s="246"/>
      <c r="J363" s="246"/>
      <c r="K363" s="246"/>
      <c r="L363" s="180"/>
      <c r="M363" s="180"/>
      <c r="N363" s="219"/>
      <c r="O363" s="249"/>
      <c r="P363" s="249"/>
      <c r="Q363" s="249"/>
    </row>
    <row r="364" spans="1:17" ht="16" x14ac:dyDescent="0.15">
      <c r="G364" s="79"/>
      <c r="H364" s="79"/>
      <c r="I364" s="246"/>
      <c r="J364" s="246"/>
      <c r="K364" s="246"/>
      <c r="L364" s="180"/>
      <c r="M364" s="180"/>
      <c r="N364" s="219"/>
      <c r="O364" s="249"/>
      <c r="P364" s="249"/>
      <c r="Q364" s="249"/>
    </row>
    <row r="365" spans="1:17" ht="16" x14ac:dyDescent="0.15">
      <c r="G365" s="79"/>
      <c r="H365" s="79"/>
      <c r="I365" s="246"/>
      <c r="J365" s="246"/>
      <c r="K365" s="246"/>
      <c r="L365" s="180"/>
      <c r="M365" s="182"/>
      <c r="N365" s="219"/>
      <c r="O365" s="249"/>
      <c r="P365" s="249"/>
      <c r="Q365" s="249"/>
    </row>
    <row r="366" spans="1:17" ht="16" x14ac:dyDescent="0.15">
      <c r="A366" s="184" t="s">
        <v>425</v>
      </c>
      <c r="B366" s="79"/>
      <c r="C366" s="79"/>
      <c r="D366" s="79"/>
      <c r="E366" s="79"/>
      <c r="F366" s="79"/>
      <c r="G366" s="79"/>
      <c r="H366" s="79"/>
      <c r="I366" s="246"/>
      <c r="J366" s="246"/>
      <c r="K366" s="246"/>
      <c r="L366" s="184"/>
      <c r="M366" s="182"/>
      <c r="N366" s="219"/>
      <c r="O366" s="249"/>
      <c r="P366" s="249"/>
      <c r="Q366" s="249"/>
    </row>
    <row r="367" spans="1:17" ht="16" x14ac:dyDescent="0.15">
      <c r="A367" s="184" t="s">
        <v>426</v>
      </c>
      <c r="B367" s="79"/>
      <c r="C367" s="79"/>
      <c r="D367" s="79"/>
      <c r="E367" s="79"/>
      <c r="F367" s="79"/>
      <c r="G367" s="79"/>
      <c r="H367" s="79"/>
      <c r="I367" s="3"/>
      <c r="J367" s="3"/>
      <c r="K367" s="3"/>
      <c r="L367" s="184"/>
      <c r="M367" s="184"/>
      <c r="N367" s="219"/>
      <c r="O367" s="249"/>
      <c r="P367" s="249"/>
      <c r="Q367" s="249"/>
    </row>
    <row r="368" spans="1:17" ht="16" x14ac:dyDescent="0.15">
      <c r="A368" s="79" t="s">
        <v>427</v>
      </c>
      <c r="B368" s="79"/>
      <c r="C368" s="79"/>
      <c r="D368" s="79"/>
      <c r="E368" s="79"/>
      <c r="F368" s="79"/>
      <c r="G368" s="79"/>
      <c r="H368" s="79"/>
      <c r="I368" s="3"/>
      <c r="J368" s="3"/>
      <c r="K368" s="3"/>
      <c r="L368" s="184"/>
      <c r="M368" s="186"/>
      <c r="N368" s="219"/>
      <c r="O368" s="249"/>
      <c r="P368" s="249"/>
      <c r="Q368" s="249"/>
    </row>
    <row r="369" spans="1:17" ht="16" x14ac:dyDescent="0.15">
      <c r="A369" s="184" t="s">
        <v>428</v>
      </c>
      <c r="B369" s="79"/>
      <c r="C369" s="79"/>
      <c r="D369" s="79"/>
      <c r="E369" s="79"/>
      <c r="F369" s="79"/>
      <c r="G369" s="79"/>
      <c r="H369" s="79"/>
      <c r="I369" s="3"/>
      <c r="J369" s="3"/>
      <c r="K369" s="3"/>
      <c r="L369" s="180"/>
      <c r="M369" s="184"/>
      <c r="N369" s="219"/>
      <c r="O369" s="249"/>
      <c r="P369" s="249"/>
      <c r="Q369" s="249"/>
    </row>
    <row r="370" spans="1:17" ht="16" x14ac:dyDescent="0.15">
      <c r="A370" s="79" t="s">
        <v>429</v>
      </c>
      <c r="B370" s="79"/>
      <c r="C370" s="79"/>
      <c r="D370" s="79"/>
      <c r="E370" s="79"/>
      <c r="F370" s="79"/>
      <c r="G370" s="79"/>
      <c r="H370" s="79"/>
      <c r="I370" s="3"/>
      <c r="J370" s="3"/>
      <c r="K370" s="3"/>
      <c r="L370" s="79"/>
      <c r="M370" s="79"/>
      <c r="N370" s="219"/>
      <c r="O370" s="249"/>
      <c r="P370" s="249"/>
      <c r="Q370" s="249"/>
    </row>
    <row r="371" spans="1:17" ht="16" x14ac:dyDescent="0.15">
      <c r="A371" s="184" t="s">
        <v>430</v>
      </c>
      <c r="B371" s="79"/>
      <c r="C371" s="79"/>
      <c r="D371" s="79"/>
      <c r="E371" s="79"/>
      <c r="F371" s="79"/>
      <c r="G371" s="79"/>
      <c r="H371" s="79"/>
      <c r="I371" s="3"/>
      <c r="J371" s="3"/>
      <c r="K371" s="3"/>
      <c r="L371" s="79"/>
      <c r="M371" s="187"/>
      <c r="N371" s="219"/>
      <c r="O371" s="249"/>
      <c r="P371" s="249"/>
      <c r="Q371" s="249"/>
    </row>
    <row r="372" spans="1:17" ht="16" x14ac:dyDescent="0.2">
      <c r="A372" s="252" t="s">
        <v>431</v>
      </c>
      <c r="B372" s="79"/>
      <c r="C372" s="79"/>
      <c r="D372" s="79"/>
      <c r="E372" s="79"/>
      <c r="F372" s="79"/>
      <c r="G372" s="79"/>
      <c r="H372" s="79"/>
      <c r="I372" s="3"/>
      <c r="J372" s="3"/>
      <c r="K372" s="3"/>
      <c r="L372" s="79"/>
      <c r="M372" s="79"/>
      <c r="N372" s="219"/>
      <c r="O372" s="249"/>
      <c r="P372" s="249"/>
      <c r="Q372" s="249"/>
    </row>
    <row r="373" spans="1:17" ht="16" x14ac:dyDescent="0.2">
      <c r="A373" s="252" t="s">
        <v>432</v>
      </c>
      <c r="B373" s="79"/>
      <c r="C373" s="79"/>
      <c r="D373" s="79"/>
      <c r="E373" s="79"/>
      <c r="F373" s="79"/>
      <c r="G373" s="79"/>
      <c r="H373" s="79"/>
      <c r="I373" s="3"/>
      <c r="J373" s="3"/>
      <c r="K373" s="3"/>
      <c r="L373" s="79"/>
      <c r="M373" s="79"/>
      <c r="N373" s="219"/>
      <c r="O373" s="249"/>
      <c r="P373" s="249"/>
      <c r="Q373" s="249"/>
    </row>
    <row r="374" spans="1:17" ht="16" x14ac:dyDescent="0.15">
      <c r="A374" s="184" t="s">
        <v>433</v>
      </c>
      <c r="B374" s="79"/>
      <c r="C374" s="79"/>
      <c r="D374" s="79"/>
      <c r="E374" s="79"/>
      <c r="F374" s="79"/>
      <c r="G374" s="79"/>
      <c r="H374" s="79"/>
      <c r="I374" s="3"/>
      <c r="J374" s="3"/>
      <c r="K374" s="3"/>
      <c r="L374" s="79"/>
      <c r="M374" s="79"/>
      <c r="N374" s="219"/>
      <c r="O374" s="249"/>
      <c r="P374" s="249"/>
      <c r="Q374" s="249"/>
    </row>
    <row r="375" spans="1:17" ht="16" x14ac:dyDescent="0.15">
      <c r="A375" s="79" t="s">
        <v>434</v>
      </c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219"/>
      <c r="O375" s="249"/>
      <c r="P375" s="249"/>
      <c r="Q375" s="249"/>
    </row>
    <row r="376" spans="1:17" ht="16" x14ac:dyDescent="0.15">
      <c r="A376" s="79" t="s">
        <v>435</v>
      </c>
      <c r="B376" s="79"/>
      <c r="C376" s="79"/>
      <c r="D376" s="79"/>
      <c r="E376" s="79"/>
      <c r="F376" s="79"/>
      <c r="G376" s="79"/>
      <c r="H376" s="3"/>
      <c r="I376" s="79"/>
      <c r="J376" s="79"/>
      <c r="K376" s="79"/>
      <c r="L376" s="79"/>
      <c r="M376" s="79"/>
      <c r="N376" s="219"/>
      <c r="O376" s="249"/>
      <c r="P376" s="249"/>
      <c r="Q376" s="249"/>
    </row>
    <row r="377" spans="1:17" ht="16" x14ac:dyDescent="0.15">
      <c r="A377" s="79" t="s">
        <v>436</v>
      </c>
      <c r="B377" s="79"/>
      <c r="C377" s="79"/>
      <c r="D377" s="79"/>
      <c r="E377" s="79"/>
      <c r="F377" s="79"/>
      <c r="G377" s="79"/>
      <c r="H377" s="79"/>
      <c r="I377" s="3"/>
      <c r="J377" s="3"/>
      <c r="K377" s="3"/>
      <c r="L377" s="3"/>
      <c r="M377" s="79"/>
      <c r="N377" s="219"/>
      <c r="O377" s="249"/>
      <c r="P377" s="249"/>
      <c r="Q377" s="249"/>
    </row>
    <row r="378" spans="1:17" ht="16" x14ac:dyDescent="0.15">
      <c r="A378" s="79" t="s">
        <v>437</v>
      </c>
      <c r="B378" s="79"/>
      <c r="C378" s="79"/>
      <c r="D378" s="79"/>
      <c r="E378" s="79"/>
      <c r="F378" s="79"/>
      <c r="G378" s="79"/>
      <c r="H378" s="79"/>
      <c r="I378" s="3"/>
      <c r="J378" s="3"/>
      <c r="K378" s="3"/>
      <c r="L378" s="3"/>
      <c r="M378" s="3"/>
      <c r="N378" s="219"/>
      <c r="O378" s="249"/>
      <c r="P378" s="249"/>
      <c r="Q378" s="249"/>
    </row>
    <row r="379" spans="1:17" ht="16" x14ac:dyDescent="0.15">
      <c r="A379" s="184" t="s">
        <v>438</v>
      </c>
      <c r="B379" s="79"/>
      <c r="C379" s="79"/>
      <c r="D379" s="79"/>
      <c r="E379" s="79"/>
      <c r="F379" s="79"/>
      <c r="G379" s="79"/>
      <c r="H379" s="79"/>
      <c r="I379" s="3"/>
      <c r="J379" s="3"/>
      <c r="K379" s="3"/>
      <c r="L379" s="3"/>
      <c r="M379" s="3"/>
      <c r="N379" s="219"/>
      <c r="O379" s="249"/>
      <c r="P379" s="249"/>
      <c r="Q379" s="249"/>
    </row>
    <row r="380" spans="1:17" ht="16" x14ac:dyDescent="0.15">
      <c r="A380" s="79" t="s">
        <v>439</v>
      </c>
      <c r="B380" s="79"/>
      <c r="C380" s="79"/>
      <c r="D380" s="79"/>
      <c r="E380" s="79"/>
      <c r="F380" s="79"/>
      <c r="G380" s="79"/>
      <c r="H380" s="79"/>
      <c r="I380" s="3"/>
      <c r="J380" s="3"/>
      <c r="K380" s="3"/>
      <c r="L380" s="3"/>
      <c r="M380" s="3"/>
      <c r="N380" s="219"/>
      <c r="O380" s="249"/>
      <c r="P380" s="249"/>
      <c r="Q380" s="249"/>
    </row>
    <row r="381" spans="1:17" ht="16" x14ac:dyDescent="0.15">
      <c r="A381" s="79"/>
      <c r="B381" s="79"/>
      <c r="C381" s="79"/>
      <c r="D381" s="79"/>
      <c r="E381" s="79"/>
      <c r="F381" s="79"/>
      <c r="G381" s="79"/>
      <c r="H381" s="79"/>
      <c r="I381" s="3"/>
      <c r="J381" s="3"/>
      <c r="K381" s="3"/>
      <c r="L381" s="3"/>
      <c r="M381" s="3"/>
      <c r="N381" s="219"/>
      <c r="O381" s="249"/>
      <c r="P381" s="249"/>
      <c r="Q381" s="249"/>
    </row>
    <row r="382" spans="1:17" ht="16" x14ac:dyDescent="0.15">
      <c r="A382" s="253" t="s">
        <v>440</v>
      </c>
      <c r="B382" s="79"/>
      <c r="C382" s="79"/>
      <c r="D382" s="79"/>
      <c r="E382" s="79"/>
      <c r="F382" s="79"/>
      <c r="G382" s="79"/>
      <c r="H382" s="79"/>
      <c r="I382" s="3"/>
      <c r="J382" s="3"/>
      <c r="K382" s="3"/>
      <c r="L382" s="3"/>
      <c r="M382" s="3"/>
      <c r="N382" s="219"/>
      <c r="O382" s="249"/>
      <c r="P382" s="249"/>
      <c r="Q382" s="249"/>
    </row>
    <row r="383" spans="1:17" ht="16" x14ac:dyDescent="0.15">
      <c r="A383" s="79" t="s">
        <v>441</v>
      </c>
      <c r="B383" s="79"/>
      <c r="C383" s="79"/>
      <c r="D383" s="79"/>
      <c r="E383" s="79"/>
      <c r="F383" s="79"/>
      <c r="G383" s="79"/>
      <c r="H383" s="79"/>
      <c r="I383" s="3"/>
      <c r="J383" s="3"/>
      <c r="K383" s="3"/>
      <c r="L383" s="79"/>
      <c r="M383" s="79"/>
      <c r="N383" s="219"/>
      <c r="O383" s="249"/>
      <c r="P383" s="249"/>
      <c r="Q383" s="249"/>
    </row>
    <row r="384" spans="1:17" ht="16" x14ac:dyDescent="0.15">
      <c r="A384" s="79" t="s">
        <v>442</v>
      </c>
      <c r="B384" s="79"/>
      <c r="C384" s="79"/>
      <c r="D384" s="79"/>
      <c r="E384" s="79"/>
      <c r="F384" s="79"/>
      <c r="G384" s="79"/>
      <c r="H384" s="79"/>
      <c r="I384" s="3"/>
      <c r="J384" s="3"/>
      <c r="K384" s="3"/>
      <c r="L384" s="79"/>
      <c r="M384" s="79"/>
      <c r="N384" s="219"/>
      <c r="O384" s="249"/>
      <c r="P384" s="249"/>
      <c r="Q384" s="249"/>
    </row>
    <row r="385" spans="1:17" ht="16" x14ac:dyDescent="0.15">
      <c r="A385" s="79"/>
      <c r="B385" s="79"/>
      <c r="C385" s="79"/>
      <c r="D385" s="79"/>
      <c r="E385" s="79"/>
      <c r="F385" s="79"/>
      <c r="G385" s="79"/>
      <c r="H385" s="79"/>
      <c r="I385" s="3"/>
      <c r="J385" s="3"/>
      <c r="K385" s="3"/>
      <c r="L385" s="79"/>
      <c r="M385" s="79"/>
      <c r="N385" s="219"/>
      <c r="O385" s="249"/>
      <c r="P385" s="249"/>
      <c r="Q385" s="249"/>
    </row>
    <row r="386" spans="1:17" ht="16" x14ac:dyDescent="0.15">
      <c r="A386" s="253" t="s">
        <v>443</v>
      </c>
      <c r="B386" s="79"/>
      <c r="C386" s="79"/>
      <c r="D386" s="79"/>
      <c r="E386" s="79"/>
      <c r="F386" s="79"/>
      <c r="G386" s="79"/>
      <c r="H386" s="79"/>
      <c r="I386" s="3"/>
      <c r="J386" s="3"/>
      <c r="K386" s="3"/>
      <c r="L386" s="79"/>
      <c r="M386" s="79"/>
      <c r="N386" s="219"/>
      <c r="O386" s="249"/>
      <c r="P386" s="249"/>
      <c r="Q386" s="249"/>
    </row>
    <row r="387" spans="1:17" ht="16" x14ac:dyDescent="0.15">
      <c r="A387" s="254" t="s">
        <v>444</v>
      </c>
      <c r="B387" s="79"/>
      <c r="C387" s="79"/>
      <c r="D387" s="79"/>
      <c r="E387" s="79"/>
      <c r="F387" s="79"/>
      <c r="G387" s="79"/>
      <c r="H387" s="79"/>
      <c r="I387" s="3"/>
      <c r="J387" s="3"/>
      <c r="K387" s="3"/>
      <c r="L387" s="79"/>
      <c r="M387" s="79"/>
      <c r="N387" s="219"/>
      <c r="O387" s="249"/>
      <c r="P387" s="249"/>
      <c r="Q387" s="249"/>
    </row>
    <row r="388" spans="1:17" ht="16" x14ac:dyDescent="0.15">
      <c r="A388" s="255" t="s">
        <v>445</v>
      </c>
      <c r="B388" s="79"/>
      <c r="C388" s="79"/>
      <c r="D388" s="79"/>
      <c r="E388" s="79"/>
      <c r="F388" s="79"/>
      <c r="G388" s="79"/>
      <c r="H388" s="79"/>
      <c r="I388" s="3"/>
      <c r="J388" s="3"/>
      <c r="K388" s="3"/>
      <c r="L388" s="79"/>
      <c r="M388" s="79"/>
      <c r="N388" s="219"/>
      <c r="O388" s="249"/>
      <c r="P388" s="249"/>
      <c r="Q388" s="249"/>
    </row>
    <row r="389" spans="1:17" ht="16" x14ac:dyDescent="0.15">
      <c r="A389" s="254" t="s">
        <v>446</v>
      </c>
      <c r="B389" s="79"/>
      <c r="C389" s="79"/>
      <c r="D389" s="79"/>
      <c r="E389" s="79"/>
      <c r="F389" s="79"/>
      <c r="G389" s="79"/>
      <c r="H389" s="79"/>
      <c r="I389" s="3"/>
      <c r="J389" s="3"/>
      <c r="K389" s="3"/>
      <c r="L389" s="79"/>
      <c r="M389" s="79"/>
      <c r="N389" s="219"/>
      <c r="O389" s="249"/>
      <c r="P389" s="249"/>
      <c r="Q389" s="249"/>
    </row>
    <row r="390" spans="1:17" ht="16" x14ac:dyDescent="0.15">
      <c r="A390" s="79"/>
      <c r="B390" s="254"/>
      <c r="C390" s="254"/>
      <c r="D390" s="254"/>
      <c r="E390" s="79"/>
      <c r="F390" s="79"/>
      <c r="G390" s="79"/>
      <c r="H390" s="79"/>
      <c r="I390" s="3"/>
      <c r="J390" s="3"/>
      <c r="K390" s="3"/>
      <c r="L390" s="79"/>
      <c r="M390" s="79"/>
      <c r="N390" s="219"/>
      <c r="O390" s="249"/>
      <c r="P390" s="249"/>
      <c r="Q390" s="249"/>
    </row>
    <row r="391" spans="1:17" ht="16" x14ac:dyDescent="0.15">
      <c r="A391" s="79"/>
      <c r="B391" s="254"/>
      <c r="C391" s="254"/>
      <c r="D391" s="254"/>
      <c r="E391" s="79"/>
      <c r="F391" s="79"/>
      <c r="G391" s="79"/>
      <c r="H391" s="79"/>
      <c r="I391" s="3"/>
      <c r="J391" s="3"/>
      <c r="K391" s="3"/>
      <c r="L391" s="79"/>
      <c r="M391" s="79"/>
      <c r="N391" s="219"/>
      <c r="O391" s="249"/>
      <c r="P391" s="249"/>
      <c r="Q391" s="249"/>
    </row>
    <row r="392" spans="1:17" ht="16" x14ac:dyDescent="0.15">
      <c r="A392" s="184" t="s">
        <v>447</v>
      </c>
      <c r="B392" s="79"/>
      <c r="C392" s="79"/>
      <c r="D392" s="79"/>
      <c r="E392" s="79"/>
      <c r="F392" s="79"/>
      <c r="G392" s="79"/>
      <c r="H392" s="79"/>
      <c r="I392" s="3"/>
      <c r="J392" s="3"/>
      <c r="K392" s="3"/>
      <c r="L392" s="79"/>
      <c r="M392" s="79"/>
      <c r="N392" s="219"/>
      <c r="O392" s="249"/>
      <c r="P392" s="249"/>
      <c r="Q392" s="249"/>
    </row>
    <row r="393" spans="1:17" ht="16" x14ac:dyDescent="0.15">
      <c r="A393" s="184" t="s">
        <v>448</v>
      </c>
      <c r="B393" s="79"/>
      <c r="C393" s="79"/>
      <c r="D393" s="79"/>
      <c r="E393" s="79"/>
      <c r="F393" s="79"/>
      <c r="G393" s="79"/>
      <c r="H393" s="79"/>
      <c r="I393" s="3"/>
      <c r="J393" s="3"/>
      <c r="K393" s="3"/>
      <c r="L393" s="79"/>
      <c r="M393" s="79"/>
      <c r="N393" s="219"/>
      <c r="O393" s="249"/>
      <c r="P393" s="249"/>
      <c r="Q393" s="249"/>
    </row>
    <row r="394" spans="1:17" ht="16" x14ac:dyDescent="0.15">
      <c r="A394" s="79"/>
      <c r="B394" s="79"/>
      <c r="C394" s="79"/>
      <c r="D394" s="79"/>
      <c r="E394" s="79"/>
      <c r="F394" s="79"/>
      <c r="G394" s="79"/>
      <c r="H394" s="79"/>
      <c r="I394" s="3"/>
      <c r="J394" s="3"/>
      <c r="K394" s="3"/>
      <c r="L394" s="79"/>
      <c r="M394" s="79"/>
      <c r="N394" s="219"/>
      <c r="O394" s="249"/>
      <c r="P394" s="249"/>
      <c r="Q394" s="249"/>
    </row>
    <row r="395" spans="1:17" ht="16" x14ac:dyDescent="0.15">
      <c r="A395" s="79"/>
      <c r="B395" s="79"/>
      <c r="C395" s="79"/>
      <c r="D395" s="79"/>
      <c r="E395" s="79"/>
      <c r="F395" s="79"/>
      <c r="G395" s="79"/>
      <c r="H395" s="79"/>
      <c r="I395" s="3"/>
      <c r="J395" s="3"/>
      <c r="K395" s="3"/>
      <c r="L395" s="79"/>
      <c r="M395" s="79"/>
      <c r="N395" s="219"/>
      <c r="O395" s="249"/>
      <c r="P395" s="249"/>
      <c r="Q395" s="249"/>
    </row>
    <row r="396" spans="1:17" ht="16" x14ac:dyDescent="0.15">
      <c r="A396" s="79"/>
      <c r="B396" s="79"/>
      <c r="C396" s="79"/>
      <c r="D396" s="79"/>
      <c r="E396" s="79"/>
      <c r="F396" s="79"/>
      <c r="G396" s="79"/>
      <c r="H396" s="79"/>
      <c r="I396" s="3"/>
      <c r="J396" s="3"/>
      <c r="K396" s="3"/>
      <c r="L396" s="79"/>
      <c r="M396" s="79"/>
      <c r="N396" s="219"/>
      <c r="O396" s="249"/>
      <c r="P396" s="249"/>
      <c r="Q396" s="249"/>
    </row>
    <row r="397" spans="1:17" ht="16" x14ac:dyDescent="0.15">
      <c r="A397" s="79"/>
      <c r="B397" s="79"/>
      <c r="C397" s="79"/>
      <c r="D397" s="79"/>
      <c r="E397" s="79"/>
      <c r="F397" s="79"/>
      <c r="G397" s="79"/>
      <c r="H397" s="79"/>
      <c r="I397" s="3"/>
      <c r="J397" s="3"/>
      <c r="K397" s="3"/>
      <c r="L397" s="79"/>
      <c r="M397" s="79"/>
      <c r="N397" s="219"/>
      <c r="O397" s="249"/>
      <c r="P397" s="249"/>
      <c r="Q397" s="249"/>
    </row>
    <row r="398" spans="1:17" ht="16" x14ac:dyDescent="0.15">
      <c r="A398" s="79"/>
      <c r="B398" s="79"/>
      <c r="C398" s="79"/>
      <c r="D398" s="79"/>
      <c r="E398" s="79"/>
      <c r="F398" s="79"/>
      <c r="G398" s="79"/>
      <c r="H398" s="256"/>
      <c r="I398" s="3"/>
      <c r="J398" s="3"/>
      <c r="K398" s="3"/>
      <c r="L398" s="79"/>
      <c r="M398" s="79"/>
      <c r="N398" s="219"/>
      <c r="O398" s="249"/>
      <c r="P398" s="249"/>
      <c r="Q398" s="249"/>
    </row>
    <row r="399" spans="1:17" ht="16" x14ac:dyDescent="0.15">
      <c r="A399" s="79"/>
      <c r="B399" s="79"/>
      <c r="C399" s="79"/>
      <c r="D399" s="79"/>
      <c r="E399" s="79"/>
      <c r="F399" s="79"/>
      <c r="G399" s="79"/>
      <c r="H399" s="256"/>
      <c r="I399" s="3"/>
      <c r="J399" s="3"/>
      <c r="K399" s="3"/>
      <c r="L399" s="79"/>
      <c r="M399" s="79"/>
      <c r="N399" s="219"/>
      <c r="O399" s="249"/>
      <c r="P399" s="249"/>
      <c r="Q399" s="249"/>
    </row>
    <row r="400" spans="1:17" ht="16" x14ac:dyDescent="0.15">
      <c r="A400" s="184" t="s">
        <v>444</v>
      </c>
      <c r="B400" s="79"/>
      <c r="C400" s="79"/>
      <c r="D400" s="79"/>
      <c r="E400" s="79"/>
      <c r="F400" s="79"/>
      <c r="G400" s="79"/>
      <c r="H400" s="79"/>
      <c r="I400" s="3"/>
      <c r="J400" s="3"/>
      <c r="K400" s="3"/>
      <c r="L400" s="79"/>
      <c r="M400" s="79"/>
      <c r="N400" s="219"/>
      <c r="O400" s="249"/>
      <c r="P400" s="249"/>
      <c r="Q400" s="249"/>
    </row>
    <row r="401" spans="1:17" ht="16" x14ac:dyDescent="0.15">
      <c r="A401" s="184" t="s">
        <v>439</v>
      </c>
      <c r="B401" s="79"/>
      <c r="C401" s="79"/>
      <c r="D401" s="79"/>
      <c r="E401" s="79"/>
      <c r="F401" s="79"/>
      <c r="G401" s="256"/>
      <c r="H401" s="4"/>
      <c r="I401" s="257"/>
      <c r="J401" s="2"/>
      <c r="K401" s="257"/>
      <c r="L401" s="79"/>
      <c r="M401" s="79"/>
      <c r="N401" s="219"/>
      <c r="O401" s="249"/>
      <c r="P401" s="249"/>
      <c r="Q401" s="249"/>
    </row>
    <row r="402" spans="1:17" ht="16" x14ac:dyDescent="0.15">
      <c r="A402" s="184"/>
      <c r="B402" s="79"/>
      <c r="C402" s="79"/>
      <c r="D402" s="79"/>
      <c r="E402" s="79"/>
      <c r="F402" s="256"/>
      <c r="G402" s="256"/>
      <c r="H402" s="4"/>
      <c r="I402" s="257"/>
      <c r="J402" s="2"/>
      <c r="K402" s="257"/>
      <c r="L402" s="79"/>
      <c r="M402" s="79"/>
      <c r="N402" s="219"/>
      <c r="O402" s="249"/>
      <c r="P402" s="249"/>
      <c r="Q402" s="249"/>
    </row>
    <row r="403" spans="1:17" x14ac:dyDescent="0.15">
      <c r="A403" s="258"/>
      <c r="B403" s="259"/>
      <c r="C403" s="260"/>
      <c r="D403" s="260"/>
      <c r="E403" s="260"/>
      <c r="F403" s="261"/>
      <c r="G403" s="262"/>
      <c r="H403" s="262"/>
      <c r="I403" s="262"/>
      <c r="J403" s="262"/>
      <c r="K403" s="262"/>
      <c r="L403" s="219"/>
      <c r="M403" s="219"/>
      <c r="N403" s="219"/>
      <c r="O403" s="249"/>
      <c r="P403" s="249"/>
      <c r="Q403" s="249"/>
    </row>
    <row r="404" spans="1:17" x14ac:dyDescent="0.15">
      <c r="A404" s="258"/>
      <c r="B404" s="259"/>
      <c r="C404" s="260"/>
      <c r="D404" s="260"/>
      <c r="E404" s="260"/>
      <c r="F404" s="261"/>
      <c r="G404" s="262"/>
      <c r="H404" s="262"/>
      <c r="I404" s="262"/>
      <c r="J404" s="262"/>
      <c r="K404" s="262"/>
      <c r="L404" s="219"/>
      <c r="M404" s="219"/>
      <c r="N404" s="219"/>
      <c r="O404" s="249"/>
      <c r="P404" s="249"/>
      <c r="Q404" s="249"/>
    </row>
    <row r="405" spans="1:17" x14ac:dyDescent="0.15">
      <c r="A405" s="258"/>
      <c r="B405" s="259"/>
      <c r="C405" s="260"/>
      <c r="D405" s="260"/>
      <c r="E405" s="260"/>
      <c r="F405" s="261"/>
      <c r="G405" s="262"/>
      <c r="H405" s="262"/>
      <c r="I405" s="262"/>
      <c r="J405" s="262"/>
      <c r="K405" s="262"/>
      <c r="L405" s="219"/>
      <c r="M405" s="219"/>
      <c r="N405" s="219"/>
      <c r="O405" s="249"/>
      <c r="P405" s="249"/>
      <c r="Q405" s="249"/>
    </row>
    <row r="406" spans="1:17" x14ac:dyDescent="0.15">
      <c r="A406" s="258"/>
      <c r="B406" s="259"/>
      <c r="C406" s="260"/>
      <c r="D406" s="260"/>
      <c r="E406" s="260"/>
      <c r="F406" s="261"/>
      <c r="G406" s="262"/>
      <c r="H406" s="262"/>
      <c r="I406" s="262"/>
      <c r="J406" s="262"/>
      <c r="K406" s="262"/>
      <c r="L406" s="219"/>
      <c r="M406" s="219"/>
      <c r="N406" s="219"/>
      <c r="O406" s="249"/>
      <c r="P406" s="249"/>
      <c r="Q406" s="249"/>
    </row>
    <row r="407" spans="1:17" x14ac:dyDescent="0.15">
      <c r="A407" s="258"/>
      <c r="B407" s="259"/>
      <c r="C407" s="260"/>
      <c r="D407" s="260"/>
      <c r="E407" s="260"/>
      <c r="F407" s="261"/>
      <c r="G407" s="262"/>
      <c r="H407" s="262"/>
      <c r="I407" s="262"/>
      <c r="J407" s="262"/>
      <c r="K407" s="262"/>
      <c r="L407" s="219"/>
      <c r="M407" s="219"/>
      <c r="N407" s="249"/>
      <c r="O407" s="249"/>
      <c r="P407" s="249"/>
      <c r="Q407" s="249"/>
    </row>
    <row r="408" spans="1:17" x14ac:dyDescent="0.15">
      <c r="A408" s="258"/>
      <c r="B408" s="259"/>
      <c r="C408" s="260"/>
      <c r="D408" s="260"/>
      <c r="E408" s="260"/>
      <c r="F408" s="261"/>
      <c r="G408" s="262"/>
      <c r="H408" s="262"/>
      <c r="I408" s="262"/>
      <c r="J408" s="262"/>
      <c r="K408" s="262"/>
      <c r="L408" s="219"/>
      <c r="M408" s="219"/>
      <c r="N408" s="249"/>
      <c r="O408" s="249"/>
      <c r="P408" s="249"/>
      <c r="Q408" s="249"/>
    </row>
    <row r="409" spans="1:17" x14ac:dyDescent="0.15">
      <c r="A409" s="258"/>
      <c r="B409" s="259"/>
      <c r="C409" s="260"/>
      <c r="D409" s="260"/>
      <c r="E409" s="260"/>
      <c r="F409" s="261"/>
      <c r="G409" s="262"/>
      <c r="H409" s="262"/>
      <c r="I409" s="262"/>
      <c r="J409" s="262"/>
      <c r="K409" s="262"/>
      <c r="L409" s="219"/>
      <c r="M409" s="219"/>
      <c r="N409" s="249"/>
      <c r="O409" s="249"/>
      <c r="P409" s="249"/>
      <c r="Q409" s="249"/>
    </row>
    <row r="410" spans="1:17" x14ac:dyDescent="0.15">
      <c r="A410" s="258"/>
      <c r="B410" s="259"/>
      <c r="C410" s="260"/>
      <c r="D410" s="260"/>
      <c r="E410" s="260"/>
      <c r="F410" s="261"/>
      <c r="G410" s="262"/>
      <c r="H410" s="262"/>
      <c r="I410" s="262"/>
      <c r="J410" s="262"/>
      <c r="K410" s="262"/>
      <c r="L410" s="219"/>
      <c r="M410" s="219"/>
      <c r="N410" s="249"/>
      <c r="O410" s="249"/>
      <c r="P410" s="249"/>
      <c r="Q410" s="249"/>
    </row>
    <row r="411" spans="1:17" x14ac:dyDescent="0.15">
      <c r="A411" s="258"/>
      <c r="B411" s="259"/>
      <c r="C411" s="260"/>
      <c r="D411" s="260"/>
      <c r="E411" s="260"/>
      <c r="F411" s="261"/>
      <c r="G411" s="262"/>
      <c r="H411" s="262"/>
      <c r="I411" s="262"/>
      <c r="J411" s="262"/>
      <c r="K411" s="262"/>
      <c r="L411" s="219"/>
      <c r="M411" s="219"/>
      <c r="N411" s="249"/>
      <c r="O411" s="249"/>
      <c r="P411" s="249"/>
      <c r="Q411" s="249"/>
    </row>
    <row r="412" spans="1:17" x14ac:dyDescent="0.15">
      <c r="A412" s="258"/>
      <c r="B412" s="259"/>
      <c r="C412" s="260"/>
      <c r="D412" s="260"/>
      <c r="E412" s="260"/>
      <c r="F412" s="261"/>
      <c r="G412" s="262"/>
      <c r="H412" s="262"/>
      <c r="I412" s="262"/>
      <c r="J412" s="262"/>
      <c r="K412" s="262"/>
      <c r="L412" s="219"/>
      <c r="M412" s="219"/>
      <c r="N412" s="249"/>
      <c r="O412" s="249"/>
      <c r="P412" s="249"/>
      <c r="Q412" s="249"/>
    </row>
    <row r="413" spans="1:17" x14ac:dyDescent="0.15">
      <c r="A413" s="258"/>
      <c r="B413" s="259"/>
      <c r="C413" s="260"/>
      <c r="D413" s="260"/>
      <c r="E413" s="260"/>
      <c r="F413" s="261"/>
      <c r="G413" s="262"/>
      <c r="H413" s="262"/>
      <c r="I413" s="262"/>
      <c r="J413" s="262"/>
      <c r="K413" s="262"/>
      <c r="L413" s="219"/>
      <c r="M413" s="219"/>
      <c r="N413" s="249"/>
      <c r="O413" s="249"/>
      <c r="P413" s="249"/>
      <c r="Q413" s="249"/>
    </row>
    <row r="414" spans="1:17" x14ac:dyDescent="0.15">
      <c r="A414" s="258"/>
      <c r="B414" s="259"/>
      <c r="C414" s="260"/>
      <c r="D414" s="260"/>
      <c r="E414" s="260"/>
      <c r="F414" s="261"/>
      <c r="G414" s="262"/>
      <c r="H414" s="262"/>
      <c r="I414" s="262"/>
      <c r="J414" s="262"/>
      <c r="K414" s="262"/>
      <c r="L414" s="219"/>
      <c r="M414" s="219"/>
      <c r="N414" s="249"/>
      <c r="O414" s="249"/>
      <c r="P414" s="249"/>
      <c r="Q414" s="249"/>
    </row>
    <row r="415" spans="1:17" x14ac:dyDescent="0.15">
      <c r="A415" s="258"/>
      <c r="B415" s="259"/>
      <c r="C415" s="260"/>
      <c r="D415" s="260"/>
      <c r="E415" s="260"/>
      <c r="F415" s="261"/>
      <c r="G415" s="262"/>
      <c r="H415" s="262"/>
      <c r="I415" s="262"/>
      <c r="J415" s="262"/>
      <c r="K415" s="262"/>
      <c r="L415" s="219"/>
      <c r="M415" s="219"/>
      <c r="N415" s="249"/>
      <c r="O415" s="249"/>
      <c r="P415" s="249"/>
      <c r="Q415" s="249"/>
    </row>
    <row r="416" spans="1:17" x14ac:dyDescent="0.15">
      <c r="A416" s="258"/>
      <c r="B416" s="259"/>
      <c r="C416" s="260"/>
      <c r="D416" s="260"/>
      <c r="E416" s="260"/>
      <c r="F416" s="261"/>
      <c r="G416" s="262"/>
      <c r="H416" s="262"/>
      <c r="I416" s="262"/>
      <c r="J416" s="262"/>
      <c r="K416" s="262"/>
      <c r="L416" s="219"/>
      <c r="M416" s="219"/>
      <c r="N416" s="249"/>
      <c r="O416" s="249"/>
      <c r="P416" s="249"/>
      <c r="Q416" s="249"/>
    </row>
    <row r="417" spans="1:17" x14ac:dyDescent="0.15">
      <c r="A417" s="258"/>
      <c r="B417" s="259"/>
      <c r="C417" s="260"/>
      <c r="D417" s="260"/>
      <c r="E417" s="260"/>
      <c r="F417" s="261"/>
      <c r="G417" s="262"/>
      <c r="H417" s="262"/>
      <c r="I417" s="262"/>
      <c r="J417" s="262"/>
      <c r="K417" s="262"/>
      <c r="L417" s="219"/>
      <c r="M417" s="219"/>
      <c r="N417" s="249"/>
      <c r="O417" s="249"/>
      <c r="P417" s="249"/>
      <c r="Q417" s="249"/>
    </row>
    <row r="418" spans="1:17" x14ac:dyDescent="0.15">
      <c r="A418" s="258"/>
      <c r="B418" s="259"/>
      <c r="C418" s="260"/>
      <c r="D418" s="260"/>
      <c r="E418" s="260"/>
      <c r="F418" s="261"/>
      <c r="G418" s="262"/>
      <c r="H418" s="262"/>
      <c r="I418" s="262"/>
      <c r="J418" s="262"/>
      <c r="K418" s="262"/>
      <c r="L418" s="219"/>
      <c r="M418" s="219"/>
      <c r="N418" s="249"/>
      <c r="O418" s="249"/>
      <c r="P418" s="249"/>
      <c r="Q418" s="249"/>
    </row>
    <row r="419" spans="1:17" ht="13" x14ac:dyDescent="0.15">
      <c r="A419" s="249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</row>
    <row r="420" spans="1:17" ht="13" x14ac:dyDescent="0.15">
      <c r="A420" s="249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</row>
    <row r="421" spans="1:17" ht="13" x14ac:dyDescent="0.15">
      <c r="A421" s="249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</row>
    <row r="422" spans="1:17" ht="13" x14ac:dyDescent="0.15">
      <c r="A422" s="249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</row>
    <row r="423" spans="1:17" ht="13" x14ac:dyDescent="0.15">
      <c r="A423" s="249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</row>
    <row r="424" spans="1:17" ht="13" x14ac:dyDescent="0.15">
      <c r="A424" s="249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</row>
    <row r="425" spans="1:17" ht="13" x14ac:dyDescent="0.15">
      <c r="A425" s="249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</row>
    <row r="426" spans="1:17" ht="13" x14ac:dyDescent="0.15">
      <c r="A426" s="249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</row>
    <row r="427" spans="1:17" ht="13" x14ac:dyDescent="0.15">
      <c r="A427" s="249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</row>
    <row r="428" spans="1:17" ht="13" x14ac:dyDescent="0.15">
      <c r="A428" s="249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</row>
    <row r="429" spans="1:17" ht="13" x14ac:dyDescent="0.15">
      <c r="A429" s="249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</row>
    <row r="430" spans="1:17" ht="13" x14ac:dyDescent="0.15">
      <c r="A430" s="249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</row>
    <row r="431" spans="1:17" ht="13" x14ac:dyDescent="0.15">
      <c r="A431" s="249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</row>
    <row r="432" spans="1:17" ht="13" x14ac:dyDescent="0.15">
      <c r="A432" s="249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</row>
    <row r="433" spans="1:17" ht="13" x14ac:dyDescent="0.15">
      <c r="A433" s="249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</row>
    <row r="434" spans="1:17" ht="13" x14ac:dyDescent="0.15">
      <c r="A434" s="249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</row>
    <row r="435" spans="1:17" ht="13" x14ac:dyDescent="0.15">
      <c r="A435" s="249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</row>
    <row r="436" spans="1:17" ht="13" x14ac:dyDescent="0.15">
      <c r="A436" s="249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</row>
    <row r="437" spans="1:17" ht="13" x14ac:dyDescent="0.15">
      <c r="A437" s="249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</row>
    <row r="438" spans="1:17" ht="13" x14ac:dyDescent="0.15">
      <c r="A438" s="249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</row>
    <row r="439" spans="1:17" ht="13" x14ac:dyDescent="0.15">
      <c r="A439" s="249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</row>
    <row r="440" spans="1:17" ht="13" x14ac:dyDescent="0.15">
      <c r="A440" s="249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</row>
    <row r="441" spans="1:17" ht="13" x14ac:dyDescent="0.15">
      <c r="A441" s="249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</row>
    <row r="442" spans="1:17" ht="13" x14ac:dyDescent="0.15">
      <c r="A442" s="249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</row>
    <row r="443" spans="1:17" ht="13" x14ac:dyDescent="0.15">
      <c r="A443" s="249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</row>
    <row r="444" spans="1:17" ht="13" x14ac:dyDescent="0.15">
      <c r="A444" s="249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</row>
    <row r="445" spans="1:17" ht="13" x14ac:dyDescent="0.15">
      <c r="A445" s="249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</row>
    <row r="446" spans="1:17" ht="13" x14ac:dyDescent="0.15">
      <c r="A446" s="249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</row>
    <row r="447" spans="1:17" ht="13" x14ac:dyDescent="0.15">
      <c r="A447" s="249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</row>
    <row r="448" spans="1:17" ht="13" x14ac:dyDescent="0.15">
      <c r="A448" s="249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</row>
    <row r="449" spans="1:17" ht="13" x14ac:dyDescent="0.15">
      <c r="A449" s="249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</row>
    <row r="450" spans="1:17" ht="13" x14ac:dyDescent="0.15">
      <c r="A450" s="249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</row>
    <row r="451" spans="1:17" ht="13" x14ac:dyDescent="0.15">
      <c r="A451" s="249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</row>
    <row r="452" spans="1:17" ht="13" x14ac:dyDescent="0.15">
      <c r="A452" s="249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</row>
    <row r="453" spans="1:17" ht="13" x14ac:dyDescent="0.15">
      <c r="A453" s="249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</row>
    <row r="454" spans="1:17" ht="13" x14ac:dyDescent="0.15">
      <c r="A454" s="249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</row>
    <row r="455" spans="1:17" ht="13" x14ac:dyDescent="0.15">
      <c r="A455" s="249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</row>
    <row r="456" spans="1:17" ht="13" x14ac:dyDescent="0.15">
      <c r="A456" s="249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</row>
    <row r="457" spans="1:17" ht="13" x14ac:dyDescent="0.15">
      <c r="A457" s="249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</row>
    <row r="458" spans="1:17" ht="13" x14ac:dyDescent="0.15">
      <c r="A458" s="249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</row>
    <row r="459" spans="1:17" ht="13" x14ac:dyDescent="0.15">
      <c r="A459" s="249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</row>
    <row r="460" spans="1:17" ht="13" x14ac:dyDescent="0.15">
      <c r="A460" s="249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</row>
    <row r="461" spans="1:17" ht="13" x14ac:dyDescent="0.15">
      <c r="A461" s="249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</row>
    <row r="462" spans="1:17" ht="13" x14ac:dyDescent="0.15">
      <c r="A462" s="249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</row>
    <row r="463" spans="1:17" ht="13" x14ac:dyDescent="0.15">
      <c r="A463" s="249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</row>
    <row r="464" spans="1:17" ht="13" x14ac:dyDescent="0.15">
      <c r="A464" s="249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</row>
    <row r="465" spans="1:17" ht="13" x14ac:dyDescent="0.15">
      <c r="A465" s="249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</row>
    <row r="466" spans="1:17" ht="13" x14ac:dyDescent="0.15">
      <c r="A466" s="249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</row>
    <row r="467" spans="1:17" ht="13" x14ac:dyDescent="0.15">
      <c r="A467" s="249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</row>
    <row r="468" spans="1:17" ht="13" x14ac:dyDescent="0.15">
      <c r="A468" s="249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</row>
    <row r="469" spans="1:17" ht="13" x14ac:dyDescent="0.15">
      <c r="A469" s="249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</row>
    <row r="470" spans="1:17" ht="13" x14ac:dyDescent="0.15">
      <c r="A470" s="249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</row>
    <row r="471" spans="1:17" ht="13" x14ac:dyDescent="0.15">
      <c r="A471" s="249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</row>
    <row r="472" spans="1:17" ht="13" x14ac:dyDescent="0.15">
      <c r="A472" s="249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</row>
    <row r="473" spans="1:17" ht="13" x14ac:dyDescent="0.15">
      <c r="A473" s="249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</row>
    <row r="474" spans="1:17" ht="13" x14ac:dyDescent="0.15">
      <c r="A474" s="249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</row>
    <row r="475" spans="1:17" ht="13" x14ac:dyDescent="0.15">
      <c r="A475" s="249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</row>
    <row r="476" spans="1:17" ht="13" x14ac:dyDescent="0.15">
      <c r="A476" s="249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</row>
    <row r="477" spans="1:17" ht="13" x14ac:dyDescent="0.15">
      <c r="A477" s="249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</row>
    <row r="478" spans="1:17" ht="13" x14ac:dyDescent="0.15">
      <c r="A478" s="249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</row>
    <row r="479" spans="1:17" ht="13" x14ac:dyDescent="0.15">
      <c r="A479" s="249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</row>
    <row r="480" spans="1:17" ht="13" x14ac:dyDescent="0.15">
      <c r="A480" s="249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</row>
    <row r="481" spans="1:17" ht="13" x14ac:dyDescent="0.15">
      <c r="A481" s="249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</row>
    <row r="482" spans="1:17" ht="13" x14ac:dyDescent="0.15">
      <c r="A482" s="249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</row>
    <row r="483" spans="1:17" ht="13" x14ac:dyDescent="0.15">
      <c r="A483" s="249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</row>
    <row r="484" spans="1:17" ht="13" x14ac:dyDescent="0.15">
      <c r="A484" s="249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</row>
    <row r="485" spans="1:17" ht="13" x14ac:dyDescent="0.15">
      <c r="A485" s="249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</row>
    <row r="486" spans="1:17" ht="13" x14ac:dyDescent="0.15">
      <c r="A486" s="249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</row>
    <row r="487" spans="1:17" ht="13" x14ac:dyDescent="0.15">
      <c r="A487" s="249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</row>
    <row r="488" spans="1:17" ht="13" x14ac:dyDescent="0.15">
      <c r="A488" s="249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</row>
    <row r="489" spans="1:17" ht="13" x14ac:dyDescent="0.15">
      <c r="A489" s="249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</row>
    <row r="490" spans="1:17" ht="13" x14ac:dyDescent="0.15">
      <c r="A490" s="249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</row>
    <row r="491" spans="1:17" ht="13" x14ac:dyDescent="0.15">
      <c r="A491" s="249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</row>
    <row r="492" spans="1:17" ht="13" x14ac:dyDescent="0.15">
      <c r="A492" s="249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</row>
    <row r="493" spans="1:17" ht="13" x14ac:dyDescent="0.15">
      <c r="A493" s="249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</row>
    <row r="494" spans="1:17" ht="13" x14ac:dyDescent="0.15">
      <c r="A494" s="249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</row>
    <row r="495" spans="1:17" ht="13" x14ac:dyDescent="0.15">
      <c r="A495" s="249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</row>
    <row r="496" spans="1:17" ht="13" x14ac:dyDescent="0.15">
      <c r="A496" s="249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</row>
    <row r="497" spans="1:17" ht="13" x14ac:dyDescent="0.15">
      <c r="A497" s="249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</row>
    <row r="498" spans="1:17" ht="13" x14ac:dyDescent="0.15">
      <c r="A498" s="249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</row>
    <row r="499" spans="1:17" ht="13" x14ac:dyDescent="0.15">
      <c r="A499" s="249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</row>
    <row r="500" spans="1:17" ht="13" x14ac:dyDescent="0.15">
      <c r="A500" s="249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</row>
    <row r="501" spans="1:17" ht="13" x14ac:dyDescent="0.15">
      <c r="A501" s="249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</row>
    <row r="502" spans="1:17" ht="13" x14ac:dyDescent="0.15">
      <c r="A502" s="249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</row>
    <row r="503" spans="1:17" ht="13" x14ac:dyDescent="0.15">
      <c r="A503" s="249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</row>
    <row r="504" spans="1:17" ht="13" x14ac:dyDescent="0.15">
      <c r="A504" s="249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</row>
    <row r="505" spans="1:17" ht="13" x14ac:dyDescent="0.15">
      <c r="A505" s="249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</row>
    <row r="506" spans="1:17" ht="13" x14ac:dyDescent="0.15">
      <c r="A506" s="249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</row>
    <row r="507" spans="1:17" ht="13" x14ac:dyDescent="0.15">
      <c r="A507" s="249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</row>
    <row r="508" spans="1:17" ht="13" x14ac:dyDescent="0.15">
      <c r="A508" s="249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</row>
    <row r="509" spans="1:17" ht="13" x14ac:dyDescent="0.15">
      <c r="A509" s="249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</row>
    <row r="510" spans="1:17" ht="13" x14ac:dyDescent="0.15">
      <c r="A510" s="249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</row>
    <row r="511" spans="1:17" ht="13" x14ac:dyDescent="0.15">
      <c r="A511" s="249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</row>
    <row r="512" spans="1:17" ht="13" x14ac:dyDescent="0.15">
      <c r="A512" s="249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</row>
    <row r="513" spans="1:17" ht="13" x14ac:dyDescent="0.15">
      <c r="A513" s="249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</row>
    <row r="514" spans="1:17" ht="13" x14ac:dyDescent="0.15">
      <c r="A514" s="249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</row>
    <row r="515" spans="1:17" ht="13" x14ac:dyDescent="0.15">
      <c r="A515" s="249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</row>
    <row r="516" spans="1:17" ht="13" x14ac:dyDescent="0.15">
      <c r="A516" s="249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</row>
    <row r="517" spans="1:17" ht="13" x14ac:dyDescent="0.15">
      <c r="A517" s="249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</row>
    <row r="518" spans="1:17" ht="13" x14ac:dyDescent="0.15">
      <c r="A518" s="249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</row>
    <row r="519" spans="1:17" ht="13" x14ac:dyDescent="0.15">
      <c r="A519" s="249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</row>
    <row r="520" spans="1:17" ht="13" x14ac:dyDescent="0.15">
      <c r="A520" s="249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</row>
    <row r="521" spans="1:17" ht="13" x14ac:dyDescent="0.15">
      <c r="A521" s="249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</row>
    <row r="522" spans="1:17" ht="13" x14ac:dyDescent="0.15">
      <c r="A522" s="249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</row>
    <row r="523" spans="1:17" ht="13" x14ac:dyDescent="0.15">
      <c r="A523" s="249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</row>
    <row r="524" spans="1:17" ht="13" x14ac:dyDescent="0.15">
      <c r="A524" s="249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</row>
    <row r="525" spans="1:17" ht="13" x14ac:dyDescent="0.15">
      <c r="A525" s="249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</row>
    <row r="526" spans="1:17" ht="13" x14ac:dyDescent="0.15">
      <c r="A526" s="249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</row>
    <row r="527" spans="1:17" ht="13" x14ac:dyDescent="0.15">
      <c r="A527" s="249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</row>
    <row r="528" spans="1:17" ht="13" x14ac:dyDescent="0.15">
      <c r="A528" s="249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</row>
    <row r="529" spans="1:17" ht="13" x14ac:dyDescent="0.15">
      <c r="A529" s="249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</row>
    <row r="530" spans="1:17" ht="13" x14ac:dyDescent="0.15">
      <c r="A530" s="249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</row>
    <row r="531" spans="1:17" ht="13" x14ac:dyDescent="0.15">
      <c r="A531" s="249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</row>
    <row r="532" spans="1:17" ht="13" x14ac:dyDescent="0.15">
      <c r="A532" s="249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</row>
    <row r="533" spans="1:17" ht="13" x14ac:dyDescent="0.15">
      <c r="A533" s="249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</row>
    <row r="534" spans="1:17" ht="13" x14ac:dyDescent="0.15">
      <c r="A534" s="249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</row>
    <row r="535" spans="1:17" ht="13" x14ac:dyDescent="0.15">
      <c r="A535" s="249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</row>
    <row r="536" spans="1:17" ht="13" x14ac:dyDescent="0.15">
      <c r="A536" s="249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</row>
    <row r="537" spans="1:17" ht="13" x14ac:dyDescent="0.15">
      <c r="A537" s="249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</row>
    <row r="538" spans="1:17" ht="13" x14ac:dyDescent="0.15">
      <c r="A538" s="249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</row>
    <row r="539" spans="1:17" ht="13" x14ac:dyDescent="0.15">
      <c r="A539" s="249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</row>
    <row r="540" spans="1:17" ht="13" x14ac:dyDescent="0.15">
      <c r="A540" s="249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</row>
    <row r="541" spans="1:17" ht="13" x14ac:dyDescent="0.15">
      <c r="A541" s="249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</row>
    <row r="542" spans="1:17" ht="13" x14ac:dyDescent="0.15">
      <c r="A542" s="249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</row>
    <row r="543" spans="1:17" ht="13" x14ac:dyDescent="0.15">
      <c r="A543" s="249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</row>
    <row r="544" spans="1:17" ht="13" x14ac:dyDescent="0.15">
      <c r="A544" s="249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</row>
    <row r="545" spans="1:17" ht="13" x14ac:dyDescent="0.15">
      <c r="A545" s="249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</row>
    <row r="546" spans="1:17" ht="13" x14ac:dyDescent="0.15">
      <c r="A546" s="249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</row>
    <row r="547" spans="1:17" ht="13" x14ac:dyDescent="0.15">
      <c r="A547" s="249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</row>
    <row r="548" spans="1:17" ht="13" x14ac:dyDescent="0.15">
      <c r="A548" s="249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</row>
    <row r="549" spans="1:17" ht="13" x14ac:dyDescent="0.15">
      <c r="A549" s="249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</row>
    <row r="550" spans="1:17" ht="13" x14ac:dyDescent="0.15">
      <c r="A550" s="249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</row>
    <row r="551" spans="1:17" ht="13" x14ac:dyDescent="0.15">
      <c r="A551" s="249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</row>
    <row r="552" spans="1:17" ht="13" x14ac:dyDescent="0.15">
      <c r="A552" s="249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</row>
    <row r="553" spans="1:17" ht="13" x14ac:dyDescent="0.15">
      <c r="A553" s="249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</row>
    <row r="554" spans="1:17" ht="13" x14ac:dyDescent="0.15">
      <c r="A554" s="249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</row>
    <row r="555" spans="1:17" ht="13" x14ac:dyDescent="0.15">
      <c r="A555" s="249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</row>
    <row r="556" spans="1:17" ht="13" x14ac:dyDescent="0.15">
      <c r="A556" s="249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</row>
    <row r="557" spans="1:17" ht="13" x14ac:dyDescent="0.15">
      <c r="A557" s="249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</row>
    <row r="558" spans="1:17" ht="13" x14ac:dyDescent="0.15">
      <c r="A558" s="249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</row>
    <row r="559" spans="1:17" ht="13" x14ac:dyDescent="0.15">
      <c r="A559" s="249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</row>
    <row r="560" spans="1:17" ht="13" x14ac:dyDescent="0.15">
      <c r="A560" s="249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</row>
    <row r="561" spans="1:17" ht="13" x14ac:dyDescent="0.15">
      <c r="A561" s="249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</row>
    <row r="562" spans="1:17" ht="13" x14ac:dyDescent="0.15">
      <c r="A562" s="249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</row>
    <row r="563" spans="1:17" ht="13" x14ac:dyDescent="0.15">
      <c r="A563" s="249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</row>
    <row r="564" spans="1:17" ht="13" x14ac:dyDescent="0.15">
      <c r="A564" s="249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</row>
    <row r="565" spans="1:17" ht="13" x14ac:dyDescent="0.15">
      <c r="A565" s="249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</row>
    <row r="566" spans="1:17" ht="13" x14ac:dyDescent="0.15">
      <c r="A566" s="249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</row>
    <row r="567" spans="1:17" ht="13" x14ac:dyDescent="0.15">
      <c r="A567" s="249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</row>
    <row r="568" spans="1:17" ht="13" x14ac:dyDescent="0.15">
      <c r="A568" s="249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</row>
    <row r="569" spans="1:17" ht="13" x14ac:dyDescent="0.15">
      <c r="A569" s="249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</row>
    <row r="570" spans="1:17" ht="13" x14ac:dyDescent="0.15">
      <c r="A570" s="249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</row>
    <row r="571" spans="1:17" ht="13" x14ac:dyDescent="0.15">
      <c r="A571" s="249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</row>
    <row r="572" spans="1:17" ht="13" x14ac:dyDescent="0.15">
      <c r="A572" s="249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</row>
    <row r="573" spans="1:17" ht="13" x14ac:dyDescent="0.15">
      <c r="A573" s="249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</row>
    <row r="574" spans="1:17" ht="13" x14ac:dyDescent="0.15">
      <c r="A574" s="249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</row>
    <row r="575" spans="1:17" ht="13" x14ac:dyDescent="0.15">
      <c r="A575" s="249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</row>
    <row r="576" spans="1:17" ht="13" x14ac:dyDescent="0.15">
      <c r="A576" s="249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</row>
    <row r="577" spans="1:17" ht="13" x14ac:dyDescent="0.15">
      <c r="A577" s="249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</row>
    <row r="578" spans="1:17" ht="13" x14ac:dyDescent="0.15">
      <c r="A578" s="249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</row>
    <row r="579" spans="1:17" ht="13" x14ac:dyDescent="0.15">
      <c r="A579" s="249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</row>
    <row r="580" spans="1:17" ht="13" x14ac:dyDescent="0.15">
      <c r="A580" s="249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</row>
    <row r="581" spans="1:17" ht="13" x14ac:dyDescent="0.15">
      <c r="A581" s="249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</row>
    <row r="582" spans="1:17" ht="13" x14ac:dyDescent="0.15">
      <c r="A582" s="249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</row>
    <row r="583" spans="1:17" ht="13" x14ac:dyDescent="0.15">
      <c r="A583" s="249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</row>
    <row r="584" spans="1:17" ht="13" x14ac:dyDescent="0.15">
      <c r="A584" s="249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</row>
    <row r="585" spans="1:17" ht="13" x14ac:dyDescent="0.15">
      <c r="A585" s="249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</row>
    <row r="586" spans="1:17" ht="13" x14ac:dyDescent="0.15">
      <c r="A586" s="249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</row>
    <row r="587" spans="1:17" ht="13" x14ac:dyDescent="0.15">
      <c r="A587" s="249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</row>
    <row r="588" spans="1:17" ht="13" x14ac:dyDescent="0.15">
      <c r="A588" s="249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</row>
    <row r="589" spans="1:17" ht="13" x14ac:dyDescent="0.15">
      <c r="A589" s="249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</row>
    <row r="590" spans="1:17" ht="13" x14ac:dyDescent="0.15">
      <c r="A590" s="249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</row>
    <row r="591" spans="1:17" ht="13" x14ac:dyDescent="0.15">
      <c r="A591" s="249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</row>
    <row r="592" spans="1:17" ht="13" x14ac:dyDescent="0.15">
      <c r="A592" s="249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</row>
    <row r="593" spans="1:17" ht="13" x14ac:dyDescent="0.15">
      <c r="A593" s="249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</row>
    <row r="594" spans="1:17" ht="13" x14ac:dyDescent="0.15">
      <c r="A594" s="249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</row>
    <row r="595" spans="1:17" ht="13" x14ac:dyDescent="0.15">
      <c r="A595" s="249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</row>
    <row r="596" spans="1:17" ht="13" x14ac:dyDescent="0.15">
      <c r="A596" s="249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</row>
    <row r="597" spans="1:17" ht="13" x14ac:dyDescent="0.15">
      <c r="A597" s="249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</row>
    <row r="598" spans="1:17" ht="13" x14ac:dyDescent="0.15">
      <c r="A598" s="249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</row>
    <row r="599" spans="1:17" ht="13" x14ac:dyDescent="0.15">
      <c r="A599" s="249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</row>
    <row r="600" spans="1:17" ht="13" x14ac:dyDescent="0.15">
      <c r="A600" s="249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</row>
    <row r="601" spans="1:17" ht="13" x14ac:dyDescent="0.15">
      <c r="A601" s="249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</row>
    <row r="602" spans="1:17" ht="13" x14ac:dyDescent="0.15">
      <c r="A602" s="249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</row>
    <row r="603" spans="1:17" ht="13" x14ac:dyDescent="0.15">
      <c r="A603" s="249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</row>
    <row r="604" spans="1:17" ht="13" x14ac:dyDescent="0.15">
      <c r="A604" s="249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</row>
    <row r="605" spans="1:17" ht="13" x14ac:dyDescent="0.15">
      <c r="A605" s="249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</row>
    <row r="606" spans="1:17" ht="13" x14ac:dyDescent="0.15">
      <c r="A606" s="249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</row>
    <row r="607" spans="1:17" ht="13" x14ac:dyDescent="0.15">
      <c r="A607" s="249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</row>
    <row r="608" spans="1:17" ht="13" x14ac:dyDescent="0.15">
      <c r="A608" s="249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</row>
    <row r="609" spans="1:17" ht="13" x14ac:dyDescent="0.15">
      <c r="A609" s="249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</row>
    <row r="610" spans="1:17" ht="13" x14ac:dyDescent="0.15">
      <c r="A610" s="249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</row>
    <row r="611" spans="1:17" ht="13" x14ac:dyDescent="0.15">
      <c r="A611" s="249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</row>
    <row r="612" spans="1:17" ht="13" x14ac:dyDescent="0.15">
      <c r="A612" s="249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</row>
    <row r="613" spans="1:17" ht="13" x14ac:dyDescent="0.15">
      <c r="A613" s="249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</row>
    <row r="614" spans="1:17" ht="13" x14ac:dyDescent="0.15">
      <c r="A614" s="249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</row>
    <row r="615" spans="1:17" ht="13" x14ac:dyDescent="0.15">
      <c r="A615" s="249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</row>
    <row r="616" spans="1:17" ht="13" x14ac:dyDescent="0.15">
      <c r="A616" s="249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</row>
    <row r="617" spans="1:17" ht="13" x14ac:dyDescent="0.15">
      <c r="A617" s="249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</row>
    <row r="618" spans="1:17" ht="13" x14ac:dyDescent="0.15">
      <c r="A618" s="249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</row>
    <row r="619" spans="1:17" ht="13" x14ac:dyDescent="0.15">
      <c r="A619" s="249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</row>
    <row r="620" spans="1:17" ht="13" x14ac:dyDescent="0.15">
      <c r="A620" s="249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</row>
    <row r="621" spans="1:17" ht="13" x14ac:dyDescent="0.15">
      <c r="A621" s="249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</row>
    <row r="622" spans="1:17" ht="13" x14ac:dyDescent="0.15">
      <c r="A622" s="249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</row>
    <row r="623" spans="1:17" ht="13" x14ac:dyDescent="0.15">
      <c r="A623" s="249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</row>
    <row r="624" spans="1:17" ht="13" x14ac:dyDescent="0.15">
      <c r="A624" s="249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</row>
    <row r="625" spans="1:17" ht="13" x14ac:dyDescent="0.15">
      <c r="A625" s="249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</row>
    <row r="626" spans="1:17" ht="13" x14ac:dyDescent="0.15">
      <c r="A626" s="249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</row>
    <row r="627" spans="1:17" ht="13" x14ac:dyDescent="0.15">
      <c r="A627" s="249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</row>
    <row r="628" spans="1:17" ht="13" x14ac:dyDescent="0.15">
      <c r="A628" s="249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</row>
    <row r="629" spans="1:17" ht="13" x14ac:dyDescent="0.15">
      <c r="A629" s="249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</row>
    <row r="630" spans="1:17" ht="13" x14ac:dyDescent="0.15">
      <c r="A630" s="249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</row>
    <row r="631" spans="1:17" ht="13" x14ac:dyDescent="0.15">
      <c r="A631" s="249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</row>
    <row r="632" spans="1:17" ht="13" x14ac:dyDescent="0.15">
      <c r="A632" s="249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</row>
    <row r="633" spans="1:17" ht="13" x14ac:dyDescent="0.15">
      <c r="A633" s="249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</row>
    <row r="634" spans="1:17" ht="13" x14ac:dyDescent="0.15">
      <c r="A634" s="249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</row>
    <row r="635" spans="1:17" ht="13" x14ac:dyDescent="0.15">
      <c r="A635" s="249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</row>
    <row r="636" spans="1:17" ht="13" x14ac:dyDescent="0.15">
      <c r="A636" s="249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</row>
    <row r="637" spans="1:17" ht="13" x14ac:dyDescent="0.15">
      <c r="A637" s="249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</row>
    <row r="638" spans="1:17" ht="13" x14ac:dyDescent="0.15">
      <c r="A638" s="249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</row>
    <row r="639" spans="1:17" ht="13" x14ac:dyDescent="0.15">
      <c r="A639" s="249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</row>
    <row r="640" spans="1:17" ht="13" x14ac:dyDescent="0.15">
      <c r="A640" s="249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</row>
    <row r="641" spans="1:17" ht="13" x14ac:dyDescent="0.15">
      <c r="A641" s="249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</row>
    <row r="642" spans="1:17" ht="13" x14ac:dyDescent="0.15">
      <c r="A642" s="249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</row>
    <row r="643" spans="1:17" ht="13" x14ac:dyDescent="0.15">
      <c r="A643" s="249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</row>
    <row r="644" spans="1:17" ht="13" x14ac:dyDescent="0.15">
      <c r="A644" s="249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</row>
    <row r="645" spans="1:17" ht="13" x14ac:dyDescent="0.15">
      <c r="A645" s="249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</row>
    <row r="646" spans="1:17" ht="13" x14ac:dyDescent="0.15">
      <c r="A646" s="249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</row>
    <row r="647" spans="1:17" ht="13" x14ac:dyDescent="0.15">
      <c r="A647" s="249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</row>
    <row r="648" spans="1:17" ht="13" x14ac:dyDescent="0.15">
      <c r="A648" s="249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</row>
    <row r="649" spans="1:17" ht="13" x14ac:dyDescent="0.15">
      <c r="A649" s="249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</row>
    <row r="650" spans="1:17" ht="13" x14ac:dyDescent="0.15">
      <c r="A650" s="249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</row>
    <row r="651" spans="1:17" ht="13" x14ac:dyDescent="0.15">
      <c r="A651" s="249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</row>
    <row r="652" spans="1:17" ht="13" x14ac:dyDescent="0.15">
      <c r="A652" s="249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</row>
    <row r="653" spans="1:17" ht="13" x14ac:dyDescent="0.15">
      <c r="A653" s="249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</row>
    <row r="654" spans="1:17" ht="13" x14ac:dyDescent="0.15">
      <c r="A654" s="249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</row>
    <row r="655" spans="1:17" ht="13" x14ac:dyDescent="0.15">
      <c r="A655" s="249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</row>
    <row r="656" spans="1:17" ht="13" x14ac:dyDescent="0.15">
      <c r="A656" s="249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</row>
    <row r="657" spans="1:17" ht="13" x14ac:dyDescent="0.15">
      <c r="A657" s="249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</row>
    <row r="658" spans="1:17" ht="13" x14ac:dyDescent="0.15">
      <c r="A658" s="249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</row>
    <row r="659" spans="1:17" ht="13" x14ac:dyDescent="0.15">
      <c r="A659" s="249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</row>
    <row r="660" spans="1:17" ht="13" x14ac:dyDescent="0.15">
      <c r="A660" s="249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</row>
    <row r="661" spans="1:17" ht="13" x14ac:dyDescent="0.15">
      <c r="A661" s="249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</row>
    <row r="662" spans="1:17" ht="13" x14ac:dyDescent="0.15">
      <c r="A662" s="249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</row>
    <row r="663" spans="1:17" ht="13" x14ac:dyDescent="0.15">
      <c r="A663" s="249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</row>
    <row r="664" spans="1:17" ht="13" x14ac:dyDescent="0.15">
      <c r="A664" s="249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</row>
    <row r="665" spans="1:17" ht="13" x14ac:dyDescent="0.15">
      <c r="A665" s="249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</row>
    <row r="666" spans="1:17" ht="13" x14ac:dyDescent="0.15">
      <c r="A666" s="249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</row>
    <row r="667" spans="1:17" ht="13" x14ac:dyDescent="0.15">
      <c r="A667" s="249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</row>
    <row r="668" spans="1:17" ht="13" x14ac:dyDescent="0.15">
      <c r="A668" s="249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</row>
    <row r="669" spans="1:17" ht="13" x14ac:dyDescent="0.15">
      <c r="A669" s="249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</row>
    <row r="670" spans="1:17" ht="13" x14ac:dyDescent="0.15">
      <c r="A670" s="249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</row>
    <row r="671" spans="1:17" ht="13" x14ac:dyDescent="0.15">
      <c r="A671" s="249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</row>
    <row r="672" spans="1:17" ht="13" x14ac:dyDescent="0.15">
      <c r="A672" s="249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</row>
    <row r="673" spans="1:17" ht="13" x14ac:dyDescent="0.15">
      <c r="A673" s="249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</row>
    <row r="674" spans="1:17" ht="13" x14ac:dyDescent="0.15">
      <c r="A674" s="249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</row>
    <row r="675" spans="1:17" ht="13" x14ac:dyDescent="0.15">
      <c r="A675" s="249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</row>
    <row r="676" spans="1:17" ht="13" x14ac:dyDescent="0.15">
      <c r="A676" s="249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</row>
    <row r="677" spans="1:17" ht="13" x14ac:dyDescent="0.15">
      <c r="A677" s="249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</row>
    <row r="678" spans="1:17" ht="13" x14ac:dyDescent="0.15">
      <c r="A678" s="249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</row>
    <row r="679" spans="1:17" ht="13" x14ac:dyDescent="0.15">
      <c r="A679" s="249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</row>
    <row r="680" spans="1:17" ht="13" x14ac:dyDescent="0.15">
      <c r="A680" s="249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</row>
    <row r="681" spans="1:17" ht="13" x14ac:dyDescent="0.15">
      <c r="A681" s="249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</row>
    <row r="682" spans="1:17" ht="13" x14ac:dyDescent="0.15">
      <c r="A682" s="249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</row>
    <row r="683" spans="1:17" ht="13" x14ac:dyDescent="0.15">
      <c r="A683" s="249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</row>
    <row r="684" spans="1:17" ht="13" x14ac:dyDescent="0.15">
      <c r="A684" s="249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</row>
    <row r="685" spans="1:17" ht="13" x14ac:dyDescent="0.15">
      <c r="A685" s="249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</row>
    <row r="686" spans="1:17" ht="13" x14ac:dyDescent="0.15">
      <c r="A686" s="249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</row>
    <row r="687" spans="1:17" ht="13" x14ac:dyDescent="0.15">
      <c r="A687" s="249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</row>
    <row r="688" spans="1:17" ht="13" x14ac:dyDescent="0.15">
      <c r="A688" s="249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</row>
    <row r="689" spans="1:17" ht="13" x14ac:dyDescent="0.15">
      <c r="A689" s="249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</row>
    <row r="690" spans="1:17" ht="13" x14ac:dyDescent="0.15">
      <c r="A690" s="249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</row>
    <row r="691" spans="1:17" ht="13" x14ac:dyDescent="0.15">
      <c r="A691" s="249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</row>
    <row r="692" spans="1:17" ht="13" x14ac:dyDescent="0.15">
      <c r="A692" s="249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</row>
    <row r="693" spans="1:17" ht="13" x14ac:dyDescent="0.15">
      <c r="A693" s="249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</row>
    <row r="694" spans="1:17" ht="13" x14ac:dyDescent="0.15">
      <c r="A694" s="249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</row>
    <row r="695" spans="1:17" ht="13" x14ac:dyDescent="0.15">
      <c r="A695" s="249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</row>
    <row r="696" spans="1:17" ht="13" x14ac:dyDescent="0.15">
      <c r="A696" s="249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</row>
    <row r="697" spans="1:17" ht="13" x14ac:dyDescent="0.15">
      <c r="A697" s="249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</row>
    <row r="698" spans="1:17" ht="13" x14ac:dyDescent="0.15">
      <c r="A698" s="249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</row>
    <row r="699" spans="1:17" ht="13" x14ac:dyDescent="0.15">
      <c r="A699" s="249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</row>
    <row r="700" spans="1:17" ht="13" x14ac:dyDescent="0.15">
      <c r="A700" s="249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</row>
    <row r="701" spans="1:17" ht="13" x14ac:dyDescent="0.15">
      <c r="A701" s="249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</row>
    <row r="702" spans="1:17" ht="13" x14ac:dyDescent="0.15">
      <c r="A702" s="249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</row>
    <row r="703" spans="1:17" ht="13" x14ac:dyDescent="0.15">
      <c r="A703" s="249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</row>
    <row r="704" spans="1:17" ht="13" x14ac:dyDescent="0.15">
      <c r="A704" s="249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</row>
    <row r="705" spans="1:17" ht="13" x14ac:dyDescent="0.15">
      <c r="A705" s="249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</row>
    <row r="706" spans="1:17" ht="13" x14ac:dyDescent="0.15">
      <c r="A706" s="249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</row>
    <row r="707" spans="1:17" ht="13" x14ac:dyDescent="0.15">
      <c r="A707" s="249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</row>
    <row r="708" spans="1:17" ht="13" x14ac:dyDescent="0.15">
      <c r="A708" s="249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</row>
    <row r="709" spans="1:17" ht="13" x14ac:dyDescent="0.15">
      <c r="A709" s="249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</row>
    <row r="710" spans="1:17" ht="13" x14ac:dyDescent="0.15">
      <c r="A710" s="249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</row>
    <row r="711" spans="1:17" ht="13" x14ac:dyDescent="0.15">
      <c r="A711" s="249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</row>
    <row r="712" spans="1:17" ht="13" x14ac:dyDescent="0.15">
      <c r="A712" s="249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</row>
    <row r="713" spans="1:17" ht="13" x14ac:dyDescent="0.15">
      <c r="A713" s="249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</row>
    <row r="714" spans="1:17" ht="13" x14ac:dyDescent="0.15">
      <c r="A714" s="249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</row>
    <row r="715" spans="1:17" ht="13" x14ac:dyDescent="0.15">
      <c r="A715" s="249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</row>
    <row r="716" spans="1:17" ht="13" x14ac:dyDescent="0.15">
      <c r="A716" s="249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</row>
    <row r="717" spans="1:17" ht="13" x14ac:dyDescent="0.15">
      <c r="A717" s="249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</row>
    <row r="718" spans="1:17" ht="13" x14ac:dyDescent="0.15">
      <c r="A718" s="249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</row>
    <row r="719" spans="1:17" ht="13" x14ac:dyDescent="0.15">
      <c r="A719" s="249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</row>
    <row r="720" spans="1:17" ht="13" x14ac:dyDescent="0.15">
      <c r="A720" s="249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</row>
    <row r="721" spans="1:17" ht="13" x14ac:dyDescent="0.15">
      <c r="A721" s="249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</row>
    <row r="722" spans="1:17" ht="13" x14ac:dyDescent="0.15">
      <c r="A722" s="249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</row>
    <row r="723" spans="1:17" ht="13" x14ac:dyDescent="0.15">
      <c r="A723" s="249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</row>
    <row r="724" spans="1:17" ht="13" x14ac:dyDescent="0.15">
      <c r="A724" s="249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</row>
    <row r="725" spans="1:17" ht="13" x14ac:dyDescent="0.15">
      <c r="A725" s="249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</row>
    <row r="726" spans="1:17" ht="13" x14ac:dyDescent="0.15">
      <c r="A726" s="249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</row>
    <row r="727" spans="1:17" ht="13" x14ac:dyDescent="0.15">
      <c r="A727" s="249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</row>
    <row r="728" spans="1:17" ht="13" x14ac:dyDescent="0.15">
      <c r="A728" s="249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</row>
    <row r="729" spans="1:17" ht="13" x14ac:dyDescent="0.15">
      <c r="A729" s="249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</row>
    <row r="730" spans="1:17" ht="13" x14ac:dyDescent="0.15">
      <c r="A730" s="249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</row>
    <row r="731" spans="1:17" ht="13" x14ac:dyDescent="0.15">
      <c r="A731" s="249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</row>
    <row r="732" spans="1:17" ht="13" x14ac:dyDescent="0.15">
      <c r="A732" s="249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</row>
    <row r="733" spans="1:17" ht="13" x14ac:dyDescent="0.15">
      <c r="A733" s="249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</row>
    <row r="734" spans="1:17" ht="13" x14ac:dyDescent="0.15">
      <c r="A734" s="249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</row>
    <row r="735" spans="1:17" ht="13" x14ac:dyDescent="0.15">
      <c r="A735" s="249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</row>
    <row r="736" spans="1:17" ht="13" x14ac:dyDescent="0.15">
      <c r="A736" s="249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</row>
    <row r="737" spans="1:17" ht="13" x14ac:dyDescent="0.15">
      <c r="A737" s="249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</row>
    <row r="738" spans="1:17" ht="13" x14ac:dyDescent="0.15">
      <c r="A738" s="249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</row>
    <row r="739" spans="1:17" ht="13" x14ac:dyDescent="0.15">
      <c r="A739" s="249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</row>
    <row r="740" spans="1:17" ht="13" x14ac:dyDescent="0.15">
      <c r="A740" s="249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</row>
    <row r="741" spans="1:17" ht="13" x14ac:dyDescent="0.15">
      <c r="A741" s="249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</row>
    <row r="742" spans="1:17" ht="13" x14ac:dyDescent="0.15">
      <c r="A742" s="249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</row>
    <row r="743" spans="1:17" ht="13" x14ac:dyDescent="0.15">
      <c r="A743" s="249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</row>
    <row r="744" spans="1:17" ht="13" x14ac:dyDescent="0.15">
      <c r="A744" s="249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</row>
    <row r="745" spans="1:17" ht="13" x14ac:dyDescent="0.15">
      <c r="A745" s="249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</row>
    <row r="746" spans="1:17" ht="13" x14ac:dyDescent="0.15">
      <c r="A746" s="249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</row>
    <row r="747" spans="1:17" ht="13" x14ac:dyDescent="0.15">
      <c r="A747" s="249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</row>
    <row r="748" spans="1:17" ht="13" x14ac:dyDescent="0.15">
      <c r="A748" s="249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</row>
    <row r="749" spans="1:17" ht="13" x14ac:dyDescent="0.15">
      <c r="A749" s="249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</row>
    <row r="750" spans="1:17" ht="13" x14ac:dyDescent="0.15">
      <c r="A750" s="249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</row>
    <row r="751" spans="1:17" ht="13" x14ac:dyDescent="0.15">
      <c r="A751" s="249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</row>
    <row r="752" spans="1:17" ht="13" x14ac:dyDescent="0.15">
      <c r="A752" s="249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</row>
    <row r="753" spans="1:17" ht="13" x14ac:dyDescent="0.15">
      <c r="A753" s="249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</row>
    <row r="754" spans="1:17" ht="13" x14ac:dyDescent="0.15">
      <c r="A754" s="249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</row>
    <row r="755" spans="1:17" ht="13" x14ac:dyDescent="0.15">
      <c r="A755" s="249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</row>
    <row r="756" spans="1:17" ht="13" x14ac:dyDescent="0.15">
      <c r="A756" s="249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</row>
    <row r="757" spans="1:17" ht="13" x14ac:dyDescent="0.15">
      <c r="A757" s="249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</row>
    <row r="758" spans="1:17" ht="13" x14ac:dyDescent="0.15">
      <c r="A758" s="249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</row>
    <row r="759" spans="1:17" ht="13" x14ac:dyDescent="0.15">
      <c r="A759" s="249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</row>
    <row r="760" spans="1:17" ht="13" x14ac:dyDescent="0.15">
      <c r="A760" s="249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</row>
    <row r="761" spans="1:17" ht="13" x14ac:dyDescent="0.15">
      <c r="A761" s="249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</row>
    <row r="762" spans="1:17" ht="13" x14ac:dyDescent="0.15">
      <c r="A762" s="249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</row>
    <row r="763" spans="1:17" ht="13" x14ac:dyDescent="0.15">
      <c r="A763" s="249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</row>
    <row r="764" spans="1:17" ht="13" x14ac:dyDescent="0.15">
      <c r="A764" s="249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</row>
    <row r="765" spans="1:17" ht="13" x14ac:dyDescent="0.15">
      <c r="A765" s="249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</row>
    <row r="766" spans="1:17" ht="13" x14ac:dyDescent="0.15">
      <c r="A766" s="249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</row>
    <row r="767" spans="1:17" ht="13" x14ac:dyDescent="0.15">
      <c r="A767" s="249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</row>
    <row r="768" spans="1:17" ht="13" x14ac:dyDescent="0.15">
      <c r="A768" s="249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</row>
    <row r="769" spans="1:17" ht="13" x14ac:dyDescent="0.15">
      <c r="A769" s="249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</row>
    <row r="770" spans="1:17" ht="13" x14ac:dyDescent="0.15">
      <c r="A770" s="249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</row>
    <row r="771" spans="1:17" ht="13" x14ac:dyDescent="0.15">
      <c r="A771" s="249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</row>
    <row r="772" spans="1:17" ht="13" x14ac:dyDescent="0.15">
      <c r="A772" s="249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</row>
    <row r="773" spans="1:17" ht="13" x14ac:dyDescent="0.15">
      <c r="A773" s="249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</row>
    <row r="774" spans="1:17" ht="13" x14ac:dyDescent="0.15">
      <c r="A774" s="249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</row>
    <row r="775" spans="1:17" ht="13" x14ac:dyDescent="0.15">
      <c r="A775" s="249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</row>
    <row r="776" spans="1:17" ht="13" x14ac:dyDescent="0.15">
      <c r="A776" s="249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</row>
    <row r="777" spans="1:17" ht="13" x14ac:dyDescent="0.15">
      <c r="A777" s="249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</row>
    <row r="778" spans="1:17" ht="13" x14ac:dyDescent="0.15">
      <c r="A778" s="249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</row>
    <row r="779" spans="1:17" ht="13" x14ac:dyDescent="0.15">
      <c r="A779" s="249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</row>
    <row r="780" spans="1:17" ht="13" x14ac:dyDescent="0.15">
      <c r="A780" s="249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</row>
    <row r="781" spans="1:17" ht="13" x14ac:dyDescent="0.15">
      <c r="A781" s="249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</row>
    <row r="782" spans="1:17" ht="13" x14ac:dyDescent="0.15">
      <c r="A782" s="249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</row>
    <row r="783" spans="1:17" ht="13" x14ac:dyDescent="0.15">
      <c r="A783" s="249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</row>
    <row r="784" spans="1:17" ht="13" x14ac:dyDescent="0.15">
      <c r="A784" s="249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</row>
    <row r="785" spans="1:17" ht="13" x14ac:dyDescent="0.15">
      <c r="A785" s="249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</row>
    <row r="786" spans="1:17" ht="13" x14ac:dyDescent="0.15">
      <c r="A786" s="249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</row>
    <row r="787" spans="1:17" ht="13" x14ac:dyDescent="0.15">
      <c r="A787" s="249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</row>
    <row r="788" spans="1:17" ht="13" x14ac:dyDescent="0.15">
      <c r="A788" s="249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</row>
    <row r="789" spans="1:17" ht="13" x14ac:dyDescent="0.15">
      <c r="A789" s="249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</row>
    <row r="790" spans="1:17" ht="13" x14ac:dyDescent="0.15">
      <c r="A790" s="249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</row>
    <row r="791" spans="1:17" ht="13" x14ac:dyDescent="0.15">
      <c r="A791" s="249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</row>
    <row r="792" spans="1:17" ht="13" x14ac:dyDescent="0.15">
      <c r="A792" s="249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</row>
    <row r="793" spans="1:17" ht="13" x14ac:dyDescent="0.15">
      <c r="A793" s="249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</row>
    <row r="794" spans="1:17" ht="13" x14ac:dyDescent="0.15">
      <c r="A794" s="249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</row>
    <row r="795" spans="1:17" ht="13" x14ac:dyDescent="0.15">
      <c r="A795" s="249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</row>
    <row r="796" spans="1:17" ht="13" x14ac:dyDescent="0.15">
      <c r="A796" s="249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</row>
    <row r="797" spans="1:17" ht="13" x14ac:dyDescent="0.15">
      <c r="A797" s="249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</row>
    <row r="798" spans="1:17" ht="13" x14ac:dyDescent="0.15">
      <c r="A798" s="249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</row>
    <row r="799" spans="1:17" ht="13" x14ac:dyDescent="0.15">
      <c r="A799" s="249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</row>
    <row r="800" spans="1:17" ht="13" x14ac:dyDescent="0.15">
      <c r="A800" s="249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</row>
    <row r="801" spans="1:17" ht="13" x14ac:dyDescent="0.15">
      <c r="A801" s="249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</row>
    <row r="802" spans="1:17" ht="13" x14ac:dyDescent="0.15">
      <c r="A802" s="249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</row>
    <row r="803" spans="1:17" ht="13" x14ac:dyDescent="0.15">
      <c r="A803" s="249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</row>
    <row r="804" spans="1:17" ht="13" x14ac:dyDescent="0.15">
      <c r="A804" s="249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</row>
    <row r="805" spans="1:17" ht="13" x14ac:dyDescent="0.15">
      <c r="A805" s="249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</row>
    <row r="806" spans="1:17" ht="13" x14ac:dyDescent="0.15">
      <c r="A806" s="249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</row>
    <row r="807" spans="1:17" ht="13" x14ac:dyDescent="0.15">
      <c r="A807" s="249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</row>
    <row r="808" spans="1:17" ht="13" x14ac:dyDescent="0.15">
      <c r="A808" s="249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</row>
    <row r="809" spans="1:17" ht="13" x14ac:dyDescent="0.15">
      <c r="A809" s="249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</row>
    <row r="810" spans="1:17" ht="13" x14ac:dyDescent="0.15">
      <c r="A810" s="249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</row>
    <row r="811" spans="1:17" ht="13" x14ac:dyDescent="0.15">
      <c r="A811" s="249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</row>
    <row r="812" spans="1:17" ht="13" x14ac:dyDescent="0.15">
      <c r="A812" s="249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</row>
    <row r="813" spans="1:17" ht="13" x14ac:dyDescent="0.15">
      <c r="A813" s="249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</row>
    <row r="814" spans="1:17" ht="13" x14ac:dyDescent="0.15">
      <c r="A814" s="249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</row>
    <row r="815" spans="1:17" ht="13" x14ac:dyDescent="0.15">
      <c r="A815" s="249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</row>
    <row r="816" spans="1:17" ht="13" x14ac:dyDescent="0.15">
      <c r="A816" s="249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</row>
    <row r="817" spans="1:17" ht="13" x14ac:dyDescent="0.15">
      <c r="A817" s="249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</row>
    <row r="818" spans="1:17" ht="13" x14ac:dyDescent="0.15">
      <c r="A818" s="249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</row>
    <row r="819" spans="1:17" ht="13" x14ac:dyDescent="0.15">
      <c r="A819" s="249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</row>
    <row r="820" spans="1:17" ht="13" x14ac:dyDescent="0.15">
      <c r="A820" s="249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</row>
    <row r="821" spans="1:17" ht="13" x14ac:dyDescent="0.15">
      <c r="A821" s="249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</row>
    <row r="822" spans="1:17" ht="13" x14ac:dyDescent="0.15">
      <c r="A822" s="249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</row>
    <row r="823" spans="1:17" ht="13" x14ac:dyDescent="0.15">
      <c r="A823" s="249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</row>
    <row r="824" spans="1:17" ht="13" x14ac:dyDescent="0.15">
      <c r="A824" s="249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</row>
    <row r="825" spans="1:17" ht="13" x14ac:dyDescent="0.15">
      <c r="A825" s="249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</row>
    <row r="826" spans="1:17" ht="13" x14ac:dyDescent="0.15">
      <c r="A826" s="249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</row>
    <row r="827" spans="1:17" ht="13" x14ac:dyDescent="0.15">
      <c r="A827" s="249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</row>
    <row r="828" spans="1:17" ht="13" x14ac:dyDescent="0.15">
      <c r="A828" s="249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</row>
    <row r="829" spans="1:17" ht="13" x14ac:dyDescent="0.15">
      <c r="A829" s="249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</row>
    <row r="830" spans="1:17" ht="13" x14ac:dyDescent="0.15">
      <c r="A830" s="249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</row>
    <row r="831" spans="1:17" ht="13" x14ac:dyDescent="0.15">
      <c r="A831" s="249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</row>
    <row r="832" spans="1:17" ht="13" x14ac:dyDescent="0.15">
      <c r="A832" s="249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</row>
    <row r="833" spans="1:17" ht="13" x14ac:dyDescent="0.15">
      <c r="A833" s="249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</row>
    <row r="834" spans="1:17" ht="13" x14ac:dyDescent="0.15">
      <c r="A834" s="249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</row>
    <row r="835" spans="1:17" ht="13" x14ac:dyDescent="0.15">
      <c r="A835" s="249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</row>
    <row r="836" spans="1:17" ht="13" x14ac:dyDescent="0.15">
      <c r="A836" s="249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</row>
    <row r="837" spans="1:17" ht="13" x14ac:dyDescent="0.15">
      <c r="A837" s="249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</row>
    <row r="838" spans="1:17" ht="13" x14ac:dyDescent="0.15">
      <c r="A838" s="249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</row>
    <row r="839" spans="1:17" ht="13" x14ac:dyDescent="0.15">
      <c r="A839" s="249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</row>
    <row r="840" spans="1:17" ht="13" x14ac:dyDescent="0.15">
      <c r="A840" s="249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</row>
    <row r="841" spans="1:17" ht="13" x14ac:dyDescent="0.15">
      <c r="A841" s="249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</row>
    <row r="842" spans="1:17" ht="13" x14ac:dyDescent="0.15">
      <c r="A842" s="249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</row>
    <row r="843" spans="1:17" ht="13" x14ac:dyDescent="0.15">
      <c r="A843" s="249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</row>
    <row r="844" spans="1:17" ht="13" x14ac:dyDescent="0.15">
      <c r="A844" s="249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</row>
    <row r="845" spans="1:17" ht="13" x14ac:dyDescent="0.15">
      <c r="A845" s="249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</row>
    <row r="846" spans="1:17" ht="13" x14ac:dyDescent="0.15">
      <c r="A846" s="249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</row>
    <row r="847" spans="1:17" ht="13" x14ac:dyDescent="0.15">
      <c r="A847" s="249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</row>
    <row r="848" spans="1:17" ht="13" x14ac:dyDescent="0.15">
      <c r="A848" s="249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</row>
    <row r="849" spans="1:17" ht="13" x14ac:dyDescent="0.15">
      <c r="A849" s="249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</row>
    <row r="850" spans="1:17" ht="13" x14ac:dyDescent="0.15">
      <c r="A850" s="249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</row>
    <row r="851" spans="1:17" ht="13" x14ac:dyDescent="0.15">
      <c r="A851" s="249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</row>
    <row r="852" spans="1:17" ht="13" x14ac:dyDescent="0.15">
      <c r="A852" s="249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</row>
    <row r="853" spans="1:17" ht="13" x14ac:dyDescent="0.15">
      <c r="A853" s="249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</row>
    <row r="854" spans="1:17" ht="13" x14ac:dyDescent="0.15">
      <c r="A854" s="249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</row>
    <row r="855" spans="1:17" ht="13" x14ac:dyDescent="0.15">
      <c r="A855" s="249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</row>
    <row r="856" spans="1:17" ht="13" x14ac:dyDescent="0.15">
      <c r="A856" s="249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</row>
    <row r="857" spans="1:17" ht="13" x14ac:dyDescent="0.15">
      <c r="A857" s="249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</row>
    <row r="858" spans="1:17" ht="13" x14ac:dyDescent="0.15">
      <c r="A858" s="249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</row>
    <row r="859" spans="1:17" ht="13" x14ac:dyDescent="0.15">
      <c r="A859" s="249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</row>
    <row r="860" spans="1:17" ht="13" x14ac:dyDescent="0.15">
      <c r="A860" s="249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</row>
    <row r="861" spans="1:17" ht="13" x14ac:dyDescent="0.15">
      <c r="A861" s="249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</row>
    <row r="862" spans="1:17" ht="13" x14ac:dyDescent="0.15">
      <c r="A862" s="249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</row>
    <row r="863" spans="1:17" ht="13" x14ac:dyDescent="0.15">
      <c r="A863" s="249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</row>
    <row r="864" spans="1:17" ht="13" x14ac:dyDescent="0.15">
      <c r="A864" s="249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</row>
    <row r="865" spans="1:17" ht="13" x14ac:dyDescent="0.15">
      <c r="A865" s="249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</row>
    <row r="866" spans="1:17" ht="13" x14ac:dyDescent="0.15">
      <c r="A866" s="249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</row>
    <row r="867" spans="1:17" ht="13" x14ac:dyDescent="0.15">
      <c r="A867" s="249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</row>
    <row r="868" spans="1:17" ht="13" x14ac:dyDescent="0.15">
      <c r="A868" s="249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</row>
    <row r="869" spans="1:17" ht="13" x14ac:dyDescent="0.15">
      <c r="A869" s="249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</row>
    <row r="870" spans="1:17" ht="13" x14ac:dyDescent="0.15">
      <c r="A870" s="249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</row>
    <row r="871" spans="1:17" ht="13" x14ac:dyDescent="0.15">
      <c r="A871" s="249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</row>
    <row r="872" spans="1:17" ht="13" x14ac:dyDescent="0.15">
      <c r="A872" s="249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</row>
    <row r="873" spans="1:17" ht="13" x14ac:dyDescent="0.15">
      <c r="A873" s="249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</row>
    <row r="874" spans="1:17" ht="13" x14ac:dyDescent="0.15">
      <c r="A874" s="249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</row>
    <row r="875" spans="1:17" ht="13" x14ac:dyDescent="0.15">
      <c r="A875" s="249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</row>
    <row r="876" spans="1:17" ht="13" x14ac:dyDescent="0.15">
      <c r="A876" s="249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</row>
    <row r="877" spans="1:17" ht="13" x14ac:dyDescent="0.15">
      <c r="A877" s="249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</row>
    <row r="878" spans="1:17" ht="15" customHeight="1" x14ac:dyDescent="0.15">
      <c r="A878" s="249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</row>
    <row r="879" spans="1:17" ht="15" customHeight="1" x14ac:dyDescent="0.15">
      <c r="A879" s="249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</row>
    <row r="880" spans="1:17" ht="15" customHeight="1" x14ac:dyDescent="0.15">
      <c r="A880" s="249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</row>
    <row r="881" spans="1:14" ht="15" customHeight="1" x14ac:dyDescent="0.15">
      <c r="A881" s="249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</row>
    <row r="882" spans="1:14" ht="15" customHeight="1" x14ac:dyDescent="0.15">
      <c r="A882" s="249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</row>
    <row r="883" spans="1:14" ht="15" customHeight="1" x14ac:dyDescent="0.15">
      <c r="A883" s="249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</row>
    <row r="884" spans="1:14" ht="15" customHeight="1" x14ac:dyDescent="0.15">
      <c r="A884" s="249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</row>
    <row r="885" spans="1:14" ht="15" customHeight="1" x14ac:dyDescent="0.15">
      <c r="A885" s="249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</row>
    <row r="886" spans="1:14" ht="15" customHeight="1" x14ac:dyDescent="0.15">
      <c r="A886" s="249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</row>
    <row r="887" spans="1:14" ht="15" customHeight="1" x14ac:dyDescent="0.15">
      <c r="A887" s="249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</row>
    <row r="888" spans="1:14" ht="15" customHeight="1" x14ac:dyDescent="0.15">
      <c r="A888" s="249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</row>
    <row r="889" spans="1:14" ht="15" customHeight="1" x14ac:dyDescent="0.15">
      <c r="A889" s="249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</row>
    <row r="890" spans="1:14" ht="15" customHeight="1" x14ac:dyDescent="0.15">
      <c r="A890" s="249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</row>
    <row r="891" spans="1:14" ht="15" customHeight="1" x14ac:dyDescent="0.15">
      <c r="A891" s="249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</row>
    <row r="892" spans="1:14" ht="15" customHeight="1" x14ac:dyDescent="0.15">
      <c r="A892" s="249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</row>
    <row r="893" spans="1:14" ht="15" customHeight="1" x14ac:dyDescent="0.15">
      <c r="A893" s="249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</row>
    <row r="894" spans="1:14" ht="15" customHeight="1" x14ac:dyDescent="0.15">
      <c r="A894" s="249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</row>
    <row r="895" spans="1:14" ht="15" customHeight="1" x14ac:dyDescent="0.15">
      <c r="A895" s="249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</row>
    <row r="896" spans="1:14" ht="15" customHeight="1" x14ac:dyDescent="0.15">
      <c r="A896" s="249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</row>
    <row r="897" spans="1:14" ht="15" customHeight="1" x14ac:dyDescent="0.15">
      <c r="A897" s="249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</row>
    <row r="898" spans="1:14" ht="15" customHeight="1" x14ac:dyDescent="0.15">
      <c r="A898" s="249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</row>
    <row r="899" spans="1:14" ht="15" customHeight="1" x14ac:dyDescent="0.15">
      <c r="A899" s="249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</row>
    <row r="900" spans="1:14" ht="15" customHeight="1" x14ac:dyDescent="0.15">
      <c r="A900" s="249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</row>
    <row r="901" spans="1:14" ht="15" customHeight="1" x14ac:dyDescent="0.15">
      <c r="A901" s="249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</row>
    <row r="902" spans="1:14" ht="15" customHeight="1" x14ac:dyDescent="0.15">
      <c r="A902" s="249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</row>
    <row r="903" spans="1:14" ht="15" customHeight="1" x14ac:dyDescent="0.15">
      <c r="A903" s="249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</row>
    <row r="904" spans="1:14" ht="15" customHeight="1" x14ac:dyDescent="0.15">
      <c r="A904" s="249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</row>
    <row r="905" spans="1:14" ht="15" customHeight="1" x14ac:dyDescent="0.15">
      <c r="A905" s="249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</row>
    <row r="906" spans="1:14" ht="15" customHeight="1" x14ac:dyDescent="0.15">
      <c r="A906" s="249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</row>
    <row r="907" spans="1:14" ht="15" customHeight="1" x14ac:dyDescent="0.15">
      <c r="A907" s="249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</row>
    <row r="908" spans="1:14" ht="15" customHeight="1" x14ac:dyDescent="0.15">
      <c r="A908" s="249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</row>
    <row r="909" spans="1:14" ht="15" customHeight="1" x14ac:dyDescent="0.15">
      <c r="A909" s="249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</row>
    <row r="910" spans="1:14" ht="15" customHeight="1" x14ac:dyDescent="0.15">
      <c r="A910" s="249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</row>
    <row r="911" spans="1:14" ht="15" customHeight="1" x14ac:dyDescent="0.15">
      <c r="A911" s="249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</row>
    <row r="912" spans="1:14" ht="15" customHeight="1" x14ac:dyDescent="0.15">
      <c r="A912" s="249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</row>
    <row r="913" spans="1:14" ht="15" customHeight="1" x14ac:dyDescent="0.15">
      <c r="A913" s="249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</row>
    <row r="914" spans="1:14" ht="15" customHeight="1" x14ac:dyDescent="0.15">
      <c r="A914" s="249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</row>
    <row r="915" spans="1:14" ht="15" customHeight="1" x14ac:dyDescent="0.15">
      <c r="A915" s="249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</row>
    <row r="916" spans="1:14" ht="15" customHeight="1" x14ac:dyDescent="0.15">
      <c r="A916" s="249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</row>
    <row r="917" spans="1:14" ht="15" customHeight="1" x14ac:dyDescent="0.15">
      <c r="A917" s="249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</row>
    <row r="918" spans="1:14" ht="15" customHeight="1" x14ac:dyDescent="0.15">
      <c r="A918" s="249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</row>
    <row r="919" spans="1:14" ht="15" customHeight="1" x14ac:dyDescent="0.15">
      <c r="A919" s="249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</row>
    <row r="920" spans="1:14" ht="15" customHeight="1" x14ac:dyDescent="0.15">
      <c r="A920" s="249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</row>
    <row r="921" spans="1:14" ht="15" customHeight="1" x14ac:dyDescent="0.15">
      <c r="A921" s="249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</row>
    <row r="922" spans="1:14" ht="15" customHeight="1" x14ac:dyDescent="0.15">
      <c r="A922" s="249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</row>
    <row r="923" spans="1:14" ht="15" customHeight="1" x14ac:dyDescent="0.15">
      <c r="A923" s="249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</row>
    <row r="924" spans="1:14" ht="15" customHeight="1" x14ac:dyDescent="0.15">
      <c r="A924" s="249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</row>
    <row r="925" spans="1:14" ht="15" customHeight="1" x14ac:dyDescent="0.15">
      <c r="A925" s="249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</row>
    <row r="926" spans="1:14" ht="15" customHeight="1" x14ac:dyDescent="0.15">
      <c r="A926" s="249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</row>
    <row r="927" spans="1:14" ht="15" customHeight="1" x14ac:dyDescent="0.15">
      <c r="A927" s="249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</row>
    <row r="928" spans="1:14" ht="15" customHeight="1" x14ac:dyDescent="0.15">
      <c r="A928" s="249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</row>
    <row r="929" spans="1:14" ht="15" customHeight="1" x14ac:dyDescent="0.15">
      <c r="A929" s="249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</row>
    <row r="930" spans="1:14" ht="15" customHeight="1" x14ac:dyDescent="0.15">
      <c r="A930" s="249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</row>
    <row r="931" spans="1:14" ht="15" customHeight="1" x14ac:dyDescent="0.15">
      <c r="A931" s="249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</row>
    <row r="932" spans="1:14" ht="15" customHeight="1" x14ac:dyDescent="0.15">
      <c r="A932" s="249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</row>
    <row r="933" spans="1:14" ht="15" customHeight="1" x14ac:dyDescent="0.15">
      <c r="A933" s="249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</row>
    <row r="934" spans="1:14" ht="15" customHeight="1" x14ac:dyDescent="0.15">
      <c r="A934" s="249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</row>
    <row r="935" spans="1:14" ht="15" customHeight="1" x14ac:dyDescent="0.15">
      <c r="A935" s="249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</row>
    <row r="936" spans="1:14" ht="15" customHeight="1" x14ac:dyDescent="0.15">
      <c r="A936" s="249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</row>
    <row r="937" spans="1:14" ht="15" customHeight="1" x14ac:dyDescent="0.15">
      <c r="A937" s="249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</row>
    <row r="938" spans="1:14" ht="15" customHeight="1" x14ac:dyDescent="0.15">
      <c r="A938" s="249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</row>
    <row r="939" spans="1:14" ht="15" customHeight="1" x14ac:dyDescent="0.15">
      <c r="A939" s="249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</row>
    <row r="940" spans="1:14" ht="15" customHeight="1" x14ac:dyDescent="0.15">
      <c r="A940" s="249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</row>
    <row r="941" spans="1:14" ht="15" customHeight="1" x14ac:dyDescent="0.15">
      <c r="A941" s="249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</row>
    <row r="942" spans="1:14" ht="15" customHeight="1" x14ac:dyDescent="0.15">
      <c r="A942" s="249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</row>
    <row r="943" spans="1:14" ht="15" customHeight="1" x14ac:dyDescent="0.15">
      <c r="A943" s="249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</row>
    <row r="944" spans="1:14" ht="15" customHeight="1" x14ac:dyDescent="0.15">
      <c r="A944" s="249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</row>
    <row r="945" spans="1:14" ht="15" customHeight="1" x14ac:dyDescent="0.15">
      <c r="A945" s="249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</row>
    <row r="946" spans="1:14" ht="15" customHeight="1" x14ac:dyDescent="0.15">
      <c r="A946" s="249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</row>
    <row r="947" spans="1:14" ht="15" customHeight="1" x14ac:dyDescent="0.15">
      <c r="A947" s="249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</row>
    <row r="948" spans="1:14" ht="15" customHeight="1" x14ac:dyDescent="0.15">
      <c r="A948" s="249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</row>
    <row r="949" spans="1:14" ht="15" customHeight="1" x14ac:dyDescent="0.15">
      <c r="A949" s="249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</row>
    <row r="950" spans="1:14" ht="15" customHeight="1" x14ac:dyDescent="0.15">
      <c r="A950" s="249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</row>
    <row r="951" spans="1:14" ht="15" customHeight="1" x14ac:dyDescent="0.15">
      <c r="A951" s="249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</row>
    <row r="952" spans="1:14" ht="15" customHeight="1" x14ac:dyDescent="0.15">
      <c r="A952" s="249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</row>
    <row r="953" spans="1:14" ht="15" customHeight="1" x14ac:dyDescent="0.15">
      <c r="A953" s="249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</row>
    <row r="954" spans="1:14" ht="15" customHeight="1" x14ac:dyDescent="0.15">
      <c r="A954" s="249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</row>
    <row r="955" spans="1:14" ht="15" customHeight="1" x14ac:dyDescent="0.15">
      <c r="A955" s="249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</row>
    <row r="956" spans="1:14" ht="15" customHeight="1" x14ac:dyDescent="0.15">
      <c r="A956" s="249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</row>
    <row r="957" spans="1:14" ht="15" customHeight="1" x14ac:dyDescent="0.15">
      <c r="A957" s="249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</row>
    <row r="958" spans="1:14" ht="15" customHeight="1" x14ac:dyDescent="0.15">
      <c r="A958" s="249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</row>
    <row r="959" spans="1:14" ht="15" customHeight="1" x14ac:dyDescent="0.15">
      <c r="A959" s="249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</row>
    <row r="960" spans="1:14" ht="15" customHeight="1" x14ac:dyDescent="0.15">
      <c r="A960" s="249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</row>
    <row r="961" spans="1:14" ht="15" customHeight="1" x14ac:dyDescent="0.15">
      <c r="A961" s="249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</row>
    <row r="962" spans="1:14" ht="15" customHeight="1" x14ac:dyDescent="0.15">
      <c r="A962" s="249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</row>
    <row r="963" spans="1:14" ht="15" customHeight="1" x14ac:dyDescent="0.15">
      <c r="A963" s="249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</row>
    <row r="964" spans="1:14" ht="15" customHeight="1" x14ac:dyDescent="0.15">
      <c r="A964" s="249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</row>
    <row r="965" spans="1:14" ht="15" customHeight="1" x14ac:dyDescent="0.15">
      <c r="A965" s="249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</row>
    <row r="966" spans="1:14" ht="15" customHeight="1" x14ac:dyDescent="0.15">
      <c r="A966" s="249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</row>
    <row r="967" spans="1:14" ht="15" customHeight="1" x14ac:dyDescent="0.15">
      <c r="A967" s="249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</row>
    <row r="968" spans="1:14" ht="15" customHeight="1" x14ac:dyDescent="0.15">
      <c r="A968" s="249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</row>
    <row r="969" spans="1:14" ht="15" customHeight="1" x14ac:dyDescent="0.15">
      <c r="A969" s="249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</row>
    <row r="970" spans="1:14" ht="15" customHeight="1" x14ac:dyDescent="0.15">
      <c r="A970" s="249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</row>
    <row r="971" spans="1:14" ht="15" customHeight="1" x14ac:dyDescent="0.15">
      <c r="A971" s="249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</row>
    <row r="972" spans="1:14" ht="15" customHeight="1" x14ac:dyDescent="0.15">
      <c r="A972" s="249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</row>
    <row r="973" spans="1:14" ht="15" customHeight="1" x14ac:dyDescent="0.15">
      <c r="A973" s="249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</row>
    <row r="974" spans="1:14" ht="15" customHeight="1" x14ac:dyDescent="0.15">
      <c r="A974" s="249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</row>
    <row r="975" spans="1:14" ht="15" customHeight="1" x14ac:dyDescent="0.15">
      <c r="A975" s="249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</row>
    <row r="976" spans="1:14" ht="15" customHeight="1" x14ac:dyDescent="0.15">
      <c r="A976" s="249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</row>
    <row r="977" spans="1:14" ht="15" customHeight="1" x14ac:dyDescent="0.15">
      <c r="A977" s="249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</row>
    <row r="978" spans="1:14" ht="15" customHeight="1" x14ac:dyDescent="0.15">
      <c r="A978" s="249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</row>
    <row r="979" spans="1:14" ht="15" customHeight="1" x14ac:dyDescent="0.15">
      <c r="A979" s="249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</row>
    <row r="980" spans="1:14" ht="15" customHeight="1" x14ac:dyDescent="0.15">
      <c r="A980" s="249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</row>
    <row r="981" spans="1:14" ht="15" customHeight="1" x14ac:dyDescent="0.15">
      <c r="A981" s="249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</row>
    <row r="982" spans="1:14" ht="15" customHeight="1" x14ac:dyDescent="0.15">
      <c r="A982" s="249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</row>
    <row r="983" spans="1:14" ht="15" customHeight="1" x14ac:dyDescent="0.15">
      <c r="A983" s="249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</row>
    <row r="984" spans="1:14" ht="15" customHeight="1" x14ac:dyDescent="0.15">
      <c r="A984" s="249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</row>
    <row r="985" spans="1:14" ht="15" customHeight="1" x14ac:dyDescent="0.15">
      <c r="A985" s="249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</row>
    <row r="986" spans="1:14" ht="15" customHeight="1" x14ac:dyDescent="0.15">
      <c r="A986" s="249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</row>
    <row r="987" spans="1:14" ht="15" customHeight="1" x14ac:dyDescent="0.15">
      <c r="A987" s="249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</row>
    <row r="988" spans="1:14" ht="15" customHeight="1" x14ac:dyDescent="0.15">
      <c r="A988" s="249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</row>
    <row r="989" spans="1:14" ht="15" customHeight="1" x14ac:dyDescent="0.15">
      <c r="A989" s="249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</row>
    <row r="990" spans="1:14" ht="15" customHeight="1" x14ac:dyDescent="0.15">
      <c r="A990" s="249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</row>
    <row r="991" spans="1:14" ht="15" customHeight="1" x14ac:dyDescent="0.15">
      <c r="A991" s="249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</row>
    <row r="992" spans="1:14" ht="15" customHeight="1" x14ac:dyDescent="0.15">
      <c r="A992" s="249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</row>
    <row r="993" spans="1:14" ht="15" customHeight="1" x14ac:dyDescent="0.15">
      <c r="A993" s="249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</row>
    <row r="994" spans="1:14" ht="15" customHeight="1" x14ac:dyDescent="0.15">
      <c r="A994" s="249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</row>
    <row r="995" spans="1:14" ht="15" customHeight="1" x14ac:dyDescent="0.15">
      <c r="A995" s="249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</row>
    <row r="996" spans="1:14" ht="15" customHeight="1" x14ac:dyDescent="0.15">
      <c r="A996" s="249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</row>
    <row r="997" spans="1:14" ht="15" customHeight="1" x14ac:dyDescent="0.15">
      <c r="A997" s="249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</row>
    <row r="998" spans="1:14" ht="15" customHeight="1" x14ac:dyDescent="0.15">
      <c r="A998" s="249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</row>
    <row r="999" spans="1:14" ht="15" customHeight="1" x14ac:dyDescent="0.15">
      <c r="A999" s="249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</row>
    <row r="1000" spans="1:14" ht="15" customHeight="1" x14ac:dyDescent="0.15">
      <c r="A1000" s="249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</row>
    <row r="1001" spans="1:14" ht="15" customHeight="1" x14ac:dyDescent="0.15">
      <c r="A1001" s="249"/>
      <c r="B1001" s="249"/>
      <c r="C1001" s="249"/>
      <c r="D1001" s="249"/>
      <c r="E1001" s="249"/>
      <c r="F1001" s="249"/>
      <c r="G1001" s="249"/>
      <c r="H1001" s="249"/>
      <c r="I1001" s="249"/>
      <c r="J1001" s="249"/>
      <c r="K1001" s="249"/>
      <c r="L1001" s="249"/>
      <c r="M1001" s="249"/>
      <c r="N1001" s="249"/>
    </row>
    <row r="1002" spans="1:14" ht="15" customHeight="1" x14ac:dyDescent="0.15">
      <c r="A1002" s="249"/>
      <c r="B1002" s="249"/>
      <c r="C1002" s="249"/>
      <c r="D1002" s="249"/>
      <c r="E1002" s="249"/>
      <c r="F1002" s="249"/>
      <c r="G1002" s="249"/>
      <c r="H1002" s="249"/>
      <c r="I1002" s="249"/>
      <c r="J1002" s="249"/>
      <c r="K1002" s="249"/>
      <c r="L1002" s="249"/>
      <c r="M1002" s="249"/>
      <c r="N1002" s="249"/>
    </row>
    <row r="1003" spans="1:14" ht="15" customHeight="1" x14ac:dyDescent="0.15">
      <c r="A1003" s="249"/>
      <c r="B1003" s="249"/>
      <c r="C1003" s="249"/>
      <c r="D1003" s="249"/>
      <c r="E1003" s="249"/>
      <c r="F1003" s="249"/>
      <c r="G1003" s="249"/>
      <c r="H1003" s="249"/>
      <c r="I1003" s="249"/>
      <c r="J1003" s="249"/>
      <c r="K1003" s="249"/>
      <c r="L1003" s="249"/>
      <c r="M1003" s="249"/>
      <c r="N1003" s="249"/>
    </row>
    <row r="1004" spans="1:14" ht="15" customHeight="1" x14ac:dyDescent="0.15">
      <c r="A1004" s="249"/>
      <c r="B1004" s="249"/>
      <c r="C1004" s="249"/>
      <c r="D1004" s="249"/>
      <c r="E1004" s="249"/>
      <c r="F1004" s="249"/>
      <c r="G1004" s="249"/>
      <c r="H1004" s="249"/>
      <c r="I1004" s="249"/>
      <c r="J1004" s="249"/>
      <c r="K1004" s="249"/>
      <c r="L1004" s="249"/>
      <c r="M1004" s="249"/>
      <c r="N1004" s="249"/>
    </row>
    <row r="1005" spans="1:14" ht="15" customHeight="1" x14ac:dyDescent="0.15">
      <c r="A1005" s="249"/>
      <c r="B1005" s="249"/>
      <c r="C1005" s="249"/>
      <c r="D1005" s="249"/>
      <c r="E1005" s="249"/>
      <c r="F1005" s="249"/>
      <c r="G1005" s="249"/>
      <c r="H1005" s="249"/>
      <c r="I1005" s="249"/>
      <c r="J1005" s="249"/>
      <c r="K1005" s="249"/>
      <c r="L1005" s="249"/>
      <c r="M1005" s="249"/>
      <c r="N1005" s="249"/>
    </row>
    <row r="1006" spans="1:14" ht="15" customHeight="1" x14ac:dyDescent="0.15">
      <c r="A1006" s="249"/>
      <c r="B1006" s="249"/>
      <c r="C1006" s="249"/>
      <c r="D1006" s="249"/>
      <c r="E1006" s="249"/>
      <c r="F1006" s="249"/>
      <c r="G1006" s="249"/>
      <c r="H1006" s="249"/>
      <c r="I1006" s="249"/>
      <c r="J1006" s="249"/>
      <c r="K1006" s="249"/>
      <c r="L1006" s="249"/>
      <c r="M1006" s="249"/>
      <c r="N1006" s="249"/>
    </row>
    <row r="1007" spans="1:14" ht="15" customHeight="1" x14ac:dyDescent="0.15">
      <c r="A1007" s="249"/>
      <c r="B1007" s="249"/>
      <c r="C1007" s="249"/>
      <c r="D1007" s="249"/>
      <c r="E1007" s="249"/>
      <c r="F1007" s="249"/>
      <c r="G1007" s="249"/>
      <c r="H1007" s="249"/>
      <c r="I1007" s="249"/>
      <c r="J1007" s="249"/>
      <c r="K1007" s="249"/>
      <c r="L1007" s="249"/>
      <c r="M1007" s="249"/>
      <c r="N1007" s="249"/>
    </row>
    <row r="1008" spans="1:14" ht="15" customHeight="1" x14ac:dyDescent="0.15">
      <c r="A1008" s="249"/>
      <c r="B1008" s="249"/>
      <c r="C1008" s="249"/>
      <c r="D1008" s="249"/>
      <c r="E1008" s="249"/>
      <c r="F1008" s="249"/>
      <c r="G1008" s="249"/>
      <c r="H1008" s="249"/>
      <c r="I1008" s="249"/>
      <c r="J1008" s="249"/>
      <c r="K1008" s="249"/>
      <c r="L1008" s="249"/>
      <c r="M1008" s="249"/>
      <c r="N1008" s="249"/>
    </row>
    <row r="1009" spans="1:14" ht="15" customHeight="1" x14ac:dyDescent="0.15">
      <c r="A1009" s="249"/>
      <c r="B1009" s="249"/>
      <c r="C1009" s="249"/>
      <c r="D1009" s="249"/>
      <c r="E1009" s="249"/>
      <c r="F1009" s="249"/>
      <c r="G1009" s="249"/>
      <c r="H1009" s="249"/>
      <c r="I1009" s="249"/>
      <c r="J1009" s="249"/>
      <c r="K1009" s="249"/>
      <c r="L1009" s="249"/>
      <c r="M1009" s="249"/>
      <c r="N1009" s="249"/>
    </row>
    <row r="1010" spans="1:14" ht="15" customHeight="1" x14ac:dyDescent="0.15">
      <c r="A1010" s="249"/>
      <c r="B1010" s="249"/>
      <c r="C1010" s="249"/>
      <c r="D1010" s="249"/>
      <c r="E1010" s="249"/>
      <c r="F1010" s="249"/>
      <c r="G1010" s="249"/>
      <c r="H1010" s="249"/>
      <c r="I1010" s="249"/>
      <c r="J1010" s="249"/>
      <c r="K1010" s="249"/>
      <c r="L1010" s="249"/>
      <c r="M1010" s="249"/>
      <c r="N1010" s="249"/>
    </row>
    <row r="1011" spans="1:14" ht="15" customHeight="1" x14ac:dyDescent="0.15">
      <c r="A1011" s="249"/>
      <c r="B1011" s="249"/>
      <c r="C1011" s="249"/>
      <c r="D1011" s="249"/>
      <c r="E1011" s="249"/>
      <c r="F1011" s="249"/>
      <c r="G1011" s="249"/>
      <c r="H1011" s="249"/>
      <c r="I1011" s="249"/>
      <c r="J1011" s="249"/>
      <c r="K1011" s="249"/>
      <c r="L1011" s="249"/>
      <c r="M1011" s="249"/>
      <c r="N1011" s="249"/>
    </row>
    <row r="1012" spans="1:14" ht="15" customHeight="1" x14ac:dyDescent="0.15">
      <c r="A1012" s="249"/>
      <c r="B1012" s="249"/>
      <c r="C1012" s="249"/>
      <c r="D1012" s="249"/>
      <c r="E1012" s="249"/>
      <c r="F1012" s="249"/>
      <c r="G1012" s="249"/>
      <c r="H1012" s="249"/>
      <c r="I1012" s="249"/>
      <c r="J1012" s="249"/>
      <c r="K1012" s="249"/>
      <c r="L1012" s="249"/>
      <c r="M1012" s="249"/>
      <c r="N1012" s="249"/>
    </row>
    <row r="1013" spans="1:14" ht="15" customHeight="1" x14ac:dyDescent="0.15">
      <c r="A1013" s="249"/>
      <c r="B1013" s="249"/>
      <c r="C1013" s="249"/>
      <c r="D1013" s="249"/>
      <c r="E1013" s="249"/>
      <c r="F1013" s="249"/>
      <c r="G1013" s="249"/>
      <c r="H1013" s="249"/>
      <c r="I1013" s="249"/>
      <c r="J1013" s="249"/>
      <c r="K1013" s="249"/>
      <c r="L1013" s="249"/>
      <c r="M1013" s="249"/>
      <c r="N1013" s="249"/>
    </row>
    <row r="1014" spans="1:14" ht="15" customHeight="1" x14ac:dyDescent="0.15">
      <c r="A1014" s="249"/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</row>
    <row r="1015" spans="1:14" ht="15" customHeight="1" x14ac:dyDescent="0.15">
      <c r="A1015" s="249"/>
      <c r="B1015" s="249"/>
      <c r="C1015" s="249"/>
      <c r="D1015" s="249"/>
      <c r="E1015" s="249"/>
      <c r="F1015" s="249"/>
      <c r="G1015" s="249"/>
      <c r="H1015" s="249"/>
      <c r="I1015" s="249"/>
      <c r="J1015" s="249"/>
      <c r="K1015" s="249"/>
      <c r="L1015" s="249"/>
      <c r="M1015" s="249"/>
      <c r="N1015" s="249"/>
    </row>
    <row r="1016" spans="1:14" ht="15" customHeight="1" x14ac:dyDescent="0.15">
      <c r="A1016" s="249"/>
      <c r="B1016" s="249"/>
      <c r="C1016" s="249"/>
      <c r="D1016" s="249"/>
      <c r="E1016" s="249"/>
      <c r="F1016" s="249"/>
      <c r="G1016" s="249"/>
      <c r="H1016" s="249"/>
      <c r="I1016" s="249"/>
      <c r="J1016" s="249"/>
      <c r="K1016" s="249"/>
      <c r="L1016" s="249"/>
      <c r="M1016" s="249"/>
      <c r="N1016" s="249"/>
    </row>
    <row r="1017" spans="1:14" ht="15" customHeight="1" x14ac:dyDescent="0.15">
      <c r="A1017" s="249"/>
      <c r="B1017" s="249"/>
      <c r="C1017" s="249"/>
      <c r="D1017" s="249"/>
      <c r="E1017" s="249"/>
      <c r="F1017" s="249"/>
      <c r="G1017" s="249"/>
      <c r="H1017" s="249"/>
      <c r="I1017" s="249"/>
      <c r="J1017" s="249"/>
      <c r="K1017" s="249"/>
      <c r="L1017" s="249"/>
      <c r="M1017" s="249"/>
      <c r="N1017" s="249"/>
    </row>
    <row r="1018" spans="1:14" ht="15" customHeight="1" x14ac:dyDescent="0.15">
      <c r="A1018" s="249"/>
      <c r="B1018" s="249"/>
      <c r="C1018" s="249"/>
      <c r="D1018" s="249"/>
      <c r="E1018" s="249"/>
      <c r="F1018" s="249"/>
      <c r="G1018" s="249"/>
      <c r="H1018" s="249"/>
      <c r="I1018" s="249"/>
      <c r="J1018" s="249"/>
      <c r="K1018" s="249"/>
      <c r="L1018" s="249"/>
      <c r="M1018" s="249"/>
      <c r="N1018" s="249"/>
    </row>
    <row r="1019" spans="1:14" ht="15" customHeight="1" x14ac:dyDescent="0.15">
      <c r="A1019" s="249"/>
      <c r="B1019" s="249"/>
      <c r="C1019" s="249"/>
      <c r="D1019" s="249"/>
      <c r="E1019" s="249"/>
      <c r="F1019" s="249"/>
      <c r="G1019" s="249"/>
      <c r="H1019" s="249"/>
      <c r="I1019" s="249"/>
      <c r="J1019" s="249"/>
      <c r="K1019" s="249"/>
      <c r="L1019" s="249"/>
      <c r="M1019" s="249"/>
      <c r="N1019" s="249"/>
    </row>
    <row r="1020" spans="1:14" ht="15" customHeight="1" x14ac:dyDescent="0.15">
      <c r="A1020" s="249"/>
      <c r="B1020" s="249"/>
      <c r="C1020" s="249"/>
      <c r="D1020" s="249"/>
      <c r="E1020" s="249"/>
      <c r="F1020" s="249"/>
      <c r="G1020" s="249"/>
      <c r="H1020" s="249"/>
      <c r="I1020" s="249"/>
      <c r="J1020" s="249"/>
      <c r="K1020" s="249"/>
      <c r="L1020" s="249"/>
      <c r="M1020" s="249"/>
      <c r="N1020" s="249"/>
    </row>
    <row r="1021" spans="1:14" ht="15" customHeight="1" x14ac:dyDescent="0.15">
      <c r="A1021" s="249"/>
      <c r="B1021" s="249"/>
      <c r="C1021" s="249"/>
      <c r="D1021" s="249"/>
      <c r="E1021" s="249"/>
      <c r="F1021" s="249"/>
      <c r="G1021" s="249"/>
      <c r="H1021" s="249"/>
      <c r="I1021" s="249"/>
      <c r="J1021" s="249"/>
      <c r="K1021" s="249"/>
      <c r="L1021" s="249"/>
      <c r="M1021" s="249"/>
      <c r="N1021" s="249"/>
    </row>
    <row r="1022" spans="1:14" ht="15" customHeight="1" x14ac:dyDescent="0.15">
      <c r="A1022" s="249"/>
      <c r="B1022" s="249"/>
      <c r="C1022" s="249"/>
      <c r="D1022" s="249"/>
      <c r="E1022" s="249"/>
      <c r="F1022" s="249"/>
      <c r="G1022" s="249"/>
      <c r="H1022" s="249"/>
      <c r="I1022" s="249"/>
      <c r="J1022" s="249"/>
      <c r="K1022" s="249"/>
      <c r="L1022" s="249"/>
      <c r="M1022" s="249"/>
      <c r="N1022" s="249"/>
    </row>
    <row r="1023" spans="1:14" ht="15" customHeight="1" x14ac:dyDescent="0.15">
      <c r="A1023" s="249"/>
      <c r="B1023" s="249"/>
      <c r="C1023" s="249"/>
      <c r="D1023" s="249"/>
      <c r="E1023" s="249"/>
      <c r="F1023" s="249"/>
      <c r="G1023" s="249"/>
      <c r="H1023" s="249"/>
      <c r="I1023" s="249"/>
      <c r="J1023" s="249"/>
      <c r="K1023" s="249"/>
      <c r="L1023" s="249"/>
      <c r="M1023" s="249"/>
      <c r="N1023" s="249"/>
    </row>
    <row r="1024" spans="1:14" ht="15" customHeight="1" x14ac:dyDescent="0.15">
      <c r="A1024" s="249"/>
      <c r="B1024" s="249"/>
      <c r="C1024" s="249"/>
      <c r="D1024" s="249"/>
      <c r="E1024" s="249"/>
      <c r="F1024" s="249"/>
      <c r="G1024" s="249"/>
      <c r="H1024" s="249"/>
      <c r="I1024" s="249"/>
      <c r="J1024" s="249"/>
      <c r="K1024" s="249"/>
      <c r="L1024" s="249"/>
      <c r="M1024" s="249"/>
      <c r="N1024" s="249"/>
    </row>
    <row r="1025" spans="1:14" ht="15" customHeight="1" x14ac:dyDescent="0.15">
      <c r="A1025" s="249"/>
      <c r="B1025" s="249"/>
      <c r="C1025" s="249"/>
      <c r="D1025" s="249"/>
      <c r="E1025" s="249"/>
      <c r="F1025" s="249"/>
      <c r="G1025" s="249"/>
      <c r="H1025" s="249"/>
      <c r="I1025" s="249"/>
      <c r="J1025" s="249"/>
      <c r="K1025" s="249"/>
      <c r="L1025" s="249"/>
      <c r="M1025" s="249"/>
      <c r="N1025" s="249"/>
    </row>
    <row r="1026" spans="1:14" ht="15" customHeight="1" x14ac:dyDescent="0.15">
      <c r="A1026" s="249"/>
      <c r="B1026" s="249"/>
      <c r="C1026" s="249"/>
      <c r="D1026" s="249"/>
      <c r="E1026" s="249"/>
      <c r="F1026" s="249"/>
      <c r="G1026" s="249"/>
      <c r="H1026" s="249"/>
      <c r="I1026" s="249"/>
      <c r="J1026" s="249"/>
      <c r="K1026" s="249"/>
      <c r="L1026" s="249"/>
      <c r="M1026" s="249"/>
      <c r="N1026" s="249"/>
    </row>
    <row r="1027" spans="1:14" ht="15" customHeight="1" x14ac:dyDescent="0.15">
      <c r="A1027" s="249"/>
      <c r="B1027" s="249"/>
      <c r="C1027" s="249"/>
      <c r="D1027" s="249"/>
      <c r="E1027" s="249"/>
      <c r="F1027" s="249"/>
      <c r="G1027" s="249"/>
      <c r="H1027" s="249"/>
      <c r="I1027" s="249"/>
      <c r="J1027" s="249"/>
      <c r="K1027" s="249"/>
      <c r="L1027" s="249"/>
      <c r="M1027" s="249"/>
      <c r="N1027" s="249"/>
    </row>
    <row r="1028" spans="1:14" ht="15" customHeight="1" x14ac:dyDescent="0.15">
      <c r="A1028" s="249"/>
      <c r="B1028" s="249"/>
      <c r="C1028" s="249"/>
      <c r="D1028" s="249"/>
      <c r="E1028" s="249"/>
      <c r="F1028" s="249"/>
      <c r="G1028" s="249"/>
      <c r="H1028" s="249"/>
      <c r="I1028" s="249"/>
      <c r="J1028" s="249"/>
      <c r="K1028" s="249"/>
      <c r="L1028" s="249"/>
      <c r="M1028" s="249"/>
      <c r="N1028" s="249"/>
    </row>
    <row r="1029" spans="1:14" ht="15" customHeight="1" x14ac:dyDescent="0.15">
      <c r="A1029" s="249"/>
      <c r="B1029" s="249"/>
      <c r="C1029" s="249"/>
      <c r="D1029" s="249"/>
      <c r="E1029" s="249"/>
      <c r="F1029" s="249"/>
      <c r="G1029" s="249"/>
      <c r="H1029" s="249"/>
      <c r="I1029" s="249"/>
      <c r="J1029" s="249"/>
      <c r="K1029" s="249"/>
      <c r="L1029" s="249"/>
      <c r="M1029" s="249"/>
      <c r="N1029" s="249"/>
    </row>
    <row r="1030" spans="1:14" ht="15" customHeight="1" x14ac:dyDescent="0.15">
      <c r="A1030" s="249"/>
      <c r="B1030" s="249"/>
      <c r="C1030" s="249"/>
      <c r="D1030" s="249"/>
      <c r="E1030" s="249"/>
      <c r="F1030" s="249"/>
      <c r="G1030" s="249"/>
      <c r="H1030" s="249"/>
      <c r="I1030" s="249"/>
      <c r="J1030" s="249"/>
      <c r="K1030" s="249"/>
      <c r="L1030" s="249"/>
      <c r="M1030" s="249"/>
      <c r="N1030" s="249"/>
    </row>
    <row r="1031" spans="1:14" ht="15" customHeight="1" x14ac:dyDescent="0.15">
      <c r="A1031" s="249"/>
      <c r="B1031" s="249"/>
      <c r="C1031" s="249"/>
      <c r="D1031" s="249"/>
      <c r="E1031" s="249"/>
      <c r="F1031" s="249"/>
      <c r="G1031" s="249"/>
      <c r="H1031" s="249"/>
      <c r="I1031" s="249"/>
      <c r="J1031" s="249"/>
      <c r="K1031" s="249"/>
      <c r="L1031" s="249"/>
      <c r="M1031" s="249"/>
      <c r="N1031" s="249"/>
    </row>
    <row r="1032" spans="1:14" ht="15" customHeight="1" x14ac:dyDescent="0.15">
      <c r="A1032" s="249"/>
      <c r="B1032" s="249"/>
      <c r="C1032" s="249"/>
      <c r="D1032" s="249"/>
      <c r="E1032" s="249"/>
      <c r="F1032" s="249"/>
      <c r="G1032" s="249"/>
      <c r="H1032" s="249"/>
      <c r="I1032" s="249"/>
      <c r="J1032" s="249"/>
      <c r="K1032" s="249"/>
      <c r="L1032" s="249"/>
      <c r="M1032" s="249"/>
      <c r="N1032" s="249"/>
    </row>
    <row r="1033" spans="1:14" ht="15" customHeight="1" x14ac:dyDescent="0.15">
      <c r="A1033" s="249"/>
      <c r="B1033" s="249"/>
      <c r="C1033" s="249"/>
      <c r="D1033" s="249"/>
      <c r="E1033" s="249"/>
      <c r="F1033" s="249"/>
      <c r="G1033" s="249"/>
      <c r="H1033" s="249"/>
      <c r="I1033" s="249"/>
      <c r="J1033" s="249"/>
      <c r="K1033" s="249"/>
      <c r="L1033" s="249"/>
      <c r="M1033" s="249"/>
      <c r="N1033" s="249"/>
    </row>
    <row r="1034" spans="1:14" ht="15" customHeight="1" x14ac:dyDescent="0.15">
      <c r="A1034" s="249"/>
      <c r="B1034" s="249"/>
      <c r="C1034" s="249"/>
      <c r="D1034" s="249"/>
      <c r="E1034" s="249"/>
      <c r="F1034" s="249"/>
      <c r="G1034" s="249"/>
      <c r="H1034" s="249"/>
      <c r="I1034" s="249"/>
      <c r="J1034" s="249"/>
      <c r="K1034" s="249"/>
      <c r="L1034" s="249"/>
      <c r="M1034" s="249"/>
      <c r="N1034" s="249"/>
    </row>
    <row r="1035" spans="1:14" ht="15" customHeight="1" x14ac:dyDescent="0.15">
      <c r="A1035" s="249"/>
      <c r="B1035" s="249"/>
      <c r="C1035" s="249"/>
      <c r="D1035" s="249"/>
      <c r="E1035" s="249"/>
      <c r="F1035" s="249"/>
      <c r="G1035" s="249"/>
      <c r="H1035" s="249"/>
      <c r="I1035" s="249"/>
      <c r="J1035" s="249"/>
      <c r="K1035" s="249"/>
      <c r="L1035" s="249"/>
      <c r="M1035" s="249"/>
      <c r="N1035" s="249"/>
    </row>
    <row r="1036" spans="1:14" ht="15" customHeight="1" x14ac:dyDescent="0.15">
      <c r="A1036" s="249"/>
      <c r="B1036" s="249"/>
      <c r="C1036" s="249"/>
      <c r="D1036" s="249"/>
      <c r="E1036" s="249"/>
      <c r="F1036" s="249"/>
      <c r="G1036" s="249"/>
      <c r="H1036" s="249"/>
      <c r="I1036" s="249"/>
      <c r="J1036" s="249"/>
      <c r="K1036" s="249"/>
      <c r="L1036" s="249"/>
      <c r="M1036" s="249"/>
      <c r="N1036" s="249"/>
    </row>
    <row r="1037" spans="1:14" ht="15" customHeight="1" x14ac:dyDescent="0.15">
      <c r="A1037" s="249"/>
      <c r="B1037" s="249"/>
      <c r="C1037" s="249"/>
      <c r="D1037" s="249"/>
      <c r="E1037" s="249"/>
      <c r="F1037" s="249"/>
      <c r="G1037" s="249"/>
      <c r="H1037" s="249"/>
      <c r="I1037" s="249"/>
      <c r="J1037" s="249"/>
      <c r="K1037" s="249"/>
      <c r="L1037" s="249"/>
      <c r="M1037" s="249"/>
      <c r="N1037" s="249"/>
    </row>
    <row r="1038" spans="1:14" ht="15" customHeight="1" x14ac:dyDescent="0.15">
      <c r="A1038" s="249"/>
      <c r="B1038" s="249"/>
      <c r="C1038" s="249"/>
      <c r="D1038" s="249"/>
      <c r="E1038" s="249"/>
      <c r="F1038" s="249"/>
      <c r="G1038" s="249"/>
      <c r="H1038" s="249"/>
      <c r="I1038" s="249"/>
      <c r="J1038" s="249"/>
      <c r="K1038" s="249"/>
      <c r="L1038" s="249"/>
      <c r="M1038" s="249"/>
      <c r="N1038" s="249"/>
    </row>
    <row r="1039" spans="1:14" ht="15" customHeight="1" x14ac:dyDescent="0.15">
      <c r="A1039" s="249"/>
      <c r="B1039" s="249"/>
      <c r="C1039" s="249"/>
      <c r="D1039" s="249"/>
      <c r="E1039" s="249"/>
      <c r="F1039" s="249"/>
      <c r="G1039" s="249"/>
      <c r="H1039" s="249"/>
      <c r="I1039" s="249"/>
      <c r="J1039" s="249"/>
      <c r="K1039" s="249"/>
      <c r="L1039" s="249"/>
      <c r="M1039" s="249"/>
      <c r="N1039" s="249"/>
    </row>
    <row r="1040" spans="1:14" ht="15" customHeight="1" x14ac:dyDescent="0.15">
      <c r="A1040" s="249"/>
      <c r="B1040" s="249"/>
      <c r="C1040" s="249"/>
      <c r="D1040" s="249"/>
      <c r="E1040" s="249"/>
      <c r="F1040" s="249"/>
      <c r="G1040" s="249"/>
      <c r="H1040" s="249"/>
      <c r="I1040" s="249"/>
      <c r="J1040" s="249"/>
      <c r="K1040" s="249"/>
      <c r="L1040" s="249"/>
      <c r="M1040" s="249"/>
      <c r="N1040" s="249"/>
    </row>
    <row r="1041" spans="1:14" ht="15" customHeight="1" x14ac:dyDescent="0.15">
      <c r="A1041" s="249"/>
      <c r="B1041" s="249"/>
      <c r="C1041" s="249"/>
      <c r="D1041" s="249"/>
      <c r="E1041" s="249"/>
      <c r="F1041" s="249"/>
      <c r="G1041" s="249"/>
      <c r="H1041" s="249"/>
      <c r="I1041" s="249"/>
      <c r="J1041" s="249"/>
      <c r="K1041" s="249"/>
      <c r="L1041" s="249"/>
      <c r="M1041" s="249"/>
      <c r="N1041" s="249"/>
    </row>
    <row r="1042" spans="1:14" ht="15" customHeight="1" x14ac:dyDescent="0.15">
      <c r="A1042" s="249"/>
      <c r="B1042" s="249"/>
      <c r="C1042" s="249"/>
      <c r="D1042" s="249"/>
      <c r="E1042" s="249"/>
      <c r="F1042" s="249"/>
      <c r="G1042" s="249"/>
      <c r="H1042" s="249"/>
      <c r="I1042" s="249"/>
      <c r="J1042" s="249"/>
      <c r="K1042" s="249"/>
      <c r="L1042" s="249"/>
      <c r="M1042" s="249"/>
      <c r="N1042" s="249"/>
    </row>
    <row r="1043" spans="1:14" ht="15" customHeight="1" x14ac:dyDescent="0.15">
      <c r="A1043" s="249"/>
      <c r="B1043" s="249"/>
      <c r="C1043" s="249"/>
      <c r="D1043" s="249"/>
      <c r="E1043" s="249"/>
      <c r="F1043" s="249"/>
      <c r="G1043" s="249"/>
      <c r="H1043" s="249"/>
      <c r="I1043" s="249"/>
      <c r="J1043" s="249"/>
      <c r="K1043" s="249"/>
      <c r="L1043" s="249"/>
      <c r="M1043" s="249"/>
      <c r="N1043" s="249"/>
    </row>
    <row r="1044" spans="1:14" ht="15" customHeight="1" x14ac:dyDescent="0.15">
      <c r="A1044" s="249"/>
      <c r="B1044" s="249"/>
      <c r="C1044" s="249"/>
      <c r="D1044" s="249"/>
      <c r="E1044" s="249"/>
      <c r="F1044" s="249"/>
      <c r="G1044" s="249"/>
      <c r="H1044" s="249"/>
      <c r="I1044" s="249"/>
      <c r="J1044" s="249"/>
      <c r="K1044" s="249"/>
      <c r="L1044" s="249"/>
      <c r="M1044" s="249"/>
      <c r="N1044" s="249"/>
    </row>
    <row r="1045" spans="1:14" ht="15" customHeight="1" x14ac:dyDescent="0.15">
      <c r="A1045" s="249"/>
      <c r="B1045" s="249"/>
      <c r="C1045" s="249"/>
      <c r="D1045" s="249"/>
      <c r="E1045" s="249"/>
      <c r="F1045" s="249"/>
      <c r="G1045" s="249"/>
      <c r="H1045" s="249"/>
      <c r="I1045" s="249"/>
      <c r="J1045" s="249"/>
      <c r="K1045" s="249"/>
      <c r="L1045" s="249"/>
      <c r="M1045" s="249"/>
      <c r="N1045" s="249"/>
    </row>
    <row r="1046" spans="1:14" ht="15" customHeight="1" x14ac:dyDescent="0.15">
      <c r="A1046" s="249"/>
      <c r="B1046" s="249"/>
      <c r="C1046" s="249"/>
      <c r="D1046" s="249"/>
      <c r="E1046" s="249"/>
      <c r="F1046" s="249"/>
      <c r="G1046" s="249"/>
      <c r="H1046" s="249"/>
      <c r="I1046" s="249"/>
      <c r="J1046" s="249"/>
      <c r="K1046" s="249"/>
      <c r="L1046" s="249"/>
      <c r="M1046" s="249"/>
      <c r="N1046" s="249"/>
    </row>
    <row r="1047" spans="1:14" ht="15" customHeight="1" x14ac:dyDescent="0.15">
      <c r="A1047" s="249"/>
      <c r="B1047" s="249"/>
      <c r="C1047" s="249"/>
      <c r="D1047" s="249"/>
      <c r="E1047" s="249"/>
      <c r="F1047" s="249"/>
      <c r="G1047" s="249"/>
      <c r="H1047" s="249"/>
      <c r="I1047" s="249"/>
      <c r="J1047" s="249"/>
      <c r="K1047" s="249"/>
      <c r="L1047" s="249"/>
      <c r="M1047" s="249"/>
      <c r="N1047" s="249"/>
    </row>
    <row r="1048" spans="1:14" ht="15" customHeight="1" x14ac:dyDescent="0.15">
      <c r="A1048" s="249"/>
      <c r="B1048" s="249"/>
      <c r="C1048" s="249"/>
      <c r="D1048" s="249"/>
      <c r="E1048" s="249"/>
      <c r="F1048" s="249"/>
      <c r="G1048" s="249"/>
      <c r="H1048" s="249"/>
      <c r="I1048" s="249"/>
      <c r="J1048" s="249"/>
      <c r="K1048" s="249"/>
      <c r="L1048" s="249"/>
      <c r="M1048" s="249"/>
      <c r="N1048" s="249"/>
    </row>
    <row r="1049" spans="1:14" ht="15" customHeight="1" x14ac:dyDescent="0.15">
      <c r="A1049" s="249"/>
      <c r="B1049" s="249"/>
      <c r="C1049" s="249"/>
      <c r="D1049" s="249"/>
      <c r="E1049" s="249"/>
      <c r="F1049" s="249"/>
      <c r="G1049" s="249"/>
      <c r="H1049" s="249"/>
      <c r="I1049" s="249"/>
      <c r="J1049" s="249"/>
      <c r="K1049" s="249"/>
      <c r="L1049" s="249"/>
      <c r="M1049" s="249"/>
      <c r="N1049" s="249"/>
    </row>
    <row r="1050" spans="1:14" ht="15" customHeight="1" x14ac:dyDescent="0.15">
      <c r="A1050" s="249"/>
      <c r="B1050" s="249"/>
      <c r="C1050" s="249"/>
      <c r="D1050" s="249"/>
      <c r="E1050" s="249"/>
      <c r="F1050" s="249"/>
      <c r="G1050" s="249"/>
      <c r="H1050" s="249"/>
      <c r="I1050" s="249"/>
      <c r="J1050" s="249"/>
      <c r="K1050" s="249"/>
      <c r="L1050" s="249"/>
      <c r="M1050" s="249"/>
      <c r="N1050" s="249"/>
    </row>
    <row r="1051" spans="1:14" ht="15" customHeight="1" x14ac:dyDescent="0.15">
      <c r="A1051" s="249"/>
      <c r="B1051" s="249"/>
      <c r="C1051" s="249"/>
      <c r="D1051" s="249"/>
      <c r="E1051" s="249"/>
      <c r="F1051" s="249"/>
      <c r="G1051" s="249"/>
      <c r="H1051" s="249"/>
      <c r="I1051" s="249"/>
      <c r="J1051" s="249"/>
      <c r="K1051" s="249"/>
      <c r="L1051" s="249"/>
      <c r="M1051" s="249"/>
      <c r="N1051" s="249"/>
    </row>
    <row r="1052" spans="1:14" ht="15" customHeight="1" x14ac:dyDescent="0.15">
      <c r="A1052" s="249"/>
      <c r="B1052" s="249"/>
      <c r="C1052" s="249"/>
      <c r="D1052" s="249"/>
      <c r="E1052" s="249"/>
      <c r="F1052" s="249"/>
      <c r="G1052" s="249"/>
      <c r="H1052" s="249"/>
      <c r="I1052" s="249"/>
      <c r="J1052" s="249"/>
      <c r="K1052" s="249"/>
      <c r="L1052" s="249"/>
      <c r="M1052" s="249"/>
      <c r="N1052" s="249"/>
    </row>
    <row r="1053" spans="1:14" ht="15" customHeight="1" x14ac:dyDescent="0.15">
      <c r="A1053" s="249"/>
      <c r="B1053" s="249"/>
      <c r="C1053" s="249"/>
      <c r="D1053" s="249"/>
      <c r="E1053" s="249"/>
      <c r="F1053" s="249"/>
      <c r="G1053" s="249"/>
      <c r="H1053" s="249"/>
      <c r="I1053" s="249"/>
      <c r="J1053" s="249"/>
      <c r="K1053" s="249"/>
      <c r="L1053" s="249"/>
      <c r="M1053" s="249"/>
      <c r="N1053" s="249"/>
    </row>
    <row r="1054" spans="1:14" ht="15" customHeight="1" x14ac:dyDescent="0.15">
      <c r="A1054" s="249"/>
      <c r="B1054" s="249"/>
      <c r="C1054" s="249"/>
      <c r="D1054" s="249"/>
      <c r="E1054" s="249"/>
      <c r="F1054" s="249"/>
      <c r="G1054" s="249"/>
      <c r="H1054" s="249"/>
      <c r="I1054" s="249"/>
      <c r="J1054" s="249"/>
      <c r="K1054" s="249"/>
      <c r="L1054" s="249"/>
      <c r="M1054" s="249"/>
      <c r="N1054" s="249"/>
    </row>
    <row r="1055" spans="1:14" ht="15" customHeight="1" x14ac:dyDescent="0.15">
      <c r="A1055" s="249"/>
      <c r="B1055" s="249"/>
      <c r="C1055" s="249"/>
      <c r="D1055" s="249"/>
      <c r="E1055" s="249"/>
      <c r="F1055" s="249"/>
      <c r="G1055" s="249"/>
      <c r="H1055" s="249"/>
      <c r="I1055" s="249"/>
      <c r="J1055" s="249"/>
      <c r="K1055" s="249"/>
      <c r="L1055" s="249"/>
      <c r="M1055" s="249"/>
      <c r="N1055" s="249"/>
    </row>
    <row r="1056" spans="1:14" ht="15" customHeight="1" x14ac:dyDescent="0.15">
      <c r="A1056" s="249"/>
      <c r="B1056" s="249"/>
      <c r="C1056" s="249"/>
      <c r="D1056" s="249"/>
      <c r="E1056" s="249"/>
      <c r="F1056" s="249"/>
      <c r="G1056" s="249"/>
      <c r="H1056" s="249"/>
      <c r="I1056" s="249"/>
      <c r="J1056" s="249"/>
      <c r="K1056" s="249"/>
      <c r="L1056" s="249"/>
      <c r="M1056" s="249"/>
      <c r="N1056" s="249"/>
    </row>
    <row r="1057" spans="1:14" ht="15" customHeight="1" x14ac:dyDescent="0.15">
      <c r="A1057" s="249"/>
      <c r="B1057" s="249"/>
      <c r="C1057" s="249"/>
      <c r="D1057" s="249"/>
      <c r="E1057" s="249"/>
      <c r="F1057" s="249"/>
      <c r="G1057" s="249"/>
      <c r="H1057" s="249"/>
      <c r="I1057" s="249"/>
      <c r="J1057" s="249"/>
      <c r="K1057" s="249"/>
      <c r="L1057" s="249"/>
      <c r="M1057" s="249"/>
      <c r="N1057" s="249"/>
    </row>
    <row r="1058" spans="1:14" ht="15" customHeight="1" x14ac:dyDescent="0.15">
      <c r="A1058" s="249"/>
      <c r="B1058" s="249"/>
      <c r="C1058" s="249"/>
      <c r="D1058" s="249"/>
      <c r="E1058" s="249"/>
      <c r="F1058" s="249"/>
      <c r="G1058" s="249"/>
      <c r="H1058" s="249"/>
      <c r="I1058" s="249"/>
      <c r="J1058" s="249"/>
      <c r="K1058" s="249"/>
      <c r="L1058" s="249"/>
      <c r="M1058" s="249"/>
      <c r="N1058" s="249"/>
    </row>
    <row r="1059" spans="1:14" ht="15" customHeight="1" x14ac:dyDescent="0.15">
      <c r="A1059" s="249"/>
      <c r="B1059" s="249"/>
      <c r="C1059" s="249"/>
      <c r="D1059" s="249"/>
      <c r="E1059" s="249"/>
      <c r="F1059" s="249"/>
      <c r="G1059" s="249"/>
      <c r="H1059" s="249"/>
      <c r="I1059" s="249"/>
      <c r="J1059" s="249"/>
      <c r="K1059" s="249"/>
      <c r="L1059" s="249"/>
      <c r="M1059" s="249"/>
      <c r="N1059" s="249"/>
    </row>
    <row r="1060" spans="1:14" ht="15" customHeight="1" x14ac:dyDescent="0.15">
      <c r="A1060" s="249"/>
      <c r="B1060" s="249"/>
      <c r="C1060" s="249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</row>
    <row r="1061" spans="1:14" ht="15" customHeight="1" x14ac:dyDescent="0.15">
      <c r="A1061" s="249"/>
      <c r="B1061" s="249"/>
      <c r="C1061" s="249"/>
      <c r="D1061" s="249"/>
      <c r="E1061" s="249"/>
      <c r="F1061" s="249"/>
      <c r="G1061" s="249"/>
      <c r="H1061" s="249"/>
      <c r="I1061" s="249"/>
      <c r="J1061" s="249"/>
      <c r="K1061" s="249"/>
      <c r="L1061" s="249"/>
      <c r="M1061" s="249"/>
      <c r="N1061" s="249"/>
    </row>
    <row r="1062" spans="1:14" ht="15" customHeight="1" x14ac:dyDescent="0.15">
      <c r="A1062" s="249"/>
      <c r="B1062" s="249"/>
      <c r="C1062" s="249"/>
      <c r="D1062" s="249"/>
      <c r="E1062" s="249"/>
      <c r="F1062" s="249"/>
      <c r="G1062" s="249"/>
      <c r="H1062" s="249"/>
      <c r="I1062" s="249"/>
      <c r="J1062" s="249"/>
      <c r="K1062" s="249"/>
      <c r="L1062" s="249"/>
      <c r="M1062" s="249"/>
      <c r="N1062" s="249"/>
    </row>
    <row r="1063" spans="1:14" ht="15" customHeight="1" x14ac:dyDescent="0.15">
      <c r="A1063" s="249"/>
      <c r="B1063" s="249"/>
      <c r="C1063" s="249"/>
      <c r="D1063" s="249"/>
      <c r="E1063" s="249"/>
      <c r="F1063" s="249"/>
      <c r="G1063" s="249"/>
      <c r="H1063" s="249"/>
      <c r="I1063" s="249"/>
      <c r="J1063" s="249"/>
      <c r="K1063" s="249"/>
      <c r="L1063" s="249"/>
      <c r="M1063" s="249"/>
      <c r="N1063" s="249"/>
    </row>
    <row r="1064" spans="1:14" ht="15" customHeight="1" x14ac:dyDescent="0.15">
      <c r="A1064" s="249"/>
      <c r="B1064" s="249"/>
      <c r="C1064" s="249"/>
      <c r="D1064" s="249"/>
      <c r="E1064" s="249"/>
      <c r="F1064" s="249"/>
      <c r="G1064" s="249"/>
      <c r="H1064" s="249"/>
      <c r="I1064" s="249"/>
      <c r="J1064" s="249"/>
      <c r="K1064" s="249"/>
      <c r="L1064" s="249"/>
      <c r="M1064" s="249"/>
      <c r="N1064" s="249"/>
    </row>
    <row r="1065" spans="1:14" ht="15" customHeight="1" x14ac:dyDescent="0.15">
      <c r="A1065" s="249"/>
      <c r="B1065" s="249"/>
      <c r="C1065" s="249"/>
      <c r="D1065" s="249"/>
      <c r="E1065" s="249"/>
      <c r="F1065" s="249"/>
      <c r="G1065" s="249"/>
      <c r="H1065" s="249"/>
      <c r="I1065" s="249"/>
      <c r="J1065" s="249"/>
      <c r="K1065" s="249"/>
      <c r="L1065" s="249"/>
      <c r="M1065" s="249"/>
      <c r="N1065" s="249"/>
    </row>
    <row r="1066" spans="1:14" ht="15" customHeight="1" x14ac:dyDescent="0.15">
      <c r="A1066" s="249"/>
      <c r="B1066" s="249"/>
      <c r="C1066" s="249"/>
      <c r="D1066" s="249"/>
      <c r="E1066" s="249"/>
      <c r="F1066" s="249"/>
      <c r="G1066" s="249"/>
      <c r="H1066" s="249"/>
      <c r="I1066" s="249"/>
      <c r="J1066" s="249"/>
      <c r="K1066" s="249"/>
      <c r="L1066" s="249"/>
      <c r="M1066" s="249"/>
      <c r="N1066" s="249"/>
    </row>
    <row r="1067" spans="1:14" ht="15" customHeight="1" x14ac:dyDescent="0.15">
      <c r="A1067" s="249"/>
      <c r="B1067" s="249"/>
      <c r="C1067" s="249"/>
      <c r="D1067" s="249"/>
      <c r="E1067" s="249"/>
      <c r="F1067" s="249"/>
      <c r="G1067" s="249"/>
      <c r="H1067" s="249"/>
      <c r="I1067" s="249"/>
      <c r="J1067" s="249"/>
      <c r="K1067" s="249"/>
      <c r="L1067" s="249"/>
      <c r="M1067" s="249"/>
      <c r="N1067" s="249"/>
    </row>
    <row r="1068" spans="1:14" ht="15" customHeight="1" x14ac:dyDescent="0.15">
      <c r="A1068" s="249"/>
      <c r="B1068" s="249"/>
      <c r="C1068" s="249"/>
      <c r="D1068" s="249"/>
      <c r="E1068" s="249"/>
      <c r="F1068" s="249"/>
      <c r="G1068" s="249"/>
      <c r="H1068" s="249"/>
      <c r="I1068" s="249"/>
      <c r="J1068" s="249"/>
      <c r="K1068" s="249"/>
      <c r="L1068" s="249"/>
      <c r="M1068" s="249"/>
      <c r="N1068" s="249"/>
    </row>
    <row r="1069" spans="1:14" ht="15" customHeight="1" x14ac:dyDescent="0.15">
      <c r="A1069" s="249"/>
      <c r="B1069" s="249"/>
      <c r="C1069" s="249"/>
      <c r="D1069" s="249"/>
      <c r="E1069" s="249"/>
      <c r="F1069" s="249"/>
      <c r="G1069" s="249"/>
      <c r="H1069" s="249"/>
      <c r="I1069" s="249"/>
      <c r="J1069" s="249"/>
      <c r="K1069" s="249"/>
      <c r="L1069" s="249"/>
      <c r="M1069" s="249"/>
      <c r="N1069" s="249"/>
    </row>
    <row r="1070" spans="1:14" ht="15" customHeight="1" x14ac:dyDescent="0.15">
      <c r="A1070" s="249"/>
      <c r="B1070" s="249"/>
      <c r="C1070" s="249"/>
      <c r="D1070" s="249"/>
      <c r="E1070" s="249"/>
      <c r="F1070" s="249"/>
      <c r="G1070" s="249"/>
      <c r="H1070" s="249"/>
      <c r="I1070" s="249"/>
      <c r="J1070" s="249"/>
      <c r="K1070" s="249"/>
      <c r="L1070" s="249"/>
      <c r="M1070" s="249"/>
      <c r="N1070" s="249"/>
    </row>
    <row r="1071" spans="1:14" ht="15" customHeight="1" x14ac:dyDescent="0.15">
      <c r="A1071" s="249"/>
      <c r="B1071" s="249"/>
      <c r="C1071" s="249"/>
      <c r="D1071" s="249"/>
      <c r="E1071" s="249"/>
      <c r="F1071" s="249"/>
      <c r="G1071" s="249"/>
      <c r="H1071" s="249"/>
      <c r="I1071" s="249"/>
      <c r="J1071" s="249"/>
      <c r="K1071" s="249"/>
      <c r="L1071" s="249"/>
      <c r="M1071" s="249"/>
      <c r="N1071" s="249"/>
    </row>
    <row r="1072" spans="1:14" ht="15" customHeight="1" x14ac:dyDescent="0.15">
      <c r="A1072" s="249"/>
      <c r="B1072" s="249"/>
      <c r="C1072" s="249"/>
      <c r="D1072" s="249"/>
      <c r="E1072" s="249"/>
      <c r="F1072" s="249"/>
      <c r="G1072" s="249"/>
      <c r="H1072" s="249"/>
      <c r="I1072" s="249"/>
      <c r="J1072" s="249"/>
      <c r="K1072" s="249"/>
      <c r="L1072" s="249"/>
      <c r="M1072" s="249"/>
      <c r="N1072" s="249"/>
    </row>
    <row r="1073" spans="1:14" ht="15" customHeight="1" x14ac:dyDescent="0.15">
      <c r="A1073" s="249"/>
      <c r="B1073" s="249"/>
      <c r="C1073" s="249"/>
      <c r="D1073" s="249"/>
      <c r="E1073" s="249"/>
      <c r="F1073" s="249"/>
      <c r="G1073" s="249"/>
      <c r="H1073" s="249"/>
      <c r="I1073" s="249"/>
      <c r="J1073" s="249"/>
      <c r="K1073" s="249"/>
      <c r="L1073" s="249"/>
      <c r="M1073" s="249"/>
      <c r="N1073" s="249"/>
    </row>
    <row r="1074" spans="1:14" ht="15" customHeight="1" x14ac:dyDescent="0.15">
      <c r="A1074" s="249"/>
      <c r="B1074" s="249"/>
      <c r="C1074" s="249"/>
      <c r="D1074" s="249"/>
      <c r="E1074" s="249"/>
      <c r="F1074" s="249"/>
      <c r="G1074" s="249"/>
      <c r="H1074" s="249"/>
      <c r="I1074" s="249"/>
      <c r="J1074" s="249"/>
      <c r="K1074" s="249"/>
      <c r="L1074" s="249"/>
      <c r="M1074" s="249"/>
      <c r="N1074" s="249"/>
    </row>
    <row r="1075" spans="1:14" ht="15" customHeight="1" x14ac:dyDescent="0.15">
      <c r="A1075" s="249"/>
      <c r="B1075" s="249"/>
      <c r="C1075" s="249"/>
      <c r="D1075" s="249"/>
      <c r="E1075" s="249"/>
      <c r="F1075" s="249"/>
      <c r="G1075" s="249"/>
      <c r="H1075" s="249"/>
      <c r="I1075" s="249"/>
      <c r="J1075" s="249"/>
      <c r="K1075" s="249"/>
      <c r="L1075" s="249"/>
      <c r="M1075" s="249"/>
      <c r="N1075" s="249"/>
    </row>
    <row r="1076" spans="1:14" ht="15" customHeight="1" x14ac:dyDescent="0.15">
      <c r="A1076" s="249"/>
      <c r="B1076" s="249"/>
      <c r="C1076" s="249"/>
      <c r="D1076" s="249"/>
      <c r="E1076" s="249"/>
      <c r="F1076" s="249"/>
      <c r="G1076" s="249"/>
      <c r="H1076" s="249"/>
      <c r="I1076" s="249"/>
      <c r="J1076" s="249"/>
      <c r="K1076" s="249"/>
      <c r="L1076" s="249"/>
      <c r="M1076" s="249"/>
      <c r="N1076" s="249"/>
    </row>
    <row r="1077" spans="1:14" ht="15" customHeight="1" x14ac:dyDescent="0.15">
      <c r="A1077" s="249"/>
      <c r="B1077" s="249"/>
      <c r="C1077" s="249"/>
      <c r="D1077" s="249"/>
      <c r="E1077" s="249"/>
      <c r="F1077" s="249"/>
      <c r="G1077" s="249"/>
      <c r="H1077" s="249"/>
      <c r="I1077" s="249"/>
      <c r="J1077" s="249"/>
      <c r="K1077" s="249"/>
      <c r="L1077" s="249"/>
      <c r="M1077" s="249"/>
      <c r="N1077" s="249"/>
    </row>
    <row r="1078" spans="1:14" ht="15" customHeight="1" x14ac:dyDescent="0.15">
      <c r="A1078" s="249"/>
      <c r="B1078" s="249"/>
      <c r="C1078" s="249"/>
      <c r="D1078" s="249"/>
      <c r="E1078" s="249"/>
      <c r="F1078" s="249"/>
      <c r="G1078" s="249"/>
      <c r="H1078" s="249"/>
      <c r="I1078" s="249"/>
      <c r="J1078" s="249"/>
      <c r="K1078" s="249"/>
      <c r="L1078" s="249"/>
      <c r="M1078" s="249"/>
      <c r="N1078" s="249"/>
    </row>
    <row r="1079" spans="1:14" ht="15" customHeight="1" x14ac:dyDescent="0.15">
      <c r="A1079" s="249"/>
      <c r="B1079" s="249"/>
      <c r="C1079" s="249"/>
      <c r="D1079" s="249"/>
      <c r="E1079" s="249"/>
      <c r="F1079" s="249"/>
      <c r="G1079" s="249"/>
      <c r="H1079" s="249"/>
      <c r="I1079" s="249"/>
      <c r="J1079" s="249"/>
      <c r="K1079" s="249"/>
      <c r="L1079" s="249"/>
      <c r="M1079" s="249"/>
      <c r="N1079" s="249"/>
    </row>
    <row r="1080" spans="1:14" ht="15" customHeight="1" x14ac:dyDescent="0.15">
      <c r="A1080" s="249"/>
      <c r="B1080" s="249"/>
      <c r="C1080" s="249"/>
      <c r="D1080" s="249"/>
      <c r="E1080" s="249"/>
      <c r="F1080" s="249"/>
      <c r="G1080" s="249"/>
      <c r="H1080" s="249"/>
      <c r="I1080" s="249"/>
      <c r="J1080" s="249"/>
      <c r="K1080" s="249"/>
      <c r="L1080" s="249"/>
      <c r="M1080" s="249"/>
      <c r="N1080" s="249"/>
    </row>
    <row r="1081" spans="1:14" ht="15" customHeight="1" x14ac:dyDescent="0.15">
      <c r="A1081" s="249"/>
      <c r="B1081" s="249"/>
      <c r="C1081" s="249"/>
      <c r="D1081" s="249"/>
      <c r="E1081" s="249"/>
      <c r="F1081" s="249"/>
      <c r="G1081" s="249"/>
      <c r="H1081" s="249"/>
      <c r="I1081" s="249"/>
      <c r="J1081" s="249"/>
      <c r="K1081" s="249"/>
      <c r="L1081" s="249"/>
      <c r="M1081" s="249"/>
      <c r="N1081" s="249"/>
    </row>
    <row r="1082" spans="1:14" ht="15" customHeight="1" x14ac:dyDescent="0.15">
      <c r="A1082" s="249"/>
      <c r="B1082" s="249"/>
      <c r="C1082" s="249"/>
      <c r="D1082" s="249"/>
      <c r="E1082" s="249"/>
      <c r="F1082" s="249"/>
      <c r="G1082" s="249"/>
      <c r="H1082" s="249"/>
      <c r="I1082" s="249"/>
      <c r="J1082" s="249"/>
      <c r="K1082" s="249"/>
      <c r="L1082" s="249"/>
      <c r="M1082" s="249"/>
      <c r="N1082" s="249"/>
    </row>
    <row r="1083" spans="1:14" ht="15" customHeight="1" x14ac:dyDescent="0.15">
      <c r="A1083" s="249"/>
      <c r="B1083" s="249"/>
      <c r="C1083" s="249"/>
      <c r="D1083" s="249"/>
      <c r="E1083" s="249"/>
      <c r="F1083" s="249"/>
      <c r="G1083" s="249"/>
      <c r="H1083" s="249"/>
      <c r="I1083" s="249"/>
      <c r="J1083" s="249"/>
      <c r="K1083" s="249"/>
      <c r="L1083" s="249"/>
      <c r="M1083" s="249"/>
      <c r="N1083" s="249"/>
    </row>
    <row r="1084" spans="1:14" ht="15" customHeight="1" x14ac:dyDescent="0.15">
      <c r="A1084" s="249"/>
      <c r="B1084" s="249"/>
      <c r="C1084" s="249"/>
      <c r="D1084" s="249"/>
      <c r="E1084" s="249"/>
      <c r="F1084" s="249"/>
      <c r="G1084" s="249"/>
      <c r="H1084" s="249"/>
      <c r="I1084" s="249"/>
      <c r="J1084" s="249"/>
      <c r="K1084" s="249"/>
      <c r="L1084" s="249"/>
      <c r="M1084" s="249"/>
      <c r="N1084" s="249"/>
    </row>
    <row r="1085" spans="1:14" ht="15" customHeight="1" x14ac:dyDescent="0.15">
      <c r="A1085" s="249"/>
      <c r="B1085" s="249"/>
      <c r="C1085" s="249"/>
      <c r="D1085" s="249"/>
      <c r="E1085" s="249"/>
      <c r="F1085" s="249"/>
      <c r="G1085" s="249"/>
      <c r="H1085" s="249"/>
      <c r="I1085" s="249"/>
      <c r="J1085" s="249"/>
      <c r="K1085" s="249"/>
      <c r="L1085" s="249"/>
      <c r="M1085" s="249"/>
      <c r="N1085" s="249"/>
    </row>
    <row r="1086" spans="1:14" ht="15" customHeight="1" x14ac:dyDescent="0.15">
      <c r="A1086" s="249"/>
      <c r="B1086" s="249"/>
      <c r="C1086" s="249"/>
      <c r="D1086" s="249"/>
      <c r="E1086" s="249"/>
      <c r="F1086" s="249"/>
      <c r="G1086" s="249"/>
      <c r="H1086" s="249"/>
      <c r="I1086" s="249"/>
      <c r="J1086" s="249"/>
      <c r="K1086" s="249"/>
      <c r="L1086" s="249"/>
      <c r="M1086" s="249"/>
      <c r="N1086" s="249"/>
    </row>
    <row r="1087" spans="1:14" ht="15" customHeight="1" x14ac:dyDescent="0.15">
      <c r="A1087" s="249"/>
      <c r="B1087" s="249"/>
      <c r="C1087" s="249"/>
      <c r="D1087" s="249"/>
      <c r="E1087" s="249"/>
      <c r="F1087" s="249"/>
      <c r="G1087" s="249"/>
      <c r="H1087" s="249"/>
      <c r="I1087" s="249"/>
      <c r="J1087" s="249"/>
      <c r="K1087" s="249"/>
      <c r="L1087" s="249"/>
      <c r="M1087" s="249"/>
      <c r="N1087" s="249"/>
    </row>
    <row r="1088" spans="1:14" ht="15" customHeight="1" x14ac:dyDescent="0.15">
      <c r="A1088" s="249"/>
      <c r="B1088" s="249"/>
      <c r="C1088" s="249"/>
      <c r="D1088" s="249"/>
      <c r="E1088" s="249"/>
      <c r="F1088" s="249"/>
      <c r="G1088" s="249"/>
      <c r="H1088" s="249"/>
      <c r="I1088" s="249"/>
      <c r="J1088" s="249"/>
      <c r="K1088" s="249"/>
      <c r="L1088" s="249"/>
      <c r="M1088" s="249"/>
      <c r="N1088" s="249"/>
    </row>
    <row r="1089" spans="1:14" ht="15" customHeight="1" x14ac:dyDescent="0.15">
      <c r="A1089" s="249"/>
      <c r="B1089" s="249"/>
      <c r="C1089" s="249"/>
      <c r="D1089" s="249"/>
      <c r="E1089" s="249"/>
      <c r="F1089" s="249"/>
      <c r="G1089" s="249"/>
      <c r="H1089" s="249"/>
      <c r="I1089" s="249"/>
      <c r="J1089" s="249"/>
      <c r="K1089" s="249"/>
      <c r="L1089" s="249"/>
      <c r="M1089" s="249"/>
      <c r="N1089" s="249"/>
    </row>
    <row r="1090" spans="1:14" ht="15" customHeight="1" x14ac:dyDescent="0.15">
      <c r="A1090" s="249"/>
      <c r="B1090" s="249"/>
      <c r="C1090" s="249"/>
      <c r="D1090" s="249"/>
      <c r="E1090" s="249"/>
      <c r="F1090" s="249"/>
      <c r="G1090" s="249"/>
      <c r="H1090" s="249"/>
      <c r="I1090" s="249"/>
      <c r="J1090" s="249"/>
      <c r="K1090" s="249"/>
      <c r="L1090" s="249"/>
      <c r="M1090" s="249"/>
      <c r="N1090" s="249"/>
    </row>
    <row r="1091" spans="1:14" ht="15" customHeight="1" x14ac:dyDescent="0.15">
      <c r="A1091" s="249"/>
      <c r="B1091" s="249"/>
      <c r="C1091" s="249"/>
      <c r="D1091" s="249"/>
      <c r="E1091" s="249"/>
      <c r="F1091" s="249"/>
      <c r="G1091" s="249"/>
      <c r="H1091" s="249"/>
      <c r="I1091" s="249"/>
      <c r="J1091" s="249"/>
      <c r="K1091" s="249"/>
      <c r="L1091" s="249"/>
      <c r="M1091" s="249"/>
      <c r="N1091" s="249"/>
    </row>
    <row r="1092" spans="1:14" ht="15" customHeight="1" x14ac:dyDescent="0.15">
      <c r="A1092" s="249"/>
      <c r="B1092" s="249"/>
      <c r="C1092" s="249"/>
      <c r="D1092" s="249"/>
      <c r="E1092" s="249"/>
      <c r="F1092" s="249"/>
      <c r="G1092" s="249"/>
      <c r="H1092" s="249"/>
      <c r="I1092" s="249"/>
      <c r="J1092" s="249"/>
      <c r="K1092" s="249"/>
      <c r="L1092" s="249"/>
      <c r="M1092" s="249"/>
      <c r="N1092" s="249"/>
    </row>
    <row r="1093" spans="1:14" ht="15" customHeight="1" x14ac:dyDescent="0.15">
      <c r="A1093" s="249"/>
      <c r="B1093" s="249"/>
      <c r="C1093" s="249"/>
      <c r="D1093" s="249"/>
      <c r="E1093" s="249"/>
      <c r="F1093" s="249"/>
      <c r="G1093" s="249"/>
      <c r="H1093" s="249"/>
      <c r="I1093" s="249"/>
      <c r="J1093" s="249"/>
      <c r="K1093" s="249"/>
      <c r="L1093" s="249"/>
      <c r="M1093" s="249"/>
      <c r="N1093" s="249"/>
    </row>
    <row r="1094" spans="1:14" ht="15" customHeight="1" x14ac:dyDescent="0.15">
      <c r="A1094" s="249"/>
      <c r="B1094" s="249"/>
      <c r="C1094" s="249"/>
      <c r="D1094" s="249"/>
      <c r="E1094" s="249"/>
      <c r="F1094" s="249"/>
      <c r="G1094" s="249"/>
      <c r="H1094" s="249"/>
      <c r="I1094" s="249"/>
      <c r="J1094" s="249"/>
      <c r="K1094" s="249"/>
      <c r="L1094" s="249"/>
      <c r="M1094" s="249"/>
      <c r="N1094" s="249"/>
    </row>
    <row r="1095" spans="1:14" ht="15" customHeight="1" x14ac:dyDescent="0.15">
      <c r="A1095" s="249"/>
      <c r="B1095" s="249"/>
      <c r="C1095" s="249"/>
      <c r="D1095" s="249"/>
      <c r="E1095" s="249"/>
      <c r="F1095" s="249"/>
      <c r="G1095" s="249"/>
      <c r="H1095" s="249"/>
      <c r="I1095" s="249"/>
      <c r="J1095" s="249"/>
      <c r="K1095" s="249"/>
      <c r="L1095" s="249"/>
      <c r="M1095" s="249"/>
      <c r="N1095" s="249"/>
    </row>
    <row r="1096" spans="1:14" ht="15" customHeight="1" x14ac:dyDescent="0.15">
      <c r="A1096" s="249"/>
      <c r="B1096" s="249"/>
      <c r="C1096" s="249"/>
      <c r="D1096" s="249"/>
      <c r="E1096" s="249"/>
      <c r="F1096" s="249"/>
      <c r="G1096" s="249"/>
      <c r="H1096" s="249"/>
      <c r="I1096" s="249"/>
      <c r="J1096" s="249"/>
      <c r="K1096" s="249"/>
      <c r="L1096" s="249"/>
      <c r="M1096" s="249"/>
      <c r="N1096" s="249"/>
    </row>
    <row r="1097" spans="1:14" ht="15" customHeight="1" x14ac:dyDescent="0.15">
      <c r="A1097" s="249"/>
      <c r="B1097" s="249"/>
      <c r="C1097" s="249"/>
      <c r="D1097" s="249"/>
      <c r="E1097" s="249"/>
      <c r="F1097" s="249"/>
      <c r="G1097" s="249"/>
      <c r="H1097" s="249"/>
      <c r="I1097" s="249"/>
      <c r="J1097" s="249"/>
      <c r="K1097" s="249"/>
      <c r="L1097" s="249"/>
      <c r="M1097" s="249"/>
      <c r="N1097" s="249"/>
    </row>
    <row r="1098" spans="1:14" ht="15" customHeight="1" x14ac:dyDescent="0.15">
      <c r="A1098" s="249"/>
      <c r="B1098" s="249"/>
      <c r="C1098" s="249"/>
      <c r="D1098" s="249"/>
      <c r="E1098" s="249"/>
      <c r="F1098" s="249"/>
      <c r="G1098" s="249"/>
      <c r="H1098" s="249"/>
      <c r="I1098" s="249"/>
      <c r="J1098" s="249"/>
      <c r="K1098" s="249"/>
      <c r="L1098" s="249"/>
      <c r="M1098" s="249"/>
      <c r="N1098" s="249"/>
    </row>
    <row r="1099" spans="1:14" ht="15" customHeight="1" x14ac:dyDescent="0.15">
      <c r="A1099" s="249"/>
      <c r="B1099" s="249"/>
      <c r="C1099" s="249"/>
      <c r="D1099" s="249"/>
      <c r="E1099" s="249"/>
      <c r="F1099" s="249"/>
      <c r="G1099" s="249"/>
      <c r="H1099" s="249"/>
      <c r="I1099" s="249"/>
      <c r="J1099" s="249"/>
      <c r="K1099" s="249"/>
      <c r="L1099" s="249"/>
      <c r="M1099" s="249"/>
      <c r="N1099" s="249"/>
    </row>
    <row r="1100" spans="1:14" ht="15" customHeight="1" x14ac:dyDescent="0.15">
      <c r="A1100" s="249"/>
      <c r="B1100" s="249"/>
      <c r="C1100" s="249"/>
      <c r="D1100" s="249"/>
      <c r="E1100" s="249"/>
      <c r="F1100" s="249"/>
      <c r="G1100" s="249"/>
      <c r="H1100" s="249"/>
      <c r="I1100" s="249"/>
      <c r="J1100" s="249"/>
      <c r="K1100" s="249"/>
      <c r="L1100" s="249"/>
      <c r="M1100" s="249"/>
      <c r="N1100" s="249"/>
    </row>
    <row r="1101" spans="1:14" ht="15" customHeight="1" x14ac:dyDescent="0.15">
      <c r="A1101" s="249"/>
      <c r="B1101" s="249"/>
      <c r="C1101" s="249"/>
      <c r="D1101" s="249"/>
      <c r="E1101" s="249"/>
      <c r="F1101" s="249"/>
      <c r="G1101" s="249"/>
      <c r="H1101" s="249"/>
      <c r="I1101" s="249"/>
      <c r="J1101" s="249"/>
      <c r="K1101" s="249"/>
      <c r="L1101" s="249"/>
      <c r="M1101" s="249"/>
      <c r="N1101" s="249"/>
    </row>
    <row r="1102" spans="1:14" ht="15" customHeight="1" x14ac:dyDescent="0.15">
      <c r="A1102" s="249"/>
      <c r="B1102" s="249"/>
      <c r="C1102" s="249"/>
      <c r="D1102" s="249"/>
      <c r="E1102" s="249"/>
      <c r="F1102" s="249"/>
      <c r="G1102" s="249"/>
      <c r="H1102" s="249"/>
      <c r="I1102" s="249"/>
      <c r="J1102" s="249"/>
      <c r="K1102" s="249"/>
      <c r="L1102" s="249"/>
      <c r="M1102" s="249"/>
      <c r="N1102" s="249"/>
    </row>
    <row r="1103" spans="1:14" ht="15" customHeight="1" x14ac:dyDescent="0.15">
      <c r="A1103" s="249"/>
      <c r="B1103" s="249"/>
      <c r="C1103" s="249"/>
      <c r="D1103" s="249"/>
      <c r="E1103" s="249"/>
      <c r="F1103" s="249"/>
      <c r="G1103" s="249"/>
      <c r="H1103" s="249"/>
      <c r="I1103" s="249"/>
      <c r="J1103" s="249"/>
      <c r="K1103" s="249"/>
      <c r="L1103" s="249"/>
      <c r="M1103" s="249"/>
      <c r="N1103" s="249"/>
    </row>
    <row r="1104" spans="1:14" ht="15" customHeight="1" x14ac:dyDescent="0.15">
      <c r="A1104" s="249"/>
      <c r="B1104" s="249"/>
      <c r="C1104" s="249"/>
      <c r="D1104" s="249"/>
      <c r="E1104" s="249"/>
      <c r="F1104" s="249"/>
      <c r="G1104" s="249"/>
      <c r="H1104" s="249"/>
      <c r="I1104" s="249"/>
      <c r="J1104" s="249"/>
      <c r="K1104" s="249"/>
      <c r="L1104" s="249"/>
      <c r="M1104" s="249"/>
      <c r="N1104" s="249"/>
    </row>
    <row r="1105" spans="1:14" ht="15" customHeight="1" x14ac:dyDescent="0.15">
      <c r="A1105" s="249"/>
      <c r="B1105" s="249"/>
      <c r="C1105" s="249"/>
      <c r="D1105" s="249"/>
      <c r="E1105" s="249"/>
      <c r="F1105" s="249"/>
      <c r="G1105" s="249"/>
      <c r="H1105" s="249"/>
      <c r="I1105" s="249"/>
      <c r="J1105" s="249"/>
      <c r="K1105" s="249"/>
      <c r="L1105" s="249"/>
      <c r="M1105" s="249"/>
      <c r="N1105" s="249"/>
    </row>
    <row r="1106" spans="1:14" ht="15" customHeight="1" x14ac:dyDescent="0.15">
      <c r="A1106" s="249"/>
      <c r="B1106" s="249"/>
      <c r="C1106" s="249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</row>
    <row r="1107" spans="1:14" ht="15" customHeight="1" x14ac:dyDescent="0.15">
      <c r="A1107" s="249"/>
      <c r="B1107" s="249"/>
      <c r="C1107" s="249"/>
      <c r="D1107" s="249"/>
      <c r="E1107" s="249"/>
      <c r="F1107" s="249"/>
      <c r="G1107" s="249"/>
      <c r="H1107" s="249"/>
      <c r="I1107" s="249"/>
      <c r="J1107" s="249"/>
      <c r="K1107" s="249"/>
      <c r="L1107" s="249"/>
      <c r="M1107" s="249"/>
      <c r="N1107" s="249"/>
    </row>
    <row r="1108" spans="1:14" ht="15" customHeight="1" x14ac:dyDescent="0.15">
      <c r="A1108" s="249"/>
      <c r="B1108" s="249"/>
      <c r="C1108" s="249"/>
      <c r="D1108" s="249"/>
      <c r="E1108" s="249"/>
      <c r="F1108" s="249"/>
      <c r="G1108" s="249"/>
      <c r="H1108" s="249"/>
      <c r="I1108" s="249"/>
      <c r="J1108" s="249"/>
      <c r="K1108" s="249"/>
      <c r="L1108" s="249"/>
      <c r="M1108" s="249"/>
      <c r="N1108" s="249"/>
    </row>
    <row r="1109" spans="1:14" ht="15" customHeight="1" x14ac:dyDescent="0.15">
      <c r="A1109" s="249"/>
      <c r="B1109" s="249"/>
      <c r="C1109" s="249"/>
      <c r="D1109" s="249"/>
      <c r="E1109" s="249"/>
      <c r="F1109" s="249"/>
      <c r="G1109" s="249"/>
      <c r="H1109" s="249"/>
      <c r="I1109" s="249"/>
      <c r="J1109" s="249"/>
      <c r="K1109" s="249"/>
      <c r="L1109" s="249"/>
      <c r="M1109" s="249"/>
      <c r="N1109" s="249"/>
    </row>
    <row r="1110" spans="1:14" ht="15" customHeight="1" x14ac:dyDescent="0.15">
      <c r="A1110" s="249"/>
      <c r="B1110" s="249"/>
      <c r="C1110" s="249"/>
      <c r="D1110" s="249"/>
      <c r="E1110" s="249"/>
      <c r="F1110" s="249"/>
      <c r="G1110" s="249"/>
      <c r="H1110" s="249"/>
      <c r="I1110" s="249"/>
      <c r="J1110" s="249"/>
      <c r="K1110" s="249"/>
      <c r="L1110" s="249"/>
      <c r="M1110" s="249"/>
      <c r="N1110" s="249"/>
    </row>
    <row r="1111" spans="1:14" ht="15" customHeight="1" x14ac:dyDescent="0.15">
      <c r="A1111" s="249"/>
      <c r="B1111" s="249"/>
      <c r="C1111" s="249"/>
      <c r="D1111" s="249"/>
      <c r="E1111" s="249"/>
      <c r="F1111" s="249"/>
      <c r="G1111" s="249"/>
      <c r="H1111" s="249"/>
      <c r="I1111" s="249"/>
      <c r="J1111" s="249"/>
      <c r="K1111" s="249"/>
      <c r="L1111" s="249"/>
      <c r="M1111" s="249"/>
      <c r="N1111" s="249"/>
    </row>
    <row r="1112" spans="1:14" ht="15" customHeight="1" x14ac:dyDescent="0.15">
      <c r="A1112" s="249"/>
      <c r="B1112" s="249"/>
      <c r="C1112" s="249"/>
      <c r="D1112" s="249"/>
      <c r="E1112" s="249"/>
      <c r="F1112" s="249"/>
      <c r="G1112" s="249"/>
      <c r="H1112" s="249"/>
      <c r="I1112" s="249"/>
      <c r="J1112" s="249"/>
      <c r="K1112" s="249"/>
      <c r="L1112" s="249"/>
      <c r="M1112" s="249"/>
      <c r="N1112" s="249"/>
    </row>
    <row r="1113" spans="1:14" ht="15" customHeight="1" x14ac:dyDescent="0.15">
      <c r="A1113" s="249"/>
      <c r="B1113" s="249"/>
      <c r="C1113" s="249"/>
      <c r="D1113" s="249"/>
      <c r="E1113" s="249"/>
      <c r="F1113" s="249"/>
      <c r="G1113" s="249"/>
      <c r="H1113" s="249"/>
      <c r="I1113" s="249"/>
      <c r="J1113" s="249"/>
      <c r="K1113" s="249"/>
      <c r="L1113" s="249"/>
      <c r="M1113" s="249"/>
      <c r="N1113" s="249"/>
    </row>
    <row r="1114" spans="1:14" ht="15" customHeight="1" x14ac:dyDescent="0.15">
      <c r="A1114" s="249"/>
      <c r="B1114" s="249"/>
      <c r="C1114" s="249"/>
      <c r="D1114" s="249"/>
      <c r="E1114" s="249"/>
      <c r="F1114" s="249"/>
      <c r="G1114" s="249"/>
      <c r="H1114" s="249"/>
      <c r="I1114" s="249"/>
      <c r="J1114" s="249"/>
      <c r="K1114" s="249"/>
      <c r="L1114" s="249"/>
      <c r="M1114" s="249"/>
      <c r="N1114" s="249"/>
    </row>
    <row r="1115" spans="1:14" ht="15" customHeight="1" x14ac:dyDescent="0.15">
      <c r="A1115" s="249"/>
      <c r="B1115" s="249"/>
      <c r="C1115" s="249"/>
      <c r="D1115" s="249"/>
      <c r="E1115" s="249"/>
      <c r="F1115" s="249"/>
      <c r="G1115" s="249"/>
      <c r="H1115" s="249"/>
      <c r="I1115" s="249"/>
      <c r="J1115" s="249"/>
      <c r="K1115" s="249"/>
      <c r="L1115" s="249"/>
      <c r="M1115" s="249"/>
      <c r="N1115" s="249"/>
    </row>
    <row r="1116" spans="1:14" ht="15" customHeight="1" x14ac:dyDescent="0.15">
      <c r="A1116" s="249"/>
      <c r="B1116" s="249"/>
      <c r="C1116" s="249"/>
      <c r="D1116" s="249"/>
      <c r="E1116" s="249"/>
      <c r="F1116" s="249"/>
      <c r="G1116" s="249"/>
      <c r="H1116" s="249"/>
      <c r="I1116" s="249"/>
      <c r="J1116" s="249"/>
      <c r="K1116" s="249"/>
      <c r="L1116" s="249"/>
      <c r="M1116" s="249"/>
      <c r="N1116" s="249"/>
    </row>
    <row r="1117" spans="1:14" ht="15" customHeight="1" x14ac:dyDescent="0.15">
      <c r="A1117" s="249"/>
      <c r="B1117" s="249"/>
      <c r="C1117" s="249"/>
      <c r="D1117" s="249"/>
      <c r="E1117" s="249"/>
      <c r="F1117" s="249"/>
      <c r="G1117" s="249"/>
      <c r="H1117" s="249"/>
      <c r="I1117" s="249"/>
      <c r="J1117" s="249"/>
      <c r="K1117" s="249"/>
      <c r="L1117" s="249"/>
      <c r="M1117" s="249"/>
      <c r="N1117" s="249"/>
    </row>
    <row r="1118" spans="1:14" ht="15" customHeight="1" x14ac:dyDescent="0.15">
      <c r="A1118" s="249"/>
      <c r="B1118" s="249"/>
      <c r="C1118" s="249"/>
      <c r="D1118" s="249"/>
      <c r="E1118" s="249"/>
      <c r="F1118" s="249"/>
      <c r="G1118" s="249"/>
      <c r="H1118" s="249"/>
      <c r="I1118" s="249"/>
      <c r="J1118" s="249"/>
      <c r="K1118" s="249"/>
      <c r="L1118" s="249"/>
      <c r="M1118" s="249"/>
      <c r="N1118" s="249"/>
    </row>
    <row r="1119" spans="1:14" ht="15" customHeight="1" x14ac:dyDescent="0.15">
      <c r="A1119" s="249"/>
      <c r="B1119" s="249"/>
      <c r="C1119" s="249"/>
      <c r="D1119" s="249"/>
      <c r="E1119" s="249"/>
      <c r="F1119" s="249"/>
      <c r="G1119" s="249"/>
      <c r="H1119" s="249"/>
      <c r="I1119" s="249"/>
      <c r="J1119" s="249"/>
      <c r="K1119" s="249"/>
      <c r="L1119" s="249"/>
      <c r="M1119" s="249"/>
      <c r="N1119" s="249"/>
    </row>
    <row r="1120" spans="1:14" ht="15" customHeight="1" x14ac:dyDescent="0.15">
      <c r="A1120" s="249"/>
      <c r="B1120" s="249"/>
      <c r="C1120" s="249"/>
      <c r="D1120" s="249"/>
      <c r="E1120" s="249"/>
      <c r="F1120" s="249"/>
      <c r="G1120" s="249"/>
      <c r="H1120" s="249"/>
      <c r="I1120" s="249"/>
      <c r="J1120" s="249"/>
      <c r="K1120" s="249"/>
      <c r="L1120" s="249"/>
      <c r="M1120" s="249"/>
      <c r="N1120" s="249"/>
    </row>
    <row r="1121" spans="1:14" ht="15" customHeight="1" x14ac:dyDescent="0.15">
      <c r="A1121" s="249"/>
      <c r="B1121" s="249"/>
      <c r="C1121" s="249"/>
      <c r="D1121" s="249"/>
      <c r="E1121" s="249"/>
      <c r="F1121" s="249"/>
      <c r="G1121" s="249"/>
      <c r="H1121" s="249"/>
      <c r="I1121" s="249"/>
      <c r="J1121" s="249"/>
      <c r="K1121" s="249"/>
      <c r="L1121" s="249"/>
      <c r="M1121" s="249"/>
      <c r="N1121" s="249"/>
    </row>
    <row r="1122" spans="1:14" ht="15" customHeight="1" x14ac:dyDescent="0.15">
      <c r="A1122" s="249"/>
      <c r="B1122" s="249"/>
      <c r="C1122" s="249"/>
      <c r="D1122" s="249"/>
      <c r="E1122" s="249"/>
      <c r="F1122" s="249"/>
      <c r="G1122" s="249"/>
      <c r="H1122" s="249"/>
      <c r="I1122" s="249"/>
      <c r="J1122" s="249"/>
      <c r="K1122" s="249"/>
      <c r="L1122" s="249"/>
      <c r="M1122" s="249"/>
      <c r="N1122" s="249"/>
    </row>
    <row r="1123" spans="1:14" ht="15" customHeight="1" x14ac:dyDescent="0.15">
      <c r="A1123" s="249"/>
      <c r="B1123" s="249"/>
      <c r="C1123" s="249"/>
      <c r="D1123" s="249"/>
      <c r="E1123" s="249"/>
      <c r="F1123" s="249"/>
      <c r="G1123" s="249"/>
      <c r="H1123" s="249"/>
      <c r="I1123" s="249"/>
      <c r="J1123" s="249"/>
      <c r="K1123" s="249"/>
      <c r="L1123" s="249"/>
      <c r="M1123" s="249"/>
      <c r="N1123" s="249"/>
    </row>
    <row r="1124" spans="1:14" ht="15" customHeight="1" x14ac:dyDescent="0.15">
      <c r="A1124" s="249"/>
      <c r="B1124" s="249"/>
      <c r="C1124" s="249"/>
      <c r="D1124" s="249"/>
      <c r="E1124" s="249"/>
      <c r="F1124" s="249"/>
      <c r="G1124" s="249"/>
      <c r="H1124" s="249"/>
      <c r="I1124" s="249"/>
      <c r="J1124" s="249"/>
      <c r="K1124" s="249"/>
      <c r="L1124" s="249"/>
      <c r="M1124" s="249"/>
      <c r="N1124" s="249"/>
    </row>
    <row r="1125" spans="1:14" ht="15" customHeight="1" x14ac:dyDescent="0.15">
      <c r="A1125" s="249"/>
      <c r="B1125" s="249"/>
      <c r="C1125" s="249"/>
      <c r="D1125" s="249"/>
      <c r="E1125" s="249"/>
      <c r="F1125" s="249"/>
      <c r="G1125" s="249"/>
      <c r="H1125" s="249"/>
      <c r="I1125" s="249"/>
      <c r="J1125" s="249"/>
      <c r="K1125" s="249"/>
      <c r="L1125" s="249"/>
      <c r="M1125" s="249"/>
      <c r="N1125" s="249"/>
    </row>
    <row r="1126" spans="1:14" ht="15" customHeight="1" x14ac:dyDescent="0.15">
      <c r="A1126" s="249"/>
      <c r="B1126" s="249"/>
      <c r="C1126" s="249"/>
      <c r="D1126" s="249"/>
      <c r="E1126" s="249"/>
      <c r="F1126" s="249"/>
      <c r="G1126" s="249"/>
      <c r="H1126" s="249"/>
      <c r="I1126" s="249"/>
      <c r="J1126" s="249"/>
      <c r="K1126" s="249"/>
      <c r="L1126" s="249"/>
      <c r="M1126" s="249"/>
      <c r="N1126" s="249"/>
    </row>
    <row r="1127" spans="1:14" ht="15" customHeight="1" x14ac:dyDescent="0.15">
      <c r="A1127" s="249"/>
      <c r="B1127" s="249"/>
      <c r="C1127" s="249"/>
      <c r="D1127" s="249"/>
      <c r="E1127" s="249"/>
      <c r="F1127" s="249"/>
      <c r="G1127" s="249"/>
      <c r="H1127" s="249"/>
      <c r="I1127" s="249"/>
      <c r="J1127" s="249"/>
      <c r="K1127" s="249"/>
      <c r="L1127" s="249"/>
      <c r="M1127" s="249"/>
      <c r="N1127" s="249"/>
    </row>
    <row r="1128" spans="1:14" ht="15" customHeight="1" x14ac:dyDescent="0.15">
      <c r="A1128" s="249"/>
      <c r="B1128" s="249"/>
      <c r="C1128" s="249"/>
      <c r="D1128" s="249"/>
      <c r="E1128" s="249"/>
      <c r="F1128" s="249"/>
      <c r="G1128" s="249"/>
      <c r="H1128" s="249"/>
      <c r="I1128" s="249"/>
      <c r="J1128" s="249"/>
      <c r="K1128" s="249"/>
      <c r="L1128" s="249"/>
      <c r="M1128" s="249"/>
      <c r="N1128" s="249"/>
    </row>
    <row r="1129" spans="1:14" ht="15" customHeight="1" x14ac:dyDescent="0.15">
      <c r="A1129" s="249"/>
      <c r="B1129" s="249"/>
      <c r="C1129" s="249"/>
      <c r="D1129" s="249"/>
      <c r="E1129" s="249"/>
      <c r="F1129" s="249"/>
      <c r="G1129" s="249"/>
      <c r="H1129" s="249"/>
      <c r="I1129" s="249"/>
      <c r="J1129" s="249"/>
      <c r="K1129" s="249"/>
      <c r="L1129" s="249"/>
      <c r="M1129" s="249"/>
      <c r="N1129" s="249"/>
    </row>
    <row r="1130" spans="1:14" ht="15" customHeight="1" x14ac:dyDescent="0.15">
      <c r="A1130" s="249"/>
      <c r="B1130" s="249"/>
      <c r="C1130" s="249"/>
      <c r="D1130" s="249"/>
      <c r="E1130" s="249"/>
      <c r="F1130" s="249"/>
      <c r="G1130" s="249"/>
      <c r="H1130" s="249"/>
      <c r="I1130" s="249"/>
      <c r="J1130" s="249"/>
      <c r="K1130" s="249"/>
      <c r="L1130" s="249"/>
      <c r="M1130" s="249"/>
      <c r="N1130" s="249"/>
    </row>
    <row r="1131" spans="1:14" ht="15" customHeight="1" x14ac:dyDescent="0.15">
      <c r="A1131" s="249"/>
      <c r="B1131" s="249"/>
      <c r="C1131" s="249"/>
      <c r="D1131" s="249"/>
      <c r="E1131" s="249"/>
      <c r="F1131" s="249"/>
      <c r="G1131" s="249"/>
      <c r="H1131" s="249"/>
      <c r="I1131" s="249"/>
      <c r="J1131" s="249"/>
      <c r="K1131" s="249"/>
      <c r="L1131" s="249"/>
      <c r="M1131" s="249"/>
      <c r="N1131" s="249"/>
    </row>
    <row r="1132" spans="1:14" ht="15" customHeight="1" x14ac:dyDescent="0.15">
      <c r="A1132" s="249"/>
      <c r="B1132" s="249"/>
      <c r="C1132" s="249"/>
      <c r="D1132" s="249"/>
      <c r="E1132" s="249"/>
      <c r="F1132" s="249"/>
      <c r="G1132" s="249"/>
      <c r="H1132" s="249"/>
      <c r="I1132" s="249"/>
      <c r="J1132" s="249"/>
      <c r="K1132" s="249"/>
      <c r="L1132" s="249"/>
      <c r="M1132" s="249"/>
      <c r="N1132" s="249"/>
    </row>
    <row r="1133" spans="1:14" ht="15" customHeight="1" x14ac:dyDescent="0.15">
      <c r="A1133" s="249"/>
      <c r="B1133" s="249"/>
      <c r="C1133" s="249"/>
      <c r="D1133" s="249"/>
      <c r="E1133" s="249"/>
      <c r="F1133" s="249"/>
      <c r="G1133" s="249"/>
      <c r="H1133" s="249"/>
      <c r="I1133" s="249"/>
      <c r="J1133" s="249"/>
      <c r="K1133" s="249"/>
      <c r="L1133" s="249"/>
      <c r="M1133" s="249"/>
      <c r="N1133" s="249"/>
    </row>
    <row r="1134" spans="1:14" ht="15" customHeight="1" x14ac:dyDescent="0.15">
      <c r="A1134" s="249"/>
      <c r="B1134" s="249"/>
      <c r="C1134" s="249"/>
      <c r="D1134" s="249"/>
      <c r="E1134" s="249"/>
      <c r="F1134" s="249"/>
      <c r="G1134" s="249"/>
      <c r="H1134" s="249"/>
      <c r="I1134" s="249"/>
      <c r="J1134" s="249"/>
      <c r="K1134" s="249"/>
      <c r="L1134" s="249"/>
      <c r="M1134" s="249"/>
      <c r="N1134" s="249"/>
    </row>
    <row r="1135" spans="1:14" ht="15" customHeight="1" x14ac:dyDescent="0.15">
      <c r="A1135" s="249"/>
      <c r="B1135" s="249"/>
      <c r="C1135" s="249"/>
      <c r="D1135" s="249"/>
      <c r="E1135" s="249"/>
      <c r="F1135" s="249"/>
      <c r="G1135" s="249"/>
      <c r="H1135" s="249"/>
      <c r="I1135" s="249"/>
      <c r="J1135" s="249"/>
      <c r="K1135" s="249"/>
      <c r="L1135" s="249"/>
      <c r="M1135" s="249"/>
      <c r="N1135" s="249"/>
    </row>
    <row r="1136" spans="1:14" ht="15" customHeight="1" x14ac:dyDescent="0.15">
      <c r="A1136" s="249"/>
      <c r="B1136" s="249"/>
      <c r="C1136" s="249"/>
      <c r="D1136" s="249"/>
      <c r="E1136" s="249"/>
      <c r="F1136" s="249"/>
      <c r="G1136" s="249"/>
      <c r="H1136" s="249"/>
      <c r="I1136" s="249"/>
      <c r="J1136" s="249"/>
      <c r="K1136" s="249"/>
      <c r="L1136" s="249"/>
      <c r="M1136" s="249"/>
      <c r="N1136" s="249"/>
    </row>
    <row r="1137" spans="1:14" ht="15" customHeight="1" x14ac:dyDescent="0.15">
      <c r="A1137" s="249"/>
      <c r="B1137" s="249"/>
      <c r="C1137" s="249"/>
      <c r="D1137" s="249"/>
      <c r="E1137" s="249"/>
      <c r="F1137" s="249"/>
      <c r="G1137" s="249"/>
      <c r="H1137" s="249"/>
      <c r="I1137" s="249"/>
      <c r="J1137" s="249"/>
      <c r="K1137" s="249"/>
      <c r="L1137" s="249"/>
      <c r="M1137" s="249"/>
      <c r="N1137" s="249"/>
    </row>
    <row r="1138" spans="1:14" ht="15" customHeight="1" x14ac:dyDescent="0.15">
      <c r="A1138" s="249"/>
      <c r="B1138" s="249"/>
      <c r="C1138" s="249"/>
      <c r="D1138" s="249"/>
      <c r="E1138" s="249"/>
      <c r="F1138" s="249"/>
      <c r="G1138" s="249"/>
      <c r="H1138" s="249"/>
      <c r="I1138" s="249"/>
      <c r="J1138" s="249"/>
      <c r="K1138" s="249"/>
      <c r="L1138" s="249"/>
      <c r="M1138" s="249"/>
      <c r="N1138" s="249"/>
    </row>
    <row r="1139" spans="1:14" ht="15" customHeight="1" x14ac:dyDescent="0.15">
      <c r="A1139" s="249"/>
      <c r="B1139" s="249"/>
      <c r="C1139" s="249"/>
      <c r="D1139" s="249"/>
      <c r="E1139" s="249"/>
      <c r="F1139" s="249"/>
      <c r="G1139" s="249"/>
      <c r="H1139" s="249"/>
      <c r="I1139" s="249"/>
      <c r="J1139" s="249"/>
      <c r="K1139" s="249"/>
      <c r="L1139" s="249"/>
      <c r="M1139" s="249"/>
      <c r="N1139" s="249"/>
    </row>
    <row r="1140" spans="1:14" ht="15" customHeight="1" x14ac:dyDescent="0.15">
      <c r="A1140" s="249"/>
      <c r="B1140" s="249"/>
      <c r="C1140" s="249"/>
      <c r="D1140" s="249"/>
      <c r="E1140" s="249"/>
      <c r="F1140" s="249"/>
      <c r="G1140" s="249"/>
      <c r="H1140" s="249"/>
      <c r="I1140" s="249"/>
      <c r="J1140" s="249"/>
      <c r="K1140" s="249"/>
      <c r="L1140" s="249"/>
      <c r="M1140" s="249"/>
      <c r="N1140" s="249"/>
    </row>
    <row r="1141" spans="1:14" ht="15" customHeight="1" x14ac:dyDescent="0.15">
      <c r="A1141" s="249"/>
      <c r="B1141" s="249"/>
      <c r="C1141" s="249"/>
      <c r="D1141" s="249"/>
      <c r="E1141" s="249"/>
      <c r="F1141" s="249"/>
      <c r="G1141" s="249"/>
      <c r="H1141" s="249"/>
      <c r="I1141" s="249"/>
      <c r="J1141" s="249"/>
      <c r="K1141" s="249"/>
      <c r="L1141" s="249"/>
      <c r="M1141" s="249"/>
      <c r="N1141" s="249"/>
    </row>
    <row r="1142" spans="1:14" ht="15" customHeight="1" x14ac:dyDescent="0.15">
      <c r="A1142" s="249"/>
      <c r="B1142" s="249"/>
      <c r="C1142" s="249"/>
      <c r="D1142" s="249"/>
      <c r="E1142" s="249"/>
      <c r="F1142" s="249"/>
      <c r="G1142" s="249"/>
      <c r="H1142" s="249"/>
      <c r="I1142" s="249"/>
      <c r="J1142" s="249"/>
      <c r="K1142" s="249"/>
      <c r="L1142" s="249"/>
      <c r="M1142" s="249"/>
      <c r="N1142" s="249"/>
    </row>
    <row r="1143" spans="1:14" ht="15" customHeight="1" x14ac:dyDescent="0.15">
      <c r="A1143" s="249"/>
      <c r="B1143" s="249"/>
      <c r="C1143" s="249"/>
      <c r="D1143" s="249"/>
      <c r="E1143" s="249"/>
      <c r="F1143" s="249"/>
      <c r="G1143" s="249"/>
      <c r="H1143" s="249"/>
      <c r="I1143" s="249"/>
      <c r="J1143" s="249"/>
      <c r="K1143" s="249"/>
      <c r="L1143" s="249"/>
      <c r="M1143" s="249"/>
      <c r="N1143" s="249"/>
    </row>
    <row r="1144" spans="1:14" ht="15" customHeight="1" x14ac:dyDescent="0.15">
      <c r="A1144" s="249"/>
      <c r="B1144" s="249"/>
      <c r="C1144" s="249"/>
      <c r="D1144" s="249"/>
      <c r="E1144" s="249"/>
      <c r="F1144" s="249"/>
      <c r="G1144" s="249"/>
      <c r="H1144" s="249"/>
      <c r="I1144" s="249"/>
      <c r="J1144" s="249"/>
      <c r="K1144" s="249"/>
      <c r="L1144" s="249"/>
      <c r="M1144" s="249"/>
      <c r="N1144" s="249"/>
    </row>
    <row r="1145" spans="1:14" ht="15" customHeight="1" x14ac:dyDescent="0.15">
      <c r="A1145" s="249"/>
      <c r="B1145" s="249"/>
      <c r="C1145" s="249"/>
      <c r="D1145" s="249"/>
      <c r="E1145" s="249"/>
      <c r="F1145" s="249"/>
      <c r="G1145" s="249"/>
      <c r="H1145" s="249"/>
      <c r="I1145" s="249"/>
      <c r="J1145" s="249"/>
      <c r="K1145" s="249"/>
      <c r="L1145" s="249"/>
      <c r="M1145" s="249"/>
      <c r="N1145" s="249"/>
    </row>
    <row r="1146" spans="1:14" ht="15" customHeight="1" x14ac:dyDescent="0.15">
      <c r="A1146" s="249"/>
      <c r="B1146" s="249"/>
      <c r="C1146" s="249"/>
      <c r="D1146" s="249"/>
      <c r="E1146" s="249"/>
      <c r="F1146" s="249"/>
      <c r="G1146" s="249"/>
      <c r="H1146" s="249"/>
      <c r="I1146" s="249"/>
      <c r="J1146" s="249"/>
      <c r="K1146" s="249"/>
      <c r="L1146" s="249"/>
      <c r="M1146" s="249"/>
      <c r="N1146" s="249"/>
    </row>
    <row r="1147" spans="1:14" ht="15" customHeight="1" x14ac:dyDescent="0.15">
      <c r="A1147" s="249"/>
      <c r="B1147" s="249"/>
      <c r="C1147" s="249"/>
      <c r="D1147" s="249"/>
      <c r="E1147" s="249"/>
      <c r="F1147" s="249"/>
      <c r="G1147" s="249"/>
      <c r="H1147" s="249"/>
      <c r="I1147" s="249"/>
      <c r="J1147" s="249"/>
      <c r="K1147" s="249"/>
      <c r="L1147" s="249"/>
      <c r="M1147" s="249"/>
      <c r="N1147" s="249"/>
    </row>
    <row r="1148" spans="1:14" ht="15" customHeight="1" x14ac:dyDescent="0.15">
      <c r="A1148" s="249"/>
      <c r="B1148" s="249"/>
      <c r="C1148" s="249"/>
      <c r="D1148" s="249"/>
      <c r="E1148" s="249"/>
      <c r="F1148" s="249"/>
      <c r="G1148" s="249"/>
      <c r="H1148" s="249"/>
      <c r="I1148" s="249"/>
      <c r="J1148" s="249"/>
      <c r="K1148" s="249"/>
      <c r="L1148" s="249"/>
      <c r="M1148" s="249"/>
      <c r="N1148" s="249"/>
    </row>
    <row r="1149" spans="1:14" ht="15" customHeight="1" x14ac:dyDescent="0.15">
      <c r="A1149" s="249"/>
      <c r="B1149" s="249"/>
      <c r="C1149" s="249"/>
      <c r="D1149" s="249"/>
      <c r="E1149" s="249"/>
      <c r="F1149" s="249"/>
      <c r="G1149" s="249"/>
      <c r="H1149" s="249"/>
      <c r="I1149" s="249"/>
      <c r="J1149" s="249"/>
      <c r="K1149" s="249"/>
      <c r="L1149" s="249"/>
      <c r="M1149" s="249"/>
      <c r="N1149" s="249"/>
    </row>
    <row r="1150" spans="1:14" ht="15" customHeight="1" x14ac:dyDescent="0.15">
      <c r="A1150" s="249"/>
      <c r="B1150" s="249"/>
      <c r="C1150" s="249"/>
      <c r="D1150" s="249"/>
      <c r="E1150" s="249"/>
      <c r="F1150" s="249"/>
      <c r="G1150" s="249"/>
      <c r="H1150" s="249"/>
      <c r="I1150" s="249"/>
      <c r="J1150" s="249"/>
      <c r="K1150" s="249"/>
      <c r="L1150" s="249"/>
      <c r="M1150" s="249"/>
      <c r="N1150" s="249"/>
    </row>
    <row r="1151" spans="1:14" ht="15" customHeight="1" x14ac:dyDescent="0.15">
      <c r="A1151" s="249"/>
      <c r="B1151" s="249"/>
      <c r="C1151" s="249"/>
      <c r="D1151" s="249"/>
      <c r="E1151" s="249"/>
      <c r="F1151" s="249"/>
      <c r="G1151" s="249"/>
      <c r="H1151" s="249"/>
      <c r="I1151" s="249"/>
      <c r="J1151" s="249"/>
      <c r="K1151" s="249"/>
      <c r="L1151" s="249"/>
      <c r="M1151" s="249"/>
      <c r="N1151" s="249"/>
    </row>
    <row r="1152" spans="1:14" ht="15" customHeight="1" x14ac:dyDescent="0.15">
      <c r="A1152" s="249"/>
      <c r="B1152" s="249"/>
      <c r="C1152" s="249"/>
      <c r="D1152" s="249"/>
      <c r="E1152" s="249"/>
      <c r="F1152" s="249"/>
      <c r="G1152" s="249"/>
      <c r="H1152" s="249"/>
      <c r="I1152" s="249"/>
      <c r="J1152" s="249"/>
      <c r="K1152" s="249"/>
      <c r="L1152" s="249"/>
      <c r="M1152" s="249"/>
      <c r="N1152" s="249"/>
    </row>
    <row r="1153" spans="1:14" ht="15" customHeight="1" x14ac:dyDescent="0.15">
      <c r="A1153" s="249"/>
      <c r="B1153" s="249"/>
      <c r="C1153" s="249"/>
      <c r="D1153" s="249"/>
      <c r="E1153" s="249"/>
      <c r="F1153" s="249"/>
      <c r="G1153" s="249"/>
      <c r="H1153" s="249"/>
      <c r="I1153" s="249"/>
      <c r="J1153" s="249"/>
      <c r="K1153" s="249"/>
      <c r="L1153" s="249"/>
      <c r="M1153" s="249"/>
      <c r="N1153" s="249"/>
    </row>
    <row r="1154" spans="1:14" ht="15" customHeight="1" x14ac:dyDescent="0.15">
      <c r="A1154" s="249"/>
      <c r="B1154" s="249"/>
      <c r="C1154" s="249"/>
      <c r="D1154" s="249"/>
      <c r="E1154" s="249"/>
      <c r="F1154" s="249"/>
      <c r="G1154" s="249"/>
      <c r="H1154" s="249"/>
      <c r="I1154" s="249"/>
      <c r="J1154" s="249"/>
      <c r="K1154" s="249"/>
      <c r="L1154" s="249"/>
      <c r="M1154" s="249"/>
      <c r="N1154" s="249"/>
    </row>
    <row r="1155" spans="1:14" ht="15" customHeight="1" x14ac:dyDescent="0.15">
      <c r="A1155" s="249"/>
      <c r="B1155" s="249"/>
      <c r="C1155" s="249"/>
      <c r="D1155" s="249"/>
      <c r="E1155" s="249"/>
      <c r="F1155" s="249"/>
      <c r="G1155" s="249"/>
      <c r="H1155" s="249"/>
      <c r="I1155" s="249"/>
      <c r="J1155" s="249"/>
      <c r="K1155" s="249"/>
      <c r="L1155" s="249"/>
      <c r="M1155" s="249"/>
      <c r="N1155" s="249"/>
    </row>
    <row r="1156" spans="1:14" ht="15" customHeight="1" x14ac:dyDescent="0.15">
      <c r="A1156" s="249"/>
      <c r="B1156" s="249"/>
      <c r="C1156" s="249"/>
      <c r="D1156" s="249"/>
      <c r="E1156" s="249"/>
      <c r="F1156" s="249"/>
      <c r="G1156" s="249"/>
      <c r="H1156" s="249"/>
      <c r="I1156" s="249"/>
      <c r="J1156" s="249"/>
      <c r="K1156" s="249"/>
      <c r="L1156" s="249"/>
      <c r="M1156" s="249"/>
      <c r="N1156" s="249"/>
    </row>
    <row r="1157" spans="1:14" ht="15" customHeight="1" x14ac:dyDescent="0.15">
      <c r="A1157" s="249"/>
      <c r="B1157" s="249"/>
      <c r="C1157" s="249"/>
      <c r="D1157" s="249"/>
      <c r="E1157" s="249"/>
      <c r="F1157" s="249"/>
      <c r="G1157" s="249"/>
      <c r="H1157" s="249"/>
      <c r="I1157" s="249"/>
      <c r="J1157" s="249"/>
      <c r="K1157" s="249"/>
      <c r="L1157" s="249"/>
      <c r="M1157" s="249"/>
      <c r="N1157" s="249"/>
    </row>
    <row r="1158" spans="1:14" ht="15" customHeight="1" x14ac:dyDescent="0.15">
      <c r="A1158" s="249"/>
      <c r="B1158" s="249"/>
      <c r="C1158" s="249"/>
      <c r="D1158" s="249"/>
      <c r="E1158" s="249"/>
      <c r="F1158" s="249"/>
      <c r="G1158" s="249"/>
      <c r="H1158" s="249"/>
      <c r="I1158" s="249"/>
      <c r="J1158" s="249"/>
      <c r="K1158" s="249"/>
      <c r="L1158" s="249"/>
      <c r="M1158" s="249"/>
      <c r="N1158" s="249"/>
    </row>
    <row r="1159" spans="1:14" ht="15" customHeight="1" x14ac:dyDescent="0.15">
      <c r="A1159" s="249"/>
      <c r="B1159" s="249"/>
      <c r="C1159" s="249"/>
      <c r="D1159" s="249"/>
      <c r="E1159" s="249"/>
      <c r="F1159" s="249"/>
      <c r="G1159" s="249"/>
      <c r="H1159" s="249"/>
      <c r="I1159" s="249"/>
      <c r="J1159" s="249"/>
      <c r="K1159" s="249"/>
      <c r="L1159" s="249"/>
      <c r="M1159" s="249"/>
      <c r="N1159" s="249"/>
    </row>
    <row r="1160" spans="1:14" ht="15" customHeight="1" x14ac:dyDescent="0.15">
      <c r="A1160" s="249"/>
      <c r="B1160" s="249"/>
      <c r="C1160" s="249"/>
      <c r="D1160" s="249"/>
      <c r="E1160" s="249"/>
      <c r="F1160" s="249"/>
      <c r="G1160" s="249"/>
      <c r="H1160" s="249"/>
      <c r="I1160" s="249"/>
      <c r="J1160" s="249"/>
      <c r="K1160" s="249"/>
      <c r="L1160" s="249"/>
      <c r="M1160" s="249"/>
      <c r="N1160" s="249"/>
    </row>
    <row r="1161" spans="1:14" ht="15" customHeight="1" x14ac:dyDescent="0.15">
      <c r="A1161" s="249"/>
      <c r="B1161" s="249"/>
      <c r="C1161" s="249"/>
      <c r="D1161" s="249"/>
      <c r="E1161" s="249"/>
      <c r="F1161" s="249"/>
      <c r="G1161" s="249"/>
      <c r="H1161" s="249"/>
      <c r="I1161" s="249"/>
      <c r="J1161" s="249"/>
      <c r="K1161" s="249"/>
      <c r="L1161" s="249"/>
      <c r="M1161" s="249"/>
      <c r="N1161" s="249"/>
    </row>
    <row r="1162" spans="1:14" ht="15" customHeight="1" x14ac:dyDescent="0.15">
      <c r="A1162" s="249"/>
      <c r="B1162" s="249"/>
      <c r="C1162" s="249"/>
      <c r="D1162" s="249"/>
      <c r="E1162" s="249"/>
      <c r="F1162" s="249"/>
      <c r="G1162" s="249"/>
      <c r="H1162" s="249"/>
      <c r="I1162" s="249"/>
      <c r="J1162" s="249"/>
      <c r="K1162" s="249"/>
      <c r="L1162" s="249"/>
      <c r="M1162" s="249"/>
      <c r="N1162" s="249"/>
    </row>
    <row r="1163" spans="1:14" ht="15" customHeight="1" x14ac:dyDescent="0.15">
      <c r="A1163" s="249"/>
      <c r="B1163" s="249"/>
      <c r="C1163" s="249"/>
      <c r="D1163" s="249"/>
      <c r="E1163" s="249"/>
      <c r="F1163" s="249"/>
      <c r="G1163" s="249"/>
      <c r="H1163" s="249"/>
      <c r="I1163" s="249"/>
      <c r="J1163" s="249"/>
      <c r="K1163" s="249"/>
      <c r="L1163" s="249"/>
      <c r="M1163" s="249"/>
      <c r="N1163" s="249"/>
    </row>
    <row r="1164" spans="1:14" ht="15" customHeight="1" x14ac:dyDescent="0.15">
      <c r="A1164" s="249"/>
      <c r="B1164" s="249"/>
      <c r="C1164" s="249"/>
      <c r="D1164" s="249"/>
      <c r="E1164" s="249"/>
      <c r="F1164" s="249"/>
      <c r="G1164" s="249"/>
      <c r="H1164" s="249"/>
      <c r="I1164" s="249"/>
      <c r="J1164" s="249"/>
      <c r="K1164" s="249"/>
      <c r="L1164" s="249"/>
      <c r="M1164" s="249"/>
      <c r="N1164" s="249"/>
    </row>
    <row r="1165" spans="1:14" ht="15" customHeight="1" x14ac:dyDescent="0.15">
      <c r="A1165" s="249"/>
      <c r="B1165" s="249"/>
      <c r="C1165" s="249"/>
      <c r="D1165" s="249"/>
      <c r="E1165" s="249"/>
      <c r="F1165" s="249"/>
      <c r="G1165" s="249"/>
      <c r="H1165" s="249"/>
      <c r="I1165" s="249"/>
      <c r="J1165" s="249"/>
      <c r="K1165" s="249"/>
      <c r="L1165" s="249"/>
      <c r="M1165" s="249"/>
      <c r="N1165" s="249"/>
    </row>
    <row r="1166" spans="1:14" ht="15" customHeight="1" x14ac:dyDescent="0.15">
      <c r="A1166" s="249"/>
      <c r="B1166" s="249"/>
      <c r="C1166" s="249"/>
      <c r="D1166" s="249"/>
      <c r="E1166" s="249"/>
      <c r="F1166" s="249"/>
      <c r="G1166" s="249"/>
      <c r="H1166" s="249"/>
      <c r="I1166" s="249"/>
      <c r="J1166" s="249"/>
      <c r="K1166" s="249"/>
      <c r="L1166" s="249"/>
      <c r="M1166" s="249"/>
      <c r="N1166" s="249"/>
    </row>
    <row r="1167" spans="1:14" ht="15" customHeight="1" x14ac:dyDescent="0.15">
      <c r="A1167" s="249"/>
      <c r="B1167" s="249"/>
      <c r="C1167" s="249"/>
      <c r="D1167" s="249"/>
      <c r="E1167" s="249"/>
      <c r="F1167" s="249"/>
      <c r="G1167" s="249"/>
      <c r="H1167" s="249"/>
      <c r="I1167" s="249"/>
      <c r="J1167" s="249"/>
      <c r="K1167" s="249"/>
      <c r="L1167" s="249"/>
      <c r="M1167" s="249"/>
      <c r="N1167" s="249"/>
    </row>
    <row r="1168" spans="1:14" ht="15" customHeight="1" x14ac:dyDescent="0.15">
      <c r="A1168" s="249"/>
      <c r="B1168" s="249"/>
      <c r="C1168" s="249"/>
      <c r="D1168" s="249"/>
      <c r="E1168" s="249"/>
      <c r="F1168" s="249"/>
      <c r="G1168" s="249"/>
      <c r="H1168" s="249"/>
      <c r="I1168" s="249"/>
      <c r="J1168" s="249"/>
      <c r="K1168" s="249"/>
      <c r="L1168" s="249"/>
      <c r="M1168" s="249"/>
      <c r="N1168" s="249"/>
    </row>
    <row r="1169" spans="1:14" ht="15" customHeight="1" x14ac:dyDescent="0.15">
      <c r="A1169" s="249"/>
      <c r="B1169" s="249"/>
      <c r="C1169" s="249"/>
      <c r="D1169" s="249"/>
      <c r="E1169" s="249"/>
      <c r="F1169" s="249"/>
      <c r="G1169" s="249"/>
      <c r="H1169" s="249"/>
      <c r="I1169" s="249"/>
      <c r="J1169" s="249"/>
      <c r="K1169" s="249"/>
      <c r="L1169" s="249"/>
      <c r="M1169" s="249"/>
      <c r="N1169" s="249"/>
    </row>
    <row r="1170" spans="1:14" ht="15" customHeight="1" x14ac:dyDescent="0.15">
      <c r="A1170" s="249"/>
      <c r="B1170" s="249"/>
      <c r="C1170" s="249"/>
      <c r="D1170" s="249"/>
      <c r="E1170" s="249"/>
      <c r="F1170" s="249"/>
      <c r="G1170" s="249"/>
      <c r="H1170" s="249"/>
      <c r="I1170" s="249"/>
      <c r="J1170" s="249"/>
      <c r="K1170" s="249"/>
      <c r="L1170" s="249"/>
      <c r="M1170" s="249"/>
      <c r="N1170" s="249"/>
    </row>
    <row r="1171" spans="1:14" ht="15" customHeight="1" x14ac:dyDescent="0.15">
      <c r="A1171" s="249"/>
      <c r="B1171" s="249"/>
      <c r="C1171" s="249"/>
      <c r="D1171" s="249"/>
      <c r="E1171" s="249"/>
      <c r="F1171" s="249"/>
      <c r="G1171" s="249"/>
      <c r="H1171" s="249"/>
      <c r="I1171" s="249"/>
      <c r="J1171" s="249"/>
      <c r="K1171" s="249"/>
      <c r="L1171" s="249"/>
      <c r="M1171" s="249"/>
      <c r="N1171" s="249"/>
    </row>
    <row r="1172" spans="1:14" ht="15" customHeight="1" x14ac:dyDescent="0.15">
      <c r="A1172" s="249"/>
      <c r="B1172" s="249"/>
      <c r="C1172" s="249"/>
      <c r="D1172" s="249"/>
      <c r="E1172" s="249"/>
      <c r="F1172" s="249"/>
      <c r="G1172" s="249"/>
      <c r="H1172" s="249"/>
      <c r="I1172" s="249"/>
      <c r="J1172" s="249"/>
      <c r="K1172" s="249"/>
      <c r="L1172" s="249"/>
      <c r="M1172" s="249"/>
      <c r="N1172" s="249"/>
    </row>
    <row r="1173" spans="1:14" ht="15" customHeight="1" x14ac:dyDescent="0.15">
      <c r="A1173" s="249"/>
      <c r="B1173" s="249"/>
      <c r="C1173" s="249"/>
      <c r="D1173" s="249"/>
      <c r="E1173" s="249"/>
      <c r="F1173" s="249"/>
      <c r="G1173" s="249"/>
      <c r="H1173" s="249"/>
      <c r="I1173" s="249"/>
      <c r="J1173" s="249"/>
      <c r="K1173" s="249"/>
      <c r="L1173" s="249"/>
      <c r="M1173" s="249"/>
      <c r="N1173" s="249"/>
    </row>
    <row r="1174" spans="1:14" ht="15" customHeight="1" x14ac:dyDescent="0.15">
      <c r="A1174" s="249"/>
      <c r="B1174" s="249"/>
      <c r="C1174" s="249"/>
      <c r="D1174" s="249"/>
      <c r="E1174" s="249"/>
      <c r="F1174" s="249"/>
      <c r="G1174" s="249"/>
      <c r="H1174" s="249"/>
      <c r="I1174" s="249"/>
      <c r="J1174" s="249"/>
      <c r="K1174" s="249"/>
      <c r="L1174" s="249"/>
      <c r="M1174" s="249"/>
      <c r="N1174" s="249"/>
    </row>
    <row r="1175" spans="1:14" ht="15" customHeight="1" x14ac:dyDescent="0.15">
      <c r="A1175" s="249"/>
      <c r="B1175" s="249"/>
      <c r="C1175" s="249"/>
      <c r="D1175" s="249"/>
      <c r="E1175" s="249"/>
      <c r="F1175" s="249"/>
      <c r="G1175" s="249"/>
      <c r="H1175" s="249"/>
      <c r="I1175" s="249"/>
      <c r="J1175" s="249"/>
      <c r="K1175" s="249"/>
      <c r="L1175" s="249"/>
      <c r="M1175" s="249"/>
      <c r="N1175" s="249"/>
    </row>
    <row r="1176" spans="1:14" ht="15" customHeight="1" x14ac:dyDescent="0.15">
      <c r="A1176" s="249"/>
      <c r="B1176" s="249"/>
      <c r="C1176" s="249"/>
      <c r="D1176" s="249"/>
      <c r="E1176" s="249"/>
      <c r="F1176" s="249"/>
      <c r="G1176" s="249"/>
      <c r="H1176" s="249"/>
      <c r="I1176" s="249"/>
      <c r="J1176" s="249"/>
      <c r="K1176" s="249"/>
      <c r="L1176" s="249"/>
      <c r="M1176" s="249"/>
      <c r="N1176" s="249"/>
    </row>
    <row r="1177" spans="1:14" ht="15" customHeight="1" x14ac:dyDescent="0.15">
      <c r="A1177" s="249"/>
      <c r="B1177" s="249"/>
      <c r="C1177" s="249"/>
      <c r="D1177" s="249"/>
      <c r="E1177" s="249"/>
      <c r="F1177" s="249"/>
      <c r="G1177" s="249"/>
      <c r="H1177" s="249"/>
      <c r="I1177" s="249"/>
      <c r="J1177" s="249"/>
      <c r="K1177" s="249"/>
      <c r="L1177" s="249"/>
      <c r="M1177" s="249"/>
      <c r="N1177" s="249"/>
    </row>
    <row r="1178" spans="1:14" ht="15" customHeight="1" x14ac:dyDescent="0.15">
      <c r="A1178" s="249"/>
      <c r="B1178" s="249"/>
      <c r="C1178" s="249"/>
      <c r="D1178" s="249"/>
      <c r="E1178" s="249"/>
      <c r="F1178" s="249"/>
      <c r="G1178" s="249"/>
      <c r="H1178" s="249"/>
      <c r="I1178" s="249"/>
      <c r="J1178" s="249"/>
      <c r="K1178" s="249"/>
      <c r="L1178" s="249"/>
      <c r="M1178" s="249"/>
      <c r="N1178" s="249"/>
    </row>
    <row r="1179" spans="1:14" ht="15" customHeight="1" x14ac:dyDescent="0.15">
      <c r="A1179" s="249"/>
      <c r="B1179" s="249"/>
      <c r="C1179" s="249"/>
      <c r="D1179" s="249"/>
      <c r="E1179" s="249"/>
      <c r="F1179" s="249"/>
      <c r="G1179" s="249"/>
      <c r="H1179" s="249"/>
      <c r="I1179" s="249"/>
      <c r="J1179" s="249"/>
      <c r="K1179" s="249"/>
      <c r="L1179" s="249"/>
      <c r="M1179" s="249"/>
      <c r="N1179" s="249"/>
    </row>
    <row r="1180" spans="1:14" ht="15" customHeight="1" x14ac:dyDescent="0.15">
      <c r="A1180" s="249"/>
      <c r="B1180" s="249"/>
      <c r="C1180" s="249"/>
      <c r="D1180" s="249"/>
      <c r="E1180" s="249"/>
      <c r="F1180" s="249"/>
      <c r="G1180" s="249"/>
      <c r="H1180" s="249"/>
      <c r="I1180" s="249"/>
      <c r="J1180" s="249"/>
      <c r="K1180" s="249"/>
      <c r="L1180" s="249"/>
      <c r="M1180" s="249"/>
      <c r="N1180" s="249"/>
    </row>
    <row r="1181" spans="1:14" ht="15" customHeight="1" x14ac:dyDescent="0.15">
      <c r="A1181" s="249"/>
      <c r="B1181" s="249"/>
      <c r="C1181" s="249"/>
      <c r="D1181" s="249"/>
      <c r="E1181" s="249"/>
      <c r="F1181" s="249"/>
      <c r="G1181" s="249"/>
      <c r="H1181" s="249"/>
      <c r="I1181" s="249"/>
      <c r="J1181" s="249"/>
      <c r="K1181" s="249"/>
      <c r="L1181" s="249"/>
      <c r="M1181" s="249"/>
      <c r="N1181" s="249"/>
    </row>
    <row r="1182" spans="1:14" ht="15" customHeight="1" x14ac:dyDescent="0.15">
      <c r="A1182" s="249"/>
      <c r="B1182" s="249"/>
      <c r="C1182" s="249"/>
      <c r="D1182" s="249"/>
      <c r="E1182" s="249"/>
      <c r="F1182" s="249"/>
      <c r="G1182" s="249"/>
      <c r="H1182" s="249"/>
      <c r="I1182" s="249"/>
      <c r="J1182" s="249"/>
      <c r="K1182" s="249"/>
      <c r="L1182" s="249"/>
      <c r="M1182" s="249"/>
      <c r="N1182" s="249"/>
    </row>
    <row r="1183" spans="1:14" ht="15" customHeight="1" x14ac:dyDescent="0.15">
      <c r="A1183" s="249"/>
      <c r="B1183" s="249"/>
      <c r="C1183" s="249"/>
      <c r="D1183" s="249"/>
      <c r="E1183" s="249"/>
      <c r="F1183" s="249"/>
      <c r="G1183" s="249"/>
      <c r="H1183" s="249"/>
      <c r="I1183" s="249"/>
      <c r="J1183" s="249"/>
      <c r="K1183" s="249"/>
      <c r="L1183" s="249"/>
      <c r="M1183" s="249"/>
      <c r="N1183" s="249"/>
    </row>
    <row r="1184" spans="1:14" ht="15" customHeight="1" x14ac:dyDescent="0.15">
      <c r="A1184" s="249"/>
      <c r="B1184" s="249"/>
      <c r="C1184" s="249"/>
      <c r="D1184" s="249"/>
      <c r="E1184" s="249"/>
      <c r="F1184" s="249"/>
      <c r="G1184" s="249"/>
      <c r="H1184" s="249"/>
      <c r="I1184" s="249"/>
      <c r="J1184" s="249"/>
      <c r="K1184" s="249"/>
      <c r="L1184" s="249"/>
      <c r="M1184" s="249"/>
      <c r="N1184" s="249"/>
    </row>
    <row r="1185" spans="1:14" ht="15" customHeight="1" x14ac:dyDescent="0.15">
      <c r="A1185" s="249"/>
      <c r="B1185" s="249"/>
      <c r="C1185" s="249"/>
      <c r="D1185" s="249"/>
      <c r="E1185" s="249"/>
      <c r="F1185" s="249"/>
      <c r="G1185" s="249"/>
      <c r="H1185" s="249"/>
      <c r="I1185" s="249"/>
      <c r="J1185" s="249"/>
      <c r="K1185" s="249"/>
      <c r="L1185" s="249"/>
      <c r="M1185" s="249"/>
      <c r="N1185" s="249"/>
    </row>
    <row r="1186" spans="1:14" ht="15" customHeight="1" x14ac:dyDescent="0.15">
      <c r="A1186" s="249"/>
      <c r="B1186" s="249"/>
      <c r="C1186" s="249"/>
      <c r="D1186" s="249"/>
      <c r="E1186" s="249"/>
      <c r="F1186" s="249"/>
      <c r="G1186" s="249"/>
      <c r="H1186" s="249"/>
      <c r="I1186" s="249"/>
      <c r="J1186" s="249"/>
      <c r="K1186" s="249"/>
      <c r="L1186" s="249"/>
      <c r="M1186" s="249"/>
      <c r="N1186" s="249"/>
    </row>
    <row r="1187" spans="1:14" ht="15" customHeight="1" x14ac:dyDescent="0.15">
      <c r="A1187" s="249"/>
      <c r="B1187" s="249"/>
      <c r="C1187" s="249"/>
      <c r="D1187" s="249"/>
      <c r="E1187" s="249"/>
      <c r="F1187" s="249"/>
      <c r="G1187" s="249"/>
      <c r="H1187" s="249"/>
      <c r="I1187" s="249"/>
      <c r="J1187" s="249"/>
      <c r="K1187" s="249"/>
      <c r="L1187" s="249"/>
      <c r="M1187" s="249"/>
      <c r="N1187" s="249"/>
    </row>
    <row r="1188" spans="1:14" ht="15" customHeight="1" x14ac:dyDescent="0.15">
      <c r="A1188" s="249"/>
      <c r="B1188" s="249"/>
      <c r="C1188" s="249"/>
      <c r="D1188" s="249"/>
      <c r="E1188" s="249"/>
      <c r="F1188" s="249"/>
      <c r="G1188" s="249"/>
      <c r="H1188" s="249"/>
      <c r="I1188" s="249"/>
      <c r="J1188" s="249"/>
      <c r="K1188" s="249"/>
      <c r="L1188" s="249"/>
      <c r="M1188" s="249"/>
      <c r="N1188" s="249"/>
    </row>
    <row r="1189" spans="1:14" ht="15" customHeight="1" x14ac:dyDescent="0.15">
      <c r="A1189" s="249"/>
      <c r="B1189" s="249"/>
      <c r="C1189" s="249"/>
      <c r="D1189" s="249"/>
      <c r="E1189" s="249"/>
      <c r="F1189" s="249"/>
      <c r="G1189" s="249"/>
      <c r="H1189" s="249"/>
      <c r="I1189" s="249"/>
      <c r="J1189" s="249"/>
      <c r="K1189" s="249"/>
      <c r="L1189" s="249"/>
      <c r="M1189" s="249"/>
      <c r="N1189" s="249"/>
    </row>
    <row r="1190" spans="1:14" ht="15" customHeight="1" x14ac:dyDescent="0.15">
      <c r="A1190" s="249"/>
      <c r="B1190" s="249"/>
      <c r="C1190" s="249"/>
      <c r="D1190" s="249"/>
      <c r="E1190" s="249"/>
      <c r="F1190" s="249"/>
      <c r="G1190" s="249"/>
      <c r="H1190" s="249"/>
      <c r="I1190" s="249"/>
      <c r="J1190" s="249"/>
      <c r="K1190" s="249"/>
      <c r="L1190" s="249"/>
      <c r="M1190" s="249"/>
      <c r="N1190" s="249"/>
    </row>
    <row r="1191" spans="1:14" ht="15" customHeight="1" x14ac:dyDescent="0.15">
      <c r="A1191" s="249"/>
      <c r="B1191" s="249"/>
      <c r="C1191" s="249"/>
      <c r="D1191" s="249"/>
      <c r="E1191" s="249"/>
      <c r="F1191" s="249"/>
      <c r="G1191" s="249"/>
      <c r="H1191" s="249"/>
      <c r="I1191" s="249"/>
      <c r="J1191" s="249"/>
      <c r="K1191" s="249"/>
      <c r="L1191" s="249"/>
      <c r="M1191" s="249"/>
      <c r="N1191" s="249"/>
    </row>
    <row r="1192" spans="1:14" ht="15" customHeight="1" x14ac:dyDescent="0.15">
      <c r="A1192" s="249"/>
      <c r="B1192" s="249"/>
      <c r="C1192" s="249"/>
      <c r="D1192" s="249"/>
      <c r="E1192" s="249"/>
      <c r="F1192" s="249"/>
      <c r="G1192" s="249"/>
      <c r="H1192" s="249"/>
      <c r="I1192" s="249"/>
      <c r="J1192" s="249"/>
      <c r="K1192" s="249"/>
      <c r="L1192" s="249"/>
      <c r="M1192" s="249"/>
      <c r="N1192" s="249"/>
    </row>
    <row r="1193" spans="1:14" ht="15" customHeight="1" x14ac:dyDescent="0.15">
      <c r="A1193" s="249"/>
      <c r="B1193" s="249"/>
      <c r="C1193" s="249"/>
      <c r="D1193" s="249"/>
      <c r="E1193" s="249"/>
      <c r="F1193" s="249"/>
      <c r="G1193" s="249"/>
      <c r="H1193" s="249"/>
      <c r="I1193" s="249"/>
      <c r="J1193" s="249"/>
      <c r="K1193" s="249"/>
      <c r="L1193" s="249"/>
      <c r="M1193" s="249"/>
      <c r="N1193" s="249"/>
    </row>
    <row r="1194" spans="1:14" ht="15" customHeight="1" x14ac:dyDescent="0.15">
      <c r="A1194" s="249"/>
      <c r="B1194" s="249"/>
      <c r="C1194" s="249"/>
      <c r="D1194" s="249"/>
      <c r="E1194" s="249"/>
      <c r="F1194" s="249"/>
      <c r="G1194" s="249"/>
      <c r="H1194" s="249"/>
      <c r="I1194" s="249"/>
      <c r="J1194" s="249"/>
      <c r="K1194" s="249"/>
      <c r="L1194" s="249"/>
      <c r="M1194" s="249"/>
      <c r="N1194" s="249"/>
    </row>
    <row r="1195" spans="1:14" ht="15" customHeight="1" x14ac:dyDescent="0.15">
      <c r="A1195" s="249"/>
      <c r="B1195" s="249"/>
      <c r="C1195" s="249"/>
      <c r="D1195" s="249"/>
      <c r="E1195" s="249"/>
      <c r="F1195" s="249"/>
      <c r="G1195" s="249"/>
      <c r="H1195" s="249"/>
      <c r="I1195" s="249"/>
      <c r="J1195" s="249"/>
      <c r="K1195" s="249"/>
      <c r="L1195" s="249"/>
      <c r="M1195" s="249"/>
      <c r="N1195" s="249"/>
    </row>
    <row r="1196" spans="1:14" ht="15" customHeight="1" x14ac:dyDescent="0.15">
      <c r="A1196" s="249"/>
      <c r="B1196" s="249"/>
      <c r="C1196" s="249"/>
      <c r="D1196" s="249"/>
      <c r="E1196" s="249"/>
      <c r="F1196" s="249"/>
      <c r="G1196" s="249"/>
      <c r="H1196" s="249"/>
      <c r="I1196" s="249"/>
      <c r="J1196" s="249"/>
      <c r="K1196" s="249"/>
      <c r="L1196" s="249"/>
      <c r="M1196" s="249"/>
      <c r="N1196" s="249"/>
    </row>
    <row r="1197" spans="1:14" ht="15" customHeight="1" x14ac:dyDescent="0.15">
      <c r="A1197" s="249"/>
      <c r="B1197" s="249"/>
      <c r="C1197" s="249"/>
      <c r="D1197" s="249"/>
      <c r="E1197" s="249"/>
      <c r="F1197" s="249"/>
      <c r="G1197" s="249"/>
      <c r="H1197" s="249"/>
      <c r="I1197" s="249"/>
      <c r="J1197" s="249"/>
      <c r="K1197" s="249"/>
      <c r="L1197" s="249"/>
      <c r="M1197" s="249"/>
      <c r="N1197" s="249"/>
    </row>
    <row r="1198" spans="1:14" ht="15" customHeight="1" x14ac:dyDescent="0.15">
      <c r="A1198" s="249"/>
      <c r="B1198" s="249"/>
      <c r="C1198" s="249"/>
      <c r="D1198" s="249"/>
      <c r="E1198" s="249"/>
      <c r="F1198" s="249"/>
      <c r="G1198" s="249"/>
      <c r="H1198" s="249"/>
      <c r="I1198" s="249"/>
      <c r="J1198" s="249"/>
      <c r="K1198" s="249"/>
      <c r="L1198" s="249"/>
      <c r="M1198" s="249"/>
      <c r="N1198" s="249"/>
    </row>
    <row r="1199" spans="1:14" ht="15" customHeight="1" x14ac:dyDescent="0.15">
      <c r="A1199" s="249"/>
      <c r="B1199" s="249"/>
      <c r="C1199" s="249"/>
      <c r="D1199" s="249"/>
      <c r="E1199" s="249"/>
      <c r="F1199" s="249"/>
      <c r="G1199" s="249"/>
      <c r="H1199" s="249"/>
      <c r="I1199" s="249"/>
      <c r="J1199" s="249"/>
      <c r="K1199" s="249"/>
      <c r="L1199" s="249"/>
      <c r="M1199" s="249"/>
      <c r="N1199" s="249"/>
    </row>
    <row r="1200" spans="1:14" ht="15" customHeight="1" x14ac:dyDescent="0.15">
      <c r="A1200" s="249"/>
      <c r="B1200" s="249"/>
      <c r="C1200" s="249"/>
      <c r="D1200" s="249"/>
      <c r="E1200" s="249"/>
      <c r="F1200" s="249"/>
      <c r="G1200" s="249"/>
      <c r="H1200" s="249"/>
      <c r="I1200" s="249"/>
      <c r="J1200" s="249"/>
      <c r="K1200" s="249"/>
      <c r="L1200" s="249"/>
      <c r="M1200" s="249"/>
      <c r="N1200" s="249"/>
    </row>
    <row r="1201" spans="1:14" ht="15" customHeight="1" x14ac:dyDescent="0.15">
      <c r="A1201" s="249"/>
      <c r="B1201" s="249"/>
      <c r="C1201" s="249"/>
      <c r="D1201" s="249"/>
      <c r="E1201" s="249"/>
      <c r="F1201" s="249"/>
      <c r="G1201" s="249"/>
      <c r="H1201" s="249"/>
      <c r="I1201" s="249"/>
      <c r="J1201" s="249"/>
      <c r="K1201" s="249"/>
      <c r="L1201" s="249"/>
      <c r="M1201" s="249"/>
      <c r="N1201" s="249"/>
    </row>
    <row r="1202" spans="1:14" ht="15" customHeight="1" x14ac:dyDescent="0.15">
      <c r="A1202" s="249"/>
      <c r="B1202" s="249"/>
      <c r="C1202" s="249"/>
      <c r="D1202" s="249"/>
      <c r="E1202" s="249"/>
      <c r="F1202" s="249"/>
      <c r="G1202" s="249"/>
      <c r="H1202" s="249"/>
      <c r="I1202" s="249"/>
      <c r="J1202" s="249"/>
      <c r="K1202" s="249"/>
      <c r="L1202" s="249"/>
      <c r="M1202" s="249"/>
      <c r="N1202" s="249"/>
    </row>
    <row r="1203" spans="1:14" ht="15" customHeight="1" x14ac:dyDescent="0.15">
      <c r="A1203" s="249"/>
      <c r="B1203" s="249"/>
      <c r="C1203" s="249"/>
      <c r="D1203" s="249"/>
      <c r="E1203" s="249"/>
      <c r="F1203" s="249"/>
      <c r="G1203" s="249"/>
      <c r="H1203" s="249"/>
      <c r="I1203" s="249"/>
      <c r="J1203" s="249"/>
      <c r="K1203" s="249"/>
      <c r="L1203" s="249"/>
      <c r="M1203" s="249"/>
      <c r="N1203" s="249"/>
    </row>
    <row r="1204" spans="1:14" ht="15" customHeight="1" x14ac:dyDescent="0.15">
      <c r="A1204" s="249"/>
      <c r="B1204" s="249"/>
      <c r="C1204" s="249"/>
      <c r="D1204" s="249"/>
      <c r="E1204" s="249"/>
      <c r="F1204" s="249"/>
      <c r="G1204" s="249"/>
      <c r="H1204" s="249"/>
      <c r="I1204" s="249"/>
      <c r="J1204" s="249"/>
      <c r="K1204" s="249"/>
      <c r="L1204" s="249"/>
      <c r="M1204" s="249"/>
      <c r="N1204" s="249"/>
    </row>
    <row r="1205" spans="1:14" ht="15" customHeight="1" x14ac:dyDescent="0.15">
      <c r="A1205" s="249"/>
      <c r="B1205" s="249"/>
      <c r="C1205" s="249"/>
      <c r="D1205" s="249"/>
      <c r="E1205" s="249"/>
      <c r="F1205" s="249"/>
      <c r="G1205" s="249"/>
      <c r="H1205" s="249"/>
      <c r="I1205" s="249"/>
      <c r="J1205" s="249"/>
      <c r="K1205" s="249"/>
      <c r="L1205" s="249"/>
      <c r="M1205" s="249"/>
      <c r="N1205" s="249"/>
    </row>
    <row r="1206" spans="1:14" ht="15" customHeight="1" x14ac:dyDescent="0.15">
      <c r="A1206" s="249"/>
      <c r="B1206" s="249"/>
      <c r="C1206" s="249"/>
      <c r="D1206" s="249"/>
      <c r="E1206" s="249"/>
      <c r="F1206" s="249"/>
      <c r="G1206" s="249"/>
      <c r="H1206" s="249"/>
      <c r="I1206" s="249"/>
      <c r="J1206" s="249"/>
      <c r="K1206" s="249"/>
      <c r="L1206" s="249"/>
      <c r="M1206" s="249"/>
      <c r="N1206" s="249"/>
    </row>
    <row r="1207" spans="1:14" ht="15" customHeight="1" x14ac:dyDescent="0.15">
      <c r="A1207" s="249"/>
      <c r="B1207" s="249"/>
      <c r="C1207" s="249"/>
      <c r="D1207" s="249"/>
      <c r="E1207" s="249"/>
      <c r="F1207" s="249"/>
      <c r="G1207" s="249"/>
      <c r="H1207" s="249"/>
      <c r="I1207" s="249"/>
      <c r="J1207" s="249"/>
      <c r="K1207" s="249"/>
      <c r="L1207" s="249"/>
      <c r="M1207" s="249"/>
      <c r="N1207" s="249"/>
    </row>
    <row r="1208" spans="1:14" ht="15" customHeight="1" x14ac:dyDescent="0.15">
      <c r="A1208" s="249"/>
      <c r="B1208" s="249"/>
      <c r="C1208" s="249"/>
      <c r="D1208" s="249"/>
      <c r="E1208" s="249"/>
      <c r="F1208" s="249"/>
      <c r="G1208" s="249"/>
      <c r="H1208" s="249"/>
      <c r="I1208" s="249"/>
      <c r="J1208" s="249"/>
      <c r="K1208" s="249"/>
      <c r="L1208" s="249"/>
      <c r="M1208" s="249"/>
      <c r="N1208" s="249"/>
    </row>
    <row r="1209" spans="1:14" ht="15" customHeight="1" x14ac:dyDescent="0.15">
      <c r="A1209" s="249"/>
      <c r="B1209" s="249"/>
      <c r="C1209" s="249"/>
      <c r="D1209" s="249"/>
      <c r="E1209" s="249"/>
      <c r="F1209" s="249"/>
      <c r="G1209" s="249"/>
      <c r="H1209" s="249"/>
      <c r="I1209" s="249"/>
      <c r="J1209" s="249"/>
      <c r="K1209" s="249"/>
      <c r="L1209" s="249"/>
      <c r="M1209" s="249"/>
      <c r="N1209" s="249"/>
    </row>
    <row r="1210" spans="1:14" ht="15" customHeight="1" x14ac:dyDescent="0.15">
      <c r="A1210" s="249"/>
      <c r="B1210" s="249"/>
      <c r="C1210" s="249"/>
      <c r="D1210" s="249"/>
      <c r="E1210" s="249"/>
      <c r="F1210" s="249"/>
      <c r="G1210" s="249"/>
      <c r="H1210" s="249"/>
      <c r="I1210" s="249"/>
      <c r="J1210" s="249"/>
      <c r="K1210" s="249"/>
      <c r="L1210" s="249"/>
      <c r="M1210" s="249"/>
      <c r="N1210" s="249"/>
    </row>
    <row r="1211" spans="1:14" ht="15" customHeight="1" x14ac:dyDescent="0.15">
      <c r="A1211" s="249"/>
      <c r="B1211" s="249"/>
      <c r="C1211" s="249"/>
      <c r="D1211" s="249"/>
      <c r="E1211" s="249"/>
      <c r="F1211" s="249"/>
      <c r="G1211" s="249"/>
      <c r="H1211" s="249"/>
      <c r="I1211" s="249"/>
      <c r="J1211" s="249"/>
      <c r="K1211" s="249"/>
      <c r="L1211" s="249"/>
      <c r="M1211" s="249"/>
      <c r="N1211" s="249"/>
    </row>
    <row r="1212" spans="1:14" ht="15" customHeight="1" x14ac:dyDescent="0.15">
      <c r="A1212" s="249"/>
      <c r="B1212" s="249"/>
      <c r="C1212" s="249"/>
      <c r="D1212" s="249"/>
      <c r="E1212" s="249"/>
      <c r="F1212" s="249"/>
      <c r="G1212" s="249"/>
      <c r="H1212" s="249"/>
      <c r="I1212" s="249"/>
      <c r="J1212" s="249"/>
      <c r="K1212" s="249"/>
      <c r="L1212" s="249"/>
      <c r="M1212" s="249"/>
      <c r="N1212" s="249"/>
    </row>
    <row r="1213" spans="1:14" ht="15" customHeight="1" x14ac:dyDescent="0.15">
      <c r="A1213" s="249"/>
      <c r="B1213" s="249"/>
      <c r="C1213" s="249"/>
      <c r="D1213" s="249"/>
      <c r="E1213" s="249"/>
      <c r="F1213" s="249"/>
      <c r="G1213" s="249"/>
      <c r="H1213" s="249"/>
      <c r="I1213" s="249"/>
      <c r="J1213" s="249"/>
      <c r="K1213" s="249"/>
      <c r="L1213" s="249"/>
      <c r="M1213" s="249"/>
      <c r="N1213" s="249"/>
    </row>
    <row r="1214" spans="1:14" ht="15" customHeight="1" x14ac:dyDescent="0.15">
      <c r="A1214" s="249"/>
      <c r="B1214" s="249"/>
      <c r="C1214" s="249"/>
      <c r="D1214" s="249"/>
      <c r="E1214" s="249"/>
      <c r="F1214" s="249"/>
      <c r="G1214" s="249"/>
      <c r="H1214" s="249"/>
      <c r="I1214" s="249"/>
      <c r="J1214" s="249"/>
      <c r="K1214" s="249"/>
      <c r="L1214" s="249"/>
      <c r="M1214" s="249"/>
      <c r="N1214" s="249"/>
    </row>
    <row r="1215" spans="1:14" ht="15" customHeight="1" x14ac:dyDescent="0.15">
      <c r="A1215" s="249"/>
      <c r="B1215" s="249"/>
      <c r="C1215" s="249"/>
      <c r="D1215" s="249"/>
      <c r="E1215" s="249"/>
      <c r="F1215" s="249"/>
      <c r="G1215" s="249"/>
      <c r="H1215" s="249"/>
      <c r="I1215" s="249"/>
      <c r="J1215" s="249"/>
      <c r="K1215" s="249"/>
      <c r="L1215" s="249"/>
      <c r="M1215" s="249"/>
      <c r="N1215" s="249"/>
    </row>
    <row r="1216" spans="1:14" ht="15" customHeight="1" x14ac:dyDescent="0.15">
      <c r="A1216" s="249"/>
      <c r="B1216" s="249"/>
      <c r="C1216" s="249"/>
      <c r="D1216" s="249"/>
      <c r="E1216" s="249"/>
      <c r="F1216" s="249"/>
      <c r="G1216" s="249"/>
      <c r="H1216" s="249"/>
      <c r="I1216" s="249"/>
      <c r="J1216" s="249"/>
      <c r="K1216" s="249"/>
      <c r="L1216" s="249"/>
      <c r="M1216" s="249"/>
      <c r="N1216" s="249"/>
    </row>
    <row r="1217" spans="1:14" ht="15" customHeight="1" x14ac:dyDescent="0.15">
      <c r="A1217" s="249"/>
      <c r="B1217" s="249"/>
      <c r="C1217" s="249"/>
      <c r="D1217" s="249"/>
      <c r="E1217" s="249"/>
      <c r="F1217" s="249"/>
      <c r="G1217" s="249"/>
      <c r="H1217" s="249"/>
      <c r="I1217" s="249"/>
      <c r="J1217" s="249"/>
      <c r="K1217" s="249"/>
      <c r="L1217" s="249"/>
      <c r="M1217" s="249"/>
      <c r="N1217" s="249"/>
    </row>
    <row r="1218" spans="1:14" ht="15" customHeight="1" x14ac:dyDescent="0.15">
      <c r="A1218" s="249"/>
      <c r="B1218" s="249"/>
      <c r="C1218" s="249"/>
      <c r="D1218" s="249"/>
      <c r="E1218" s="249"/>
      <c r="F1218" s="249"/>
      <c r="G1218" s="249"/>
      <c r="H1218" s="249"/>
      <c r="I1218" s="249"/>
      <c r="J1218" s="249"/>
      <c r="K1218" s="249"/>
      <c r="L1218" s="249"/>
      <c r="M1218" s="249"/>
      <c r="N1218" s="249"/>
    </row>
    <row r="1219" spans="1:14" ht="15" customHeight="1" x14ac:dyDescent="0.15">
      <c r="A1219" s="249"/>
      <c r="B1219" s="249"/>
      <c r="C1219" s="249"/>
      <c r="D1219" s="249"/>
      <c r="E1219" s="249"/>
      <c r="F1219" s="249"/>
      <c r="G1219" s="249"/>
      <c r="H1219" s="249"/>
      <c r="I1219" s="249"/>
      <c r="J1219" s="249"/>
      <c r="K1219" s="249"/>
      <c r="L1219" s="249"/>
      <c r="M1219" s="249"/>
      <c r="N1219" s="249"/>
    </row>
    <row r="1220" spans="1:14" ht="15" customHeight="1" x14ac:dyDescent="0.15">
      <c r="A1220" s="249"/>
      <c r="B1220" s="249"/>
      <c r="C1220" s="249"/>
      <c r="D1220" s="249"/>
      <c r="E1220" s="249"/>
      <c r="F1220" s="249"/>
      <c r="G1220" s="249"/>
      <c r="H1220" s="249"/>
      <c r="I1220" s="249"/>
      <c r="J1220" s="249"/>
      <c r="K1220" s="249"/>
      <c r="L1220" s="249"/>
      <c r="M1220" s="249"/>
      <c r="N1220" s="249"/>
    </row>
    <row r="1221" spans="1:14" ht="15" customHeight="1" x14ac:dyDescent="0.15">
      <c r="A1221" s="249"/>
      <c r="B1221" s="249"/>
      <c r="C1221" s="249"/>
      <c r="D1221" s="249"/>
      <c r="E1221" s="249"/>
      <c r="F1221" s="249"/>
      <c r="G1221" s="249"/>
      <c r="H1221" s="249"/>
      <c r="I1221" s="249"/>
      <c r="J1221" s="249"/>
      <c r="K1221" s="249"/>
      <c r="L1221" s="249"/>
      <c r="M1221" s="249"/>
      <c r="N1221" s="249"/>
    </row>
    <row r="1222" spans="1:14" ht="15" customHeight="1" x14ac:dyDescent="0.15">
      <c r="A1222" s="249"/>
      <c r="B1222" s="249"/>
      <c r="C1222" s="249"/>
      <c r="D1222" s="249"/>
      <c r="E1222" s="249"/>
      <c r="F1222" s="249"/>
      <c r="G1222" s="249"/>
      <c r="H1222" s="249"/>
      <c r="I1222" s="249"/>
      <c r="J1222" s="249"/>
      <c r="K1222" s="249"/>
      <c r="L1222" s="249"/>
      <c r="M1222" s="249"/>
      <c r="N1222" s="249"/>
    </row>
    <row r="1223" spans="1:14" ht="15" customHeight="1" x14ac:dyDescent="0.15">
      <c r="A1223" s="249"/>
      <c r="B1223" s="249"/>
      <c r="C1223" s="249"/>
      <c r="D1223" s="249"/>
      <c r="E1223" s="249"/>
      <c r="F1223" s="249"/>
      <c r="G1223" s="249"/>
      <c r="H1223" s="249"/>
      <c r="I1223" s="249"/>
      <c r="J1223" s="249"/>
      <c r="K1223" s="249"/>
      <c r="L1223" s="249"/>
      <c r="M1223" s="249"/>
      <c r="N1223" s="249"/>
    </row>
    <row r="1224" spans="1:14" ht="15" customHeight="1" x14ac:dyDescent="0.15">
      <c r="A1224" s="249"/>
      <c r="B1224" s="249"/>
      <c r="C1224" s="249"/>
      <c r="D1224" s="249"/>
      <c r="E1224" s="249"/>
      <c r="F1224" s="249"/>
      <c r="G1224" s="249"/>
      <c r="H1224" s="249"/>
      <c r="I1224" s="249"/>
      <c r="J1224" s="249"/>
      <c r="K1224" s="249"/>
      <c r="L1224" s="249"/>
      <c r="M1224" s="249"/>
      <c r="N1224" s="249"/>
    </row>
    <row r="1225" spans="1:14" ht="15" customHeight="1" x14ac:dyDescent="0.15">
      <c r="A1225" s="249"/>
      <c r="B1225" s="249"/>
      <c r="C1225" s="249"/>
      <c r="D1225" s="249"/>
      <c r="E1225" s="249"/>
      <c r="F1225" s="249"/>
      <c r="G1225" s="249"/>
      <c r="H1225" s="249"/>
      <c r="I1225" s="249"/>
      <c r="J1225" s="249"/>
      <c r="K1225" s="249"/>
      <c r="L1225" s="249"/>
      <c r="M1225" s="249"/>
      <c r="N1225" s="249"/>
    </row>
    <row r="1226" spans="1:14" ht="15" customHeight="1" x14ac:dyDescent="0.15">
      <c r="A1226" s="249"/>
      <c r="B1226" s="249"/>
      <c r="C1226" s="249"/>
      <c r="D1226" s="249"/>
      <c r="E1226" s="249"/>
      <c r="F1226" s="249"/>
      <c r="G1226" s="249"/>
      <c r="H1226" s="249"/>
      <c r="I1226" s="249"/>
      <c r="J1226" s="249"/>
      <c r="K1226" s="249"/>
      <c r="L1226" s="249"/>
      <c r="M1226" s="249"/>
      <c r="N1226" s="249"/>
    </row>
  </sheetData>
  <mergeCells count="30">
    <mergeCell ref="A7:N7"/>
    <mergeCell ref="J8:K8"/>
    <mergeCell ref="H8:I8"/>
    <mergeCell ref="B8:F8"/>
    <mergeCell ref="C245:F245"/>
    <mergeCell ref="C273:F273"/>
    <mergeCell ref="C274:F274"/>
    <mergeCell ref="C275:F275"/>
    <mergeCell ref="H243:H245"/>
    <mergeCell ref="I243:I245"/>
    <mergeCell ref="J243:J245"/>
    <mergeCell ref="K243:K245"/>
    <mergeCell ref="L243:L245"/>
    <mergeCell ref="M243:M245"/>
    <mergeCell ref="J177:J179"/>
    <mergeCell ref="K177:K179"/>
    <mergeCell ref="L177:L179"/>
    <mergeCell ref="M177:M179"/>
    <mergeCell ref="D178:F178"/>
    <mergeCell ref="D180:F180"/>
    <mergeCell ref="D131:F131"/>
    <mergeCell ref="D140:F140"/>
    <mergeCell ref="D141:F141"/>
    <mergeCell ref="D142:F142"/>
    <mergeCell ref="H177:H179"/>
    <mergeCell ref="I177:I179"/>
    <mergeCell ref="E96:F96"/>
    <mergeCell ref="D129:F129"/>
    <mergeCell ref="D130:F130"/>
    <mergeCell ref="K4:M4"/>
  </mergeCells>
  <pageMargins left="0.7" right="0.7" top="0.75" bottom="0.75" header="0" footer="0"/>
  <pageSetup paperSize="9" scale="3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Terupdate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triwahyu</dc:creator>
  <cp:lastModifiedBy>triwahyu</cp:lastModifiedBy>
  <dcterms:created xsi:type="dcterms:W3CDTF">2026-04-22T15:22:41Z</dcterms:created>
  <dcterms:modified xsi:type="dcterms:W3CDTF">2026-04-22T21:35:42Z</dcterms:modified>
</cp:coreProperties>
</file>