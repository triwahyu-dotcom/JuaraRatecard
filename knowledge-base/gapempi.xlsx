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yudiqitrick/Desktop/juara-ratecard/knowledge-base/"/>
    </mc:Choice>
  </mc:AlternateContent>
  <xr:revisionPtr revIDLastSave="0" documentId="13_ncr:1_{34F02EE2-3FBC-0D46-8BB2-5B5ABECB3972}" xr6:coauthVersionLast="47" xr6:coauthVersionMax="47" xr10:uidLastSave="{00000000-0000-0000-0000-000000000000}"/>
  <bookViews>
    <workbookView xWindow="0" yWindow="620" windowWidth="28800" windowHeight="17380" xr2:uid="{9FDDD413-C787-4B49-A7F4-33BDA08B4E8F}"/>
  </bookViews>
  <sheets>
    <sheet name="FINAL QUOT + ADDITIONAL_2703202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53" i="1" l="1"/>
  <c r="M152" i="1"/>
  <c r="M151" i="1"/>
  <c r="M150" i="1"/>
  <c r="M148" i="1"/>
  <c r="M147" i="1"/>
  <c r="M145" i="1"/>
  <c r="M144" i="1"/>
  <c r="M143" i="1"/>
  <c r="M142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15" i="1"/>
  <c r="M114" i="1"/>
  <c r="M113" i="1"/>
  <c r="M112" i="1"/>
  <c r="M111" i="1"/>
  <c r="M103" i="1"/>
  <c r="M102" i="1"/>
  <c r="M101" i="1"/>
  <c r="M91" i="1"/>
  <c r="M90" i="1"/>
  <c r="M88" i="1"/>
  <c r="M87" i="1"/>
  <c r="M86" i="1"/>
  <c r="M85" i="1"/>
  <c r="M84" i="1"/>
  <c r="M83" i="1"/>
  <c r="M82" i="1"/>
  <c r="M80" i="1"/>
  <c r="M79" i="1"/>
  <c r="M78" i="1"/>
  <c r="M77" i="1"/>
  <c r="M76" i="1"/>
  <c r="M75" i="1"/>
  <c r="M71" i="1"/>
  <c r="M54" i="1"/>
  <c r="M47" i="1"/>
  <c r="M44" i="1"/>
  <c r="M43" i="1"/>
  <c r="M39" i="1"/>
  <c r="M22" i="1"/>
  <c r="M19" i="1"/>
  <c r="M17" i="1"/>
  <c r="M156" i="1" s="1"/>
  <c r="M158" i="1" s="1"/>
  <c r="M159" i="1" l="1"/>
  <c r="M160" i="1" s="1"/>
</calcChain>
</file>

<file path=xl/sharedStrings.xml><?xml version="1.0" encoding="utf-8"?>
<sst xmlns="http://schemas.openxmlformats.org/spreadsheetml/2006/main" count="463" uniqueCount="220">
  <si>
    <t>CLIENT</t>
  </si>
  <si>
    <t>: TVD Asia</t>
  </si>
  <si>
    <t>PT JUARA BERHASIL BERKAH SEJAHTERA</t>
  </si>
  <si>
    <t>PROGRAM</t>
  </si>
  <si>
    <t>: Pengukuhan &amp; Pelantikan Dewan Pimpinan Nasional Gabungan Pengusaha Merah Putih Indonesia
  (DPN GAPEMPI) Periode Tahun 2026-2031</t>
  </si>
  <si>
    <t>TANGGAL</t>
  </si>
  <si>
    <t>: 31 Maret 2026</t>
  </si>
  <si>
    <t>QUOT. NUMBER</t>
  </si>
  <si>
    <t>: 021/QUOT/JBBS-TVDASIA/GAPEMPI/III/2026</t>
  </si>
  <si>
    <t>LOCATION</t>
  </si>
  <si>
    <t>: Mandarin Oriental Hotel Jakarta</t>
  </si>
  <si>
    <t>DATE</t>
  </si>
  <si>
    <t>: 24 Maret 2026</t>
  </si>
  <si>
    <t xml:space="preserve">NO </t>
  </si>
  <si>
    <t>ITEM / TASK</t>
  </si>
  <si>
    <t>SPECIFICATION</t>
  </si>
  <si>
    <t>QTY</t>
  </si>
  <si>
    <t>FREQ / DUR</t>
  </si>
  <si>
    <t>PRICE</t>
  </si>
  <si>
    <t>AMOUNT</t>
  </si>
  <si>
    <t>A</t>
  </si>
  <si>
    <t>PLANNING &amp; DEVELOPMENT</t>
  </si>
  <si>
    <t>Concept &amp; Ideation Development</t>
  </si>
  <si>
    <t>Creative Concept</t>
  </si>
  <si>
    <t>pckg</t>
  </si>
  <si>
    <t>time</t>
  </si>
  <si>
    <t>Creative Design</t>
  </si>
  <si>
    <t>2D Visual</t>
  </si>
  <si>
    <t>3D Visual</t>
  </si>
  <si>
    <t>Multimedia</t>
  </si>
  <si>
    <t>Bumper - Bumper</t>
  </si>
  <si>
    <t>1</t>
  </si>
  <si>
    <t>Opening</t>
  </si>
  <si>
    <t>Event</t>
  </si>
  <si>
    <t>Transisi</t>
  </si>
  <si>
    <t>Speaker</t>
  </si>
  <si>
    <t>DPN</t>
  </si>
  <si>
    <t>Manifesto Video</t>
  </si>
  <si>
    <t>provide by TVD Asia</t>
  </si>
  <si>
    <t>B</t>
  </si>
  <si>
    <t>PERMIT &amp; RETRIBUSI</t>
  </si>
  <si>
    <t>Event Permit</t>
  </si>
  <si>
    <t>POLSEK</t>
  </si>
  <si>
    <t>provide by Hotel</t>
  </si>
  <si>
    <t>POLRES</t>
  </si>
  <si>
    <t>POLDA</t>
  </si>
  <si>
    <t>Kordinasi Kawasan</t>
  </si>
  <si>
    <t>PAM</t>
  </si>
  <si>
    <t>pax</t>
  </si>
  <si>
    <t>DISHUB</t>
  </si>
  <si>
    <t>Medic</t>
  </si>
  <si>
    <t>Ambulance &amp; Medic Reguler</t>
  </si>
  <si>
    <t>inc medic tools, doctor &amp; team</t>
  </si>
  <si>
    <t>unit</t>
  </si>
  <si>
    <t>C</t>
  </si>
  <si>
    <t>VENUE SETUP &amp; SYSTEM</t>
  </si>
  <si>
    <t>Outdoor area</t>
  </si>
  <si>
    <t>Welcome Banner</t>
  </si>
  <si>
    <t>1x5m</t>
  </si>
  <si>
    <t>T banner</t>
  </si>
  <si>
    <t>3x1m, iron frame</t>
  </si>
  <si>
    <t>Registration Setup</t>
  </si>
  <si>
    <t>Registration Backdrop</t>
  </si>
  <si>
    <t>366x244cm, multiplek, fin felxy printing</t>
  </si>
  <si>
    <t>set</t>
  </si>
  <si>
    <t>Que Line</t>
  </si>
  <si>
    <t>provide by hotel</t>
  </si>
  <si>
    <t>Signage</t>
  </si>
  <si>
    <t>IBM Table</t>
  </si>
  <si>
    <t>Futura Chairs</t>
  </si>
  <si>
    <t>Talent Room</t>
  </si>
  <si>
    <t>FullBody Mirror</t>
  </si>
  <si>
    <t>by venue</t>
  </si>
  <si>
    <t>Futura Chair</t>
  </si>
  <si>
    <t>GAPEMPI Comittee Room</t>
  </si>
  <si>
    <t>EO Comittee Room</t>
  </si>
  <si>
    <t>Ajudan Area</t>
  </si>
  <si>
    <t>Foyer Area</t>
  </si>
  <si>
    <t>Photowall / Doorstop</t>
  </si>
  <si>
    <t>Ballroom Area</t>
  </si>
  <si>
    <t>Main Stage</t>
  </si>
  <si>
    <t>Level 1 Stage / Front Lower</t>
  </si>
  <si>
    <t>854x122x20cm. multiplek, fin white matte melamint</t>
  </si>
  <si>
    <t>Level 2 Stage / Centre Middle</t>
  </si>
  <si>
    <t>1220x240x40cm. hotel module, fin white matte melamint</t>
  </si>
  <si>
    <t>Level 3 Stage / Back Upper</t>
  </si>
  <si>
    <t>1220x60x60cm. multiplek, fin white matte melamint</t>
  </si>
  <si>
    <t>Stairs</t>
  </si>
  <si>
    <t>60x40x10cm</t>
  </si>
  <si>
    <t>Side Stage</t>
  </si>
  <si>
    <t>Choir Stage</t>
  </si>
  <si>
    <t>366x366x10cm, 2 layer, multiplek, fin white matte melamint</t>
  </si>
  <si>
    <t>Band Stage</t>
  </si>
  <si>
    <t>366x366x10cm, multiplek, fin white matte melamint</t>
  </si>
  <si>
    <t>TV Monitor (Matador)</t>
  </si>
  <si>
    <t>55inch</t>
  </si>
  <si>
    <t>Podium Speech</t>
  </si>
  <si>
    <t>Mini Garden</t>
  </si>
  <si>
    <t>mtr</t>
  </si>
  <si>
    <t>day</t>
  </si>
  <si>
    <t>Pataka + Flag</t>
  </si>
  <si>
    <t>merah putih flag, GAPEMPI flag</t>
  </si>
  <si>
    <t>Side Backdrop</t>
  </si>
  <si>
    <t>300x110cm, multiplek fin flexy printing</t>
  </si>
  <si>
    <t>FOH</t>
  </si>
  <si>
    <t>Cover FOH</t>
  </si>
  <si>
    <t>122x854</t>
  </si>
  <si>
    <t>Camera Stage</t>
  </si>
  <si>
    <t>122x244x40cm</t>
  </si>
  <si>
    <t>Round Table</t>
  </si>
  <si>
    <t>Centrepiece</t>
  </si>
  <si>
    <t>D</t>
  </si>
  <si>
    <t>PARTICIPANT / AUDIENCE</t>
  </si>
  <si>
    <t>Lunch Package</t>
  </si>
  <si>
    <t>by GAPEMPI</t>
  </si>
  <si>
    <t>provide by client</t>
  </si>
  <si>
    <t>VVIP Merchandise</t>
  </si>
  <si>
    <t>Invitation (Special Design)</t>
  </si>
  <si>
    <t>A5; Artboard/Art Carton + Envelope</t>
  </si>
  <si>
    <t>pcs</t>
  </si>
  <si>
    <t>Buku Profil GAPEMPI</t>
  </si>
  <si>
    <t>A5; Art Paper Finishing Glossy Staples Tengah Booklet 4 Lembar 8 Halaman; 150gsm</t>
  </si>
  <si>
    <t>Lanyard + ID Card</t>
  </si>
  <si>
    <t>VIP</t>
  </si>
  <si>
    <t>Invitee</t>
  </si>
  <si>
    <t>Media</t>
  </si>
  <si>
    <t>Comittee</t>
  </si>
  <si>
    <t>Talent</t>
  </si>
  <si>
    <t>E</t>
  </si>
  <si>
    <t>TALENTS</t>
  </si>
  <si>
    <t>MC</t>
  </si>
  <si>
    <t>incl.RIders &amp; GR</t>
  </si>
  <si>
    <t>Dancer</t>
  </si>
  <si>
    <t>Incl.Riders &amp; GR; Saman + Tari Nusantara</t>
  </si>
  <si>
    <t>team</t>
  </si>
  <si>
    <t>Choir</t>
  </si>
  <si>
    <t>30 pax. Incl.Riders &amp; GR</t>
  </si>
  <si>
    <t>Home Band</t>
  </si>
  <si>
    <t>5 pax, 2 hours</t>
  </si>
  <si>
    <t>Paskibra</t>
  </si>
  <si>
    <t>8 personil (6 Laki-laki; 2 Perempuan)</t>
  </si>
  <si>
    <t>Pembaca Doa</t>
  </si>
  <si>
    <t>by client</t>
  </si>
  <si>
    <t>Ustad</t>
  </si>
  <si>
    <t>Pendeta</t>
  </si>
  <si>
    <t>F</t>
  </si>
  <si>
    <t>COMMITTEE</t>
  </si>
  <si>
    <t>ManPower</t>
  </si>
  <si>
    <t>Project Manager</t>
  </si>
  <si>
    <t>event</t>
  </si>
  <si>
    <t>Traffic</t>
  </si>
  <si>
    <t>Production Head</t>
  </si>
  <si>
    <t>Production Crew</t>
  </si>
  <si>
    <t>Logistics Head</t>
  </si>
  <si>
    <t>Runner</t>
  </si>
  <si>
    <t>Show Management</t>
  </si>
  <si>
    <t>show director, stage manager, stage crew, VJ, LO MC</t>
  </si>
  <si>
    <t>Talent Coordinator</t>
  </si>
  <si>
    <t>LO Talent</t>
  </si>
  <si>
    <t>Floor Head</t>
  </si>
  <si>
    <t>Registration Crew</t>
  </si>
  <si>
    <t>Usher</t>
  </si>
  <si>
    <t>Costume</t>
  </si>
  <si>
    <t>Uniform + Hairdo</t>
  </si>
  <si>
    <t>Safety &amp; Security Officer</t>
  </si>
  <si>
    <t>Media Handling</t>
  </si>
  <si>
    <t>VIP Handling Crew</t>
  </si>
  <si>
    <t>Documentation</t>
  </si>
  <si>
    <t>photo &amp; video</t>
  </si>
  <si>
    <t>OPS &amp; LOGISTIC</t>
  </si>
  <si>
    <t>Meals</t>
  </si>
  <si>
    <t>Team</t>
  </si>
  <si>
    <t>2 times per day (2x2 days)</t>
  </si>
  <si>
    <t>times</t>
  </si>
  <si>
    <t>Vendor</t>
  </si>
  <si>
    <t>AMDK</t>
  </si>
  <si>
    <t>330ml</t>
  </si>
  <si>
    <t>box</t>
  </si>
  <si>
    <t>Transport</t>
  </si>
  <si>
    <t>Core team</t>
  </si>
  <si>
    <t>inc gas, toll, park</t>
  </si>
  <si>
    <t>Accomodation</t>
  </si>
  <si>
    <t>room</t>
  </si>
  <si>
    <t>night</t>
  </si>
  <si>
    <t>Comms</t>
  </si>
  <si>
    <t>HT</t>
  </si>
  <si>
    <t>Clearcom</t>
  </si>
  <si>
    <t>Internet</t>
  </si>
  <si>
    <t>modem orbit</t>
  </si>
  <si>
    <t>Stationaries</t>
  </si>
  <si>
    <t>Fire Extinguisher / APAR</t>
  </si>
  <si>
    <t>Total</t>
  </si>
  <si>
    <t>Diskon</t>
  </si>
  <si>
    <t>Total Setelah Diskon</t>
  </si>
  <si>
    <t>Management Fee 5%</t>
  </si>
  <si>
    <t>Grand Total</t>
  </si>
  <si>
    <t>NOTE :</t>
  </si>
  <si>
    <t>1. Offering Validations:</t>
  </si>
  <si>
    <t>The offer price above valid as long as the term specified</t>
  </si>
  <si>
    <t>2. Tax:</t>
  </si>
  <si>
    <t>The offer price above included government tax</t>
  </si>
  <si>
    <t>3. Term of Payment:</t>
  </si>
  <si>
    <t>- DP 60% on Approval Budget (or latest D-7)</t>
  </si>
  <si>
    <t>- Pelunasan D+7 after event report submitted</t>
  </si>
  <si>
    <t>4. Payments are Transferred to:</t>
  </si>
  <si>
    <t>Bank : Bank Central Asia (BCA)</t>
  </si>
  <si>
    <t>Account Name : PT Juara Berhasil Berkah Sejahtera </t>
  </si>
  <si>
    <t>Accounts Number : 005-767 8899</t>
  </si>
  <si>
    <t>Branch : Wisma Millenia - MT Haryono</t>
  </si>
  <si>
    <t>5. For further information, please contact:</t>
  </si>
  <si>
    <t>PT Juara Berhasil Berkah Sejahtera</t>
  </si>
  <si>
    <t>Head Office</t>
  </si>
  <si>
    <t>Jl. Gudang Peluru Timur Blok K No. 257, Tebet</t>
  </si>
  <si>
    <t>Jakarta Selatan - Indonesia</t>
  </si>
  <si>
    <t>Contact Persons :</t>
  </si>
  <si>
    <t>Sindy Praishella 082238473189</t>
  </si>
  <si>
    <t xml:space="preserve">Submitted by,  </t>
  </si>
  <si>
    <t xml:space="preserve">Approved by,  </t>
  </si>
  <si>
    <t>Eka Marutha Yuswardana</t>
  </si>
  <si>
    <t>Managing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</si>
</sst>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Rp&quot;* #,##0_);_(&quot;Rp&quot;* \(#,##0\);_(&quot;Rp&quot;* &quot;-&quot;_);_(@_)"/>
    <numFmt numFmtId="164" formatCode="_-* #,##0_-;\-* #,##0_-;_-* &quot;-&quot;??_-;_-@"/>
  </numFmts>
  <fonts count="18" x14ac:knownFonts="1">
    <font>
      <sz val="10"/>
      <color rgb="FF000000"/>
      <name val="Arial"/>
      <scheme val="minor"/>
    </font>
    <font>
      <sz val="11"/>
      <color rgb="FF000000"/>
      <name val="Roboto"/>
    </font>
    <font>
      <sz val="11"/>
      <color theme="1"/>
      <name val="Roboto"/>
    </font>
    <font>
      <sz val="12"/>
      <color theme="1"/>
      <name val="Arial"/>
    </font>
    <font>
      <b/>
      <sz val="12"/>
      <color theme="1"/>
      <name val="Calibri"/>
    </font>
    <font>
      <sz val="10"/>
      <color theme="1"/>
      <name val="Arial"/>
      <scheme val="minor"/>
    </font>
    <font>
      <b/>
      <sz val="14"/>
      <color theme="1"/>
      <name val="Calibri"/>
    </font>
    <font>
      <sz val="11"/>
      <color theme="1"/>
      <name val="Arial"/>
    </font>
    <font>
      <b/>
      <sz val="11"/>
      <color theme="1"/>
      <name val="Roboto"/>
    </font>
    <font>
      <b/>
      <sz val="11"/>
      <color rgb="FFFFFFFF"/>
      <name val="Roboto"/>
    </font>
    <font>
      <sz val="10"/>
      <name val="Arial"/>
    </font>
    <font>
      <b/>
      <sz val="11"/>
      <color rgb="FF000000"/>
      <name val="Roboto"/>
    </font>
    <font>
      <sz val="10"/>
      <color theme="1"/>
      <name val="Roboto"/>
    </font>
    <font>
      <sz val="10"/>
      <color rgb="FF000000"/>
      <name val="Roboto"/>
    </font>
    <font>
      <sz val="11"/>
      <color rgb="FFFF0000"/>
      <name val="Roboto"/>
    </font>
    <font>
      <b/>
      <sz val="12"/>
      <color rgb="FF000000"/>
      <name val="Roboto"/>
    </font>
    <font>
      <sz val="10"/>
      <color theme="1"/>
      <name val="Arial"/>
    </font>
    <font>
      <i/>
      <sz val="11"/>
      <color theme="1"/>
      <name val="Roboto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3" fontId="3" fillId="2" borderId="0" xfId="0" applyNumberFormat="1" applyFont="1" applyFill="1"/>
    <xf numFmtId="0" fontId="4" fillId="2" borderId="0" xfId="0" applyFont="1" applyFill="1"/>
    <xf numFmtId="3" fontId="4" fillId="2" borderId="0" xfId="0" applyNumberFormat="1" applyFont="1" applyFill="1"/>
    <xf numFmtId="0" fontId="5" fillId="2" borderId="0" xfId="0" applyFont="1" applyFill="1"/>
    <xf numFmtId="3" fontId="6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0" fontId="0" fillId="0" borderId="0" xfId="0"/>
    <xf numFmtId="3" fontId="3" fillId="2" borderId="0" xfId="0" applyNumberFormat="1" applyFont="1" applyFill="1"/>
    <xf numFmtId="3" fontId="4" fillId="2" borderId="0" xfId="0" applyNumberFormat="1" applyFont="1" applyFill="1"/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10" fillId="0" borderId="3" xfId="0" applyFont="1" applyBorder="1"/>
    <xf numFmtId="0" fontId="9" fillId="3" borderId="4" xfId="0" applyFont="1" applyFill="1" applyBorder="1" applyAlignment="1">
      <alignment horizontal="center" vertical="center" wrapText="1"/>
    </xf>
    <xf numFmtId="3" fontId="9" fillId="3" borderId="5" xfId="0" applyNumberFormat="1" applyFont="1" applyFill="1" applyBorder="1" applyAlignment="1">
      <alignment horizontal="center" vertical="center"/>
    </xf>
    <xf numFmtId="0" fontId="10" fillId="0" borderId="4" xfId="0" applyFont="1" applyBorder="1"/>
    <xf numFmtId="0" fontId="9" fillId="3" borderId="5" xfId="0" applyFont="1" applyFill="1" applyBorder="1" applyAlignment="1">
      <alignment horizontal="center" vertical="center"/>
    </xf>
    <xf numFmtId="3" fontId="9" fillId="3" borderId="6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 wrapText="1"/>
    </xf>
    <xf numFmtId="3" fontId="9" fillId="0" borderId="0" xfId="0" applyNumberFormat="1" applyFont="1" applyAlignment="1">
      <alignment horizontal="center" wrapText="1"/>
    </xf>
    <xf numFmtId="0" fontId="11" fillId="0" borderId="0" xfId="0" applyFont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8" fillId="4" borderId="8" xfId="0" applyFont="1" applyFill="1" applyBorder="1"/>
    <xf numFmtId="0" fontId="12" fillId="4" borderId="9" xfId="0" applyFont="1" applyFill="1" applyBorder="1"/>
    <xf numFmtId="3" fontId="12" fillId="4" borderId="10" xfId="0" applyNumberFormat="1" applyFont="1" applyFill="1" applyBorder="1" applyAlignment="1">
      <alignment wrapText="1"/>
    </xf>
    <xf numFmtId="3" fontId="12" fillId="4" borderId="11" xfId="0" applyNumberFormat="1" applyFont="1" applyFill="1" applyBorder="1"/>
    <xf numFmtId="0" fontId="12" fillId="4" borderId="11" xfId="0" applyFont="1" applyFill="1" applyBorder="1"/>
    <xf numFmtId="42" fontId="12" fillId="4" borderId="11" xfId="0" applyNumberFormat="1" applyFont="1" applyFill="1" applyBorder="1"/>
    <xf numFmtId="3" fontId="11" fillId="4" borderId="12" xfId="0" applyNumberFormat="1" applyFont="1" applyFill="1" applyBorder="1" applyAlignment="1">
      <alignment horizontal="right" vertical="center"/>
    </xf>
    <xf numFmtId="3" fontId="11" fillId="0" borderId="0" xfId="0" applyNumberFormat="1" applyFont="1" applyAlignment="1">
      <alignment horizontal="right" vertical="center"/>
    </xf>
    <xf numFmtId="3" fontId="12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8" xfId="0" applyFont="1" applyBorder="1"/>
    <xf numFmtId="0" fontId="12" fillId="0" borderId="9" xfId="0" applyFont="1" applyBorder="1"/>
    <xf numFmtId="0" fontId="12" fillId="0" borderId="10" xfId="0" applyFont="1" applyBorder="1" applyAlignment="1">
      <alignment wrapText="1"/>
    </xf>
    <xf numFmtId="3" fontId="12" fillId="0" borderId="13" xfId="0" applyNumberFormat="1" applyFont="1" applyBorder="1" applyAlignment="1">
      <alignment wrapText="1"/>
    </xf>
    <xf numFmtId="3" fontId="12" fillId="5" borderId="11" xfId="0" applyNumberFormat="1" applyFont="1" applyFill="1" applyBorder="1"/>
    <xf numFmtId="49" fontId="12" fillId="5" borderId="10" xfId="0" applyNumberFormat="1" applyFont="1" applyFill="1" applyBorder="1"/>
    <xf numFmtId="49" fontId="12" fillId="5" borderId="11" xfId="0" applyNumberFormat="1" applyFont="1" applyFill="1" applyBorder="1"/>
    <xf numFmtId="42" fontId="12" fillId="0" borderId="11" xfId="0" applyNumberFormat="1" applyFont="1" applyBorder="1"/>
    <xf numFmtId="0" fontId="2" fillId="0" borderId="12" xfId="0" applyFont="1" applyBorder="1" applyAlignment="1">
      <alignment vertical="center"/>
    </xf>
    <xf numFmtId="0" fontId="12" fillId="0" borderId="0" xfId="0" applyFont="1"/>
    <xf numFmtId="0" fontId="12" fillId="0" borderId="14" xfId="0" applyFont="1" applyBorder="1"/>
    <xf numFmtId="0" fontId="2" fillId="0" borderId="9" xfId="0" applyFont="1" applyBorder="1"/>
    <xf numFmtId="0" fontId="12" fillId="0" borderId="9" xfId="0" applyFont="1" applyBorder="1" applyAlignment="1">
      <alignment wrapText="1"/>
    </xf>
    <xf numFmtId="3" fontId="2" fillId="0" borderId="11" xfId="0" applyNumberFormat="1" applyFont="1" applyBorder="1" applyAlignment="1">
      <alignment horizontal="center"/>
    </xf>
    <xf numFmtId="49" fontId="2" fillId="5" borderId="10" xfId="0" applyNumberFormat="1" applyFont="1" applyFill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42" fontId="2" fillId="0" borderId="15" xfId="0" applyNumberFormat="1" applyFont="1" applyBorder="1" applyAlignment="1">
      <alignment horizontal="right"/>
    </xf>
    <xf numFmtId="42" fontId="1" fillId="0" borderId="16" xfId="0" applyNumberFormat="1" applyFont="1" applyBorder="1" applyAlignment="1">
      <alignment horizontal="right" vertical="center"/>
    </xf>
    <xf numFmtId="42" fontId="1" fillId="0" borderId="0" xfId="0" applyNumberFormat="1" applyFont="1" applyAlignment="1">
      <alignment horizontal="right" vertical="center"/>
    </xf>
    <xf numFmtId="42" fontId="2" fillId="0" borderId="0" xfId="0" applyNumberFormat="1" applyFont="1" applyAlignment="1">
      <alignment horizontal="right"/>
    </xf>
    <xf numFmtId="0" fontId="2" fillId="0" borderId="17" xfId="0" applyFont="1" applyBorder="1"/>
    <xf numFmtId="0" fontId="12" fillId="0" borderId="17" xfId="0" applyFont="1" applyBorder="1"/>
    <xf numFmtId="0" fontId="12" fillId="0" borderId="17" xfId="0" applyFont="1" applyBorder="1" applyAlignment="1">
      <alignment wrapText="1"/>
    </xf>
    <xf numFmtId="3" fontId="12" fillId="0" borderId="18" xfId="0" applyNumberFormat="1" applyFont="1" applyBorder="1"/>
    <xf numFmtId="3" fontId="12" fillId="0" borderId="13" xfId="0" applyNumberFormat="1" applyFont="1" applyBorder="1"/>
    <xf numFmtId="42" fontId="12" fillId="0" borderId="15" xfId="0" applyNumberFormat="1" applyFont="1" applyBorder="1"/>
    <xf numFmtId="42" fontId="12" fillId="0" borderId="0" xfId="0" applyNumberFormat="1" applyFont="1"/>
    <xf numFmtId="0" fontId="12" fillId="0" borderId="8" xfId="0" applyFont="1" applyBorder="1"/>
    <xf numFmtId="3" fontId="2" fillId="0" borderId="18" xfId="0" applyNumberFormat="1" applyFont="1" applyBorder="1" applyAlignment="1">
      <alignment horizontal="center"/>
    </xf>
    <xf numFmtId="42" fontId="2" fillId="0" borderId="15" xfId="0" applyNumberFormat="1" applyFont="1" applyBorder="1" applyAlignment="1">
      <alignment horizontal="right" vertical="center"/>
    </xf>
    <xf numFmtId="42" fontId="1" fillId="0" borderId="16" xfId="0" applyNumberFormat="1" applyFont="1" applyBorder="1" applyAlignment="1">
      <alignment horizontal="right" vertical="center"/>
    </xf>
    <xf numFmtId="3" fontId="12" fillId="0" borderId="17" xfId="0" applyNumberFormat="1" applyFont="1" applyBorder="1" applyAlignment="1">
      <alignment wrapText="1"/>
    </xf>
    <xf numFmtId="0" fontId="2" fillId="0" borderId="11" xfId="0" applyFont="1" applyBorder="1" applyAlignment="1">
      <alignment horizontal="center"/>
    </xf>
    <xf numFmtId="0" fontId="10" fillId="0" borderId="19" xfId="0" applyFont="1" applyBorder="1"/>
    <xf numFmtId="0" fontId="10" fillId="0" borderId="20" xfId="0" applyFont="1" applyBorder="1"/>
    <xf numFmtId="49" fontId="12" fillId="5" borderId="13" xfId="0" applyNumberFormat="1" applyFont="1" applyFill="1" applyBorder="1"/>
    <xf numFmtId="3" fontId="2" fillId="5" borderId="11" xfId="0" applyNumberFormat="1" applyFont="1" applyFill="1" applyBorder="1" applyAlignment="1">
      <alignment horizontal="center"/>
    </xf>
    <xf numFmtId="49" fontId="2" fillId="5" borderId="13" xfId="0" applyNumberFormat="1" applyFont="1" applyFill="1" applyBorder="1" applyAlignment="1">
      <alignment horizontal="center"/>
    </xf>
    <xf numFmtId="0" fontId="2" fillId="0" borderId="10" xfId="0" applyFont="1" applyBorder="1" applyAlignment="1">
      <alignment wrapText="1"/>
    </xf>
    <xf numFmtId="0" fontId="12" fillId="6" borderId="8" xfId="0" applyFont="1" applyFill="1" applyBorder="1"/>
    <xf numFmtId="0" fontId="12" fillId="6" borderId="9" xfId="0" applyFont="1" applyFill="1" applyBorder="1"/>
    <xf numFmtId="0" fontId="2" fillId="6" borderId="9" xfId="0" applyFont="1" applyFill="1" applyBorder="1"/>
    <xf numFmtId="0" fontId="12" fillId="6" borderId="10" xfId="0" applyFont="1" applyFill="1" applyBorder="1" applyAlignment="1">
      <alignment wrapText="1"/>
    </xf>
    <xf numFmtId="3" fontId="12" fillId="6" borderId="17" xfId="0" applyNumberFormat="1" applyFont="1" applyFill="1" applyBorder="1" applyAlignment="1">
      <alignment wrapText="1"/>
    </xf>
    <xf numFmtId="3" fontId="2" fillId="6" borderId="11" xfId="0" applyNumberFormat="1" applyFont="1" applyFill="1" applyBorder="1" applyAlignment="1">
      <alignment horizontal="center"/>
    </xf>
    <xf numFmtId="49" fontId="2" fillId="6" borderId="10" xfId="0" applyNumberFormat="1" applyFont="1" applyFill="1" applyBorder="1" applyAlignment="1">
      <alignment horizontal="center"/>
    </xf>
    <xf numFmtId="49" fontId="2" fillId="6" borderId="13" xfId="0" applyNumberFormat="1" applyFont="1" applyFill="1" applyBorder="1" applyAlignment="1">
      <alignment horizontal="center"/>
    </xf>
    <xf numFmtId="42" fontId="1" fillId="6" borderId="11" xfId="0" applyNumberFormat="1" applyFont="1" applyFill="1" applyBorder="1" applyAlignment="1">
      <alignment horizontal="right" vertical="center"/>
    </xf>
    <xf numFmtId="42" fontId="1" fillId="6" borderId="12" xfId="0" applyNumberFormat="1" applyFont="1" applyFill="1" applyBorder="1" applyAlignment="1">
      <alignment horizontal="right" vertical="center"/>
    </xf>
    <xf numFmtId="0" fontId="2" fillId="0" borderId="16" xfId="0" applyFont="1" applyBorder="1" applyAlignment="1">
      <alignment vertical="center"/>
    </xf>
    <xf numFmtId="0" fontId="8" fillId="4" borderId="21" xfId="0" applyFont="1" applyFill="1" applyBorder="1"/>
    <xf numFmtId="0" fontId="12" fillId="4" borderId="17" xfId="0" applyFont="1" applyFill="1" applyBorder="1"/>
    <xf numFmtId="42" fontId="12" fillId="4" borderId="18" xfId="0" applyNumberFormat="1" applyFont="1" applyFill="1" applyBorder="1"/>
    <xf numFmtId="3" fontId="11" fillId="4" borderId="22" xfId="0" applyNumberFormat="1" applyFont="1" applyFill="1" applyBorder="1" applyAlignment="1">
      <alignment horizontal="right" vertical="center"/>
    </xf>
    <xf numFmtId="0" fontId="1" fillId="7" borderId="21" xfId="0" applyFont="1" applyFill="1" applyBorder="1"/>
    <xf numFmtId="0" fontId="13" fillId="7" borderId="17" xfId="0" applyFont="1" applyFill="1" applyBorder="1"/>
    <xf numFmtId="3" fontId="13" fillId="7" borderId="10" xfId="0" applyNumberFormat="1" applyFont="1" applyFill="1" applyBorder="1" applyAlignment="1">
      <alignment wrapText="1"/>
    </xf>
    <xf numFmtId="3" fontId="13" fillId="7" borderId="13" xfId="0" applyNumberFormat="1" applyFont="1" applyFill="1" applyBorder="1" applyAlignment="1">
      <alignment wrapText="1"/>
    </xf>
    <xf numFmtId="1" fontId="13" fillId="7" borderId="11" xfId="0" applyNumberFormat="1" applyFont="1" applyFill="1" applyBorder="1"/>
    <xf numFmtId="0" fontId="13" fillId="7" borderId="11" xfId="0" applyFont="1" applyFill="1" applyBorder="1"/>
    <xf numFmtId="42" fontId="13" fillId="7" borderId="18" xfId="0" applyNumberFormat="1" applyFont="1" applyFill="1" applyBorder="1"/>
    <xf numFmtId="3" fontId="1" fillId="7" borderId="22" xfId="0" applyNumberFormat="1" applyFont="1" applyFill="1" applyBorder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0" fontId="13" fillId="7" borderId="21" xfId="0" applyFont="1" applyFill="1" applyBorder="1"/>
    <xf numFmtId="0" fontId="1" fillId="7" borderId="17" xfId="0" applyFont="1" applyFill="1" applyBorder="1"/>
    <xf numFmtId="1" fontId="1" fillId="7" borderId="11" xfId="0" applyNumberFormat="1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 wrapText="1"/>
    </xf>
    <xf numFmtId="42" fontId="1" fillId="7" borderId="15" xfId="0" applyNumberFormat="1" applyFont="1" applyFill="1" applyBorder="1" applyAlignment="1">
      <alignment horizontal="right" vertical="center"/>
    </xf>
    <xf numFmtId="42" fontId="1" fillId="7" borderId="16" xfId="0" applyNumberFormat="1" applyFont="1" applyFill="1" applyBorder="1" applyAlignment="1">
      <alignment horizontal="right" vertical="center"/>
    </xf>
    <xf numFmtId="42" fontId="14" fillId="0" borderId="0" xfId="0" applyNumberFormat="1" applyFont="1" applyAlignment="1">
      <alignment horizontal="right"/>
    </xf>
    <xf numFmtId="0" fontId="13" fillId="7" borderId="8" xfId="0" applyFont="1" applyFill="1" applyBorder="1"/>
    <xf numFmtId="0" fontId="1" fillId="7" borderId="9" xfId="0" applyFont="1" applyFill="1" applyBorder="1"/>
    <xf numFmtId="0" fontId="13" fillId="7" borderId="9" xfId="0" applyFont="1" applyFill="1" applyBorder="1"/>
    <xf numFmtId="0" fontId="10" fillId="0" borderId="18" xfId="0" applyFont="1" applyBorder="1"/>
    <xf numFmtId="0" fontId="10" fillId="0" borderId="22" xfId="0" applyFont="1" applyBorder="1"/>
    <xf numFmtId="42" fontId="1" fillId="7" borderId="11" xfId="0" applyNumberFormat="1" applyFont="1" applyFill="1" applyBorder="1" applyAlignment="1">
      <alignment horizontal="right"/>
    </xf>
    <xf numFmtId="42" fontId="1" fillId="7" borderId="12" xfId="0" applyNumberFormat="1" applyFont="1" applyFill="1" applyBorder="1" applyAlignment="1">
      <alignment horizontal="right" vertical="center"/>
    </xf>
    <xf numFmtId="3" fontId="12" fillId="0" borderId="10" xfId="0" applyNumberFormat="1" applyFont="1" applyBorder="1" applyAlignment="1">
      <alignment wrapText="1"/>
    </xf>
    <xf numFmtId="1" fontId="12" fillId="0" borderId="11" xfId="0" applyNumberFormat="1" applyFont="1" applyBorder="1"/>
    <xf numFmtId="0" fontId="12" fillId="0" borderId="11" xfId="0" applyFont="1" applyBorder="1"/>
    <xf numFmtId="3" fontId="1" fillId="0" borderId="12" xfId="0" applyNumberFormat="1" applyFont="1" applyBorder="1" applyAlignment="1">
      <alignment horizontal="right" vertical="center"/>
    </xf>
    <xf numFmtId="3" fontId="2" fillId="0" borderId="13" xfId="0" applyNumberFormat="1" applyFont="1" applyBorder="1" applyAlignment="1">
      <alignment wrapText="1"/>
    </xf>
    <xf numFmtId="1" fontId="2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 wrapText="1"/>
    </xf>
    <xf numFmtId="3" fontId="12" fillId="4" borderId="8" xfId="0" applyNumberFormat="1" applyFont="1" applyFill="1" applyBorder="1"/>
    <xf numFmtId="0" fontId="2" fillId="0" borderId="21" xfId="0" applyFont="1" applyBorder="1"/>
    <xf numFmtId="3" fontId="12" fillId="0" borderId="11" xfId="0" applyNumberFormat="1" applyFont="1" applyBorder="1"/>
    <xf numFmtId="42" fontId="12" fillId="0" borderId="18" xfId="0" applyNumberFormat="1" applyFont="1" applyBorder="1"/>
    <xf numFmtId="3" fontId="1" fillId="0" borderId="22" xfId="0" applyNumberFormat="1" applyFont="1" applyBorder="1" applyAlignment="1">
      <alignment horizontal="right" vertical="center"/>
    </xf>
    <xf numFmtId="0" fontId="12" fillId="0" borderId="21" xfId="0" applyFont="1" applyBorder="1"/>
    <xf numFmtId="3" fontId="2" fillId="0" borderId="10" xfId="0" applyNumberFormat="1" applyFont="1" applyBorder="1" applyAlignment="1">
      <alignment wrapText="1"/>
    </xf>
    <xf numFmtId="0" fontId="2" fillId="0" borderId="8" xfId="0" applyFont="1" applyBorder="1" applyAlignment="1">
      <alignment horizontal="center"/>
    </xf>
    <xf numFmtId="42" fontId="1" fillId="0" borderId="12" xfId="0" applyNumberFormat="1" applyFont="1" applyBorder="1" applyAlignment="1">
      <alignment horizontal="right" vertical="center"/>
    </xf>
    <xf numFmtId="3" fontId="1" fillId="7" borderId="11" xfId="0" applyNumberFormat="1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42" fontId="1" fillId="7" borderId="15" xfId="0" applyNumberFormat="1" applyFont="1" applyFill="1" applyBorder="1" applyAlignment="1">
      <alignment horizontal="right"/>
    </xf>
    <xf numFmtId="42" fontId="1" fillId="7" borderId="16" xfId="0" applyNumberFormat="1" applyFont="1" applyFill="1" applyBorder="1" applyAlignment="1">
      <alignment horizontal="right"/>
    </xf>
    <xf numFmtId="0" fontId="1" fillId="7" borderId="8" xfId="0" applyFont="1" applyFill="1" applyBorder="1" applyAlignment="1">
      <alignment horizontal="center"/>
    </xf>
    <xf numFmtId="3" fontId="1" fillId="7" borderId="10" xfId="0" applyNumberFormat="1" applyFont="1" applyFill="1" applyBorder="1" applyAlignment="1">
      <alignment wrapText="1"/>
    </xf>
    <xf numFmtId="42" fontId="14" fillId="0" borderId="0" xfId="0" applyNumberFormat="1" applyFont="1" applyAlignment="1">
      <alignment horizontal="right" vertical="center"/>
    </xf>
    <xf numFmtId="42" fontId="1" fillId="7" borderId="23" xfId="0" applyNumberFormat="1" applyFont="1" applyFill="1" applyBorder="1" applyAlignment="1">
      <alignment horizontal="right"/>
    </xf>
    <xf numFmtId="42" fontId="2" fillId="0" borderId="11" xfId="0" applyNumberFormat="1" applyFont="1" applyBorder="1" applyAlignment="1">
      <alignment horizontal="right"/>
    </xf>
    <xf numFmtId="1" fontId="12" fillId="0" borderId="13" xfId="0" applyNumberFormat="1" applyFont="1" applyBorder="1"/>
    <xf numFmtId="0" fontId="12" fillId="0" borderId="13" xfId="0" applyFont="1" applyBorder="1"/>
    <xf numFmtId="1" fontId="2" fillId="0" borderId="13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 wrapText="1"/>
    </xf>
    <xf numFmtId="0" fontId="1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2" fillId="0" borderId="10" xfId="0" applyFont="1" applyBorder="1" applyAlignment="1">
      <alignment vertical="center" wrapText="1"/>
    </xf>
    <xf numFmtId="3" fontId="2" fillId="0" borderId="13" xfId="0" applyNumberFormat="1" applyFont="1" applyBorder="1" applyAlignment="1">
      <alignment vertical="center" wrapText="1"/>
    </xf>
    <xf numFmtId="3" fontId="2" fillId="0" borderId="1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/>
    </xf>
    <xf numFmtId="42" fontId="2" fillId="0" borderId="11" xfId="0" applyNumberFormat="1" applyFont="1" applyBorder="1" applyAlignment="1">
      <alignment horizontal="right" vertical="center"/>
    </xf>
    <xf numFmtId="42" fontId="2" fillId="0" borderId="0" xfId="0" applyNumberFormat="1" applyFont="1" applyAlignment="1">
      <alignment horizontal="right" vertical="center"/>
    </xf>
    <xf numFmtId="3" fontId="12" fillId="0" borderId="24" xfId="0" applyNumberFormat="1" applyFont="1" applyBorder="1"/>
    <xf numFmtId="0" fontId="12" fillId="0" borderId="24" xfId="0" applyFont="1" applyBorder="1"/>
    <xf numFmtId="42" fontId="14" fillId="0" borderId="16" xfId="0" applyNumberFormat="1" applyFont="1" applyBorder="1" applyAlignment="1">
      <alignment horizontal="right" vertical="center"/>
    </xf>
    <xf numFmtId="3" fontId="2" fillId="0" borderId="17" xfId="0" applyNumberFormat="1" applyFont="1" applyBorder="1" applyAlignment="1">
      <alignment wrapText="1"/>
    </xf>
    <xf numFmtId="0" fontId="2" fillId="0" borderId="13" xfId="0" applyFont="1" applyBorder="1" applyAlignment="1">
      <alignment horizontal="center"/>
    </xf>
    <xf numFmtId="42" fontId="2" fillId="0" borderId="18" xfId="0" applyNumberFormat="1" applyFont="1" applyBorder="1" applyAlignment="1">
      <alignment horizontal="right"/>
    </xf>
    <xf numFmtId="3" fontId="2" fillId="0" borderId="0" xfId="0" applyNumberFormat="1" applyFont="1" applyAlignment="1">
      <alignment wrapText="1"/>
    </xf>
    <xf numFmtId="0" fontId="1" fillId="7" borderId="17" xfId="0" applyFont="1" applyFill="1" applyBorder="1" applyAlignment="1">
      <alignment horizontal="left" vertical="center"/>
    </xf>
    <xf numFmtId="3" fontId="1" fillId="7" borderId="10" xfId="0" applyNumberFormat="1" applyFont="1" applyFill="1" applyBorder="1" applyAlignment="1">
      <alignment horizontal="left" vertical="center"/>
    </xf>
    <xf numFmtId="3" fontId="1" fillId="7" borderId="11" xfId="0" applyNumberFormat="1" applyFont="1" applyFill="1" applyBorder="1" applyAlignment="1">
      <alignment horizontal="left" vertical="center"/>
    </xf>
    <xf numFmtId="0" fontId="1" fillId="7" borderId="21" xfId="0" applyFont="1" applyFill="1" applyBorder="1" applyAlignment="1">
      <alignment horizontal="center" vertical="center"/>
    </xf>
    <xf numFmtId="3" fontId="1" fillId="7" borderId="18" xfId="0" applyNumberFormat="1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42" fontId="1" fillId="7" borderId="18" xfId="0" applyNumberFormat="1" applyFont="1" applyFill="1" applyBorder="1" applyAlignment="1">
      <alignment horizontal="right" vertical="center"/>
    </xf>
    <xf numFmtId="42" fontId="1" fillId="7" borderId="22" xfId="0" applyNumberFormat="1" applyFont="1" applyFill="1" applyBorder="1" applyAlignment="1">
      <alignment horizontal="right" vertical="center"/>
    </xf>
    <xf numFmtId="0" fontId="1" fillId="7" borderId="21" xfId="0" applyFont="1" applyFill="1" applyBorder="1" applyAlignment="1">
      <alignment horizontal="center"/>
    </xf>
    <xf numFmtId="3" fontId="1" fillId="7" borderId="18" xfId="0" applyNumberFormat="1" applyFont="1" applyFill="1" applyBorder="1" applyAlignment="1">
      <alignment horizontal="center"/>
    </xf>
    <xf numFmtId="0" fontId="1" fillId="7" borderId="18" xfId="0" applyFont="1" applyFill="1" applyBorder="1" applyAlignment="1">
      <alignment horizontal="center"/>
    </xf>
    <xf numFmtId="42" fontId="1" fillId="7" borderId="18" xfId="0" applyNumberFormat="1" applyFont="1" applyFill="1" applyBorder="1" applyAlignment="1">
      <alignment horizontal="right"/>
    </xf>
    <xf numFmtId="0" fontId="11" fillId="4" borderId="25" xfId="0" applyFont="1" applyFill="1" applyBorder="1" applyAlignment="1">
      <alignment horizontal="center" vertical="center"/>
    </xf>
    <xf numFmtId="3" fontId="12" fillId="4" borderId="13" xfId="0" applyNumberFormat="1" applyFont="1" applyFill="1" applyBorder="1" applyAlignment="1">
      <alignment wrapText="1"/>
    </xf>
    <xf numFmtId="1" fontId="12" fillId="4" borderId="11" xfId="0" applyNumberFormat="1" applyFont="1" applyFill="1" applyBorder="1"/>
    <xf numFmtId="0" fontId="1" fillId="0" borderId="25" xfId="0" applyFont="1" applyBorder="1" applyAlignment="1">
      <alignment horizontal="center" vertical="center"/>
    </xf>
    <xf numFmtId="0" fontId="1" fillId="8" borderId="8" xfId="0" applyFont="1" applyFill="1" applyBorder="1"/>
    <xf numFmtId="0" fontId="13" fillId="8" borderId="9" xfId="0" applyFont="1" applyFill="1" applyBorder="1"/>
    <xf numFmtId="3" fontId="13" fillId="8" borderId="10" xfId="0" applyNumberFormat="1" applyFont="1" applyFill="1" applyBorder="1" applyAlignment="1">
      <alignment wrapText="1"/>
    </xf>
    <xf numFmtId="3" fontId="1" fillId="8" borderId="13" xfId="0" applyNumberFormat="1" applyFont="1" applyFill="1" applyBorder="1" applyAlignment="1">
      <alignment wrapText="1"/>
    </xf>
    <xf numFmtId="1" fontId="1" fillId="8" borderId="11" xfId="0" applyNumberFormat="1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 wrapText="1"/>
    </xf>
    <xf numFmtId="42" fontId="1" fillId="8" borderId="18" xfId="0" applyNumberFormat="1" applyFont="1" applyFill="1" applyBorder="1" applyAlignment="1">
      <alignment horizontal="right"/>
    </xf>
    <xf numFmtId="42" fontId="1" fillId="8" borderId="22" xfId="0" applyNumberFormat="1" applyFont="1" applyFill="1" applyBorder="1" applyAlignment="1">
      <alignment horizontal="right" vertical="center"/>
    </xf>
    <xf numFmtId="0" fontId="2" fillId="0" borderId="8" xfId="0" applyFont="1" applyBorder="1" applyAlignment="1">
      <alignment vertical="center"/>
    </xf>
    <xf numFmtId="3" fontId="12" fillId="0" borderId="10" xfId="0" applyNumberFormat="1" applyFont="1" applyBorder="1" applyAlignment="1">
      <alignment vertical="center" wrapText="1"/>
    </xf>
    <xf numFmtId="1" fontId="2" fillId="0" borderId="1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11" fillId="4" borderId="26" xfId="0" applyFont="1" applyFill="1" applyBorder="1" applyAlignment="1">
      <alignment horizontal="center" vertical="center"/>
    </xf>
    <xf numFmtId="3" fontId="12" fillId="4" borderId="24" xfId="0" applyNumberFormat="1" applyFont="1" applyFill="1" applyBorder="1" applyAlignment="1">
      <alignment wrapText="1"/>
    </xf>
    <xf numFmtId="3" fontId="12" fillId="4" borderId="24" xfId="0" applyNumberFormat="1" applyFont="1" applyFill="1" applyBorder="1"/>
    <xf numFmtId="0" fontId="12" fillId="4" borderId="24" xfId="0" applyFont="1" applyFill="1" applyBorder="1"/>
    <xf numFmtId="42" fontId="12" fillId="4" borderId="15" xfId="0" applyNumberFormat="1" applyFont="1" applyFill="1" applyBorder="1"/>
    <xf numFmtId="3" fontId="1" fillId="4" borderId="12" xfId="0" applyNumberFormat="1" applyFont="1" applyFill="1" applyBorder="1" applyAlignment="1">
      <alignment horizontal="right" vertical="center"/>
    </xf>
    <xf numFmtId="42" fontId="1" fillId="8" borderId="22" xfId="0" applyNumberFormat="1" applyFont="1" applyFill="1" applyBorder="1" applyAlignment="1">
      <alignment horizontal="right"/>
    </xf>
    <xf numFmtId="0" fontId="12" fillId="8" borderId="8" xfId="0" applyFont="1" applyFill="1" applyBorder="1"/>
    <xf numFmtId="0" fontId="2" fillId="8" borderId="9" xfId="0" applyFont="1" applyFill="1" applyBorder="1"/>
    <xf numFmtId="0" fontId="12" fillId="8" borderId="9" xfId="0" applyFont="1" applyFill="1" applyBorder="1"/>
    <xf numFmtId="3" fontId="12" fillId="8" borderId="10" xfId="0" applyNumberFormat="1" applyFont="1" applyFill="1" applyBorder="1" applyAlignment="1">
      <alignment wrapText="1"/>
    </xf>
    <xf numFmtId="3" fontId="12" fillId="8" borderId="13" xfId="0" applyNumberFormat="1" applyFont="1" applyFill="1" applyBorder="1" applyAlignment="1">
      <alignment wrapText="1"/>
    </xf>
    <xf numFmtId="1" fontId="12" fillId="8" borderId="11" xfId="0" applyNumberFormat="1" applyFont="1" applyFill="1" applyBorder="1"/>
    <xf numFmtId="0" fontId="12" fillId="8" borderId="11" xfId="0" applyFont="1" applyFill="1" applyBorder="1"/>
    <xf numFmtId="42" fontId="12" fillId="8" borderId="18" xfId="0" applyNumberFormat="1" applyFont="1" applyFill="1" applyBorder="1"/>
    <xf numFmtId="3" fontId="1" fillId="8" borderId="22" xfId="0" applyNumberFormat="1" applyFont="1" applyFill="1" applyBorder="1" applyAlignment="1">
      <alignment horizontal="right" vertical="center"/>
    </xf>
    <xf numFmtId="3" fontId="12" fillId="6" borderId="10" xfId="0" applyNumberFormat="1" applyFont="1" applyFill="1" applyBorder="1" applyAlignment="1">
      <alignment wrapText="1"/>
    </xf>
    <xf numFmtId="3" fontId="2" fillId="6" borderId="13" xfId="0" applyNumberFormat="1" applyFont="1" applyFill="1" applyBorder="1" applyAlignment="1">
      <alignment wrapText="1"/>
    </xf>
    <xf numFmtId="49" fontId="2" fillId="6" borderId="18" xfId="0" applyNumberFormat="1" applyFont="1" applyFill="1" applyBorder="1" applyAlignment="1">
      <alignment horizontal="center"/>
    </xf>
    <xf numFmtId="49" fontId="2" fillId="6" borderId="11" xfId="0" applyNumberFormat="1" applyFont="1" applyFill="1" applyBorder="1" applyAlignment="1">
      <alignment horizontal="center"/>
    </xf>
    <xf numFmtId="3" fontId="1" fillId="0" borderId="16" xfId="0" applyNumberFormat="1" applyFont="1" applyBorder="1" applyAlignment="1">
      <alignment horizontal="right" vertical="center"/>
    </xf>
    <xf numFmtId="0" fontId="12" fillId="4" borderId="10" xfId="0" applyFont="1" applyFill="1" applyBorder="1" applyAlignment="1">
      <alignment wrapText="1"/>
    </xf>
    <xf numFmtId="0" fontId="2" fillId="7" borderId="8" xfId="0" applyFont="1" applyFill="1" applyBorder="1"/>
    <xf numFmtId="0" fontId="12" fillId="7" borderId="9" xfId="0" applyFont="1" applyFill="1" applyBorder="1"/>
    <xf numFmtId="0" fontId="12" fillId="7" borderId="10" xfId="0" applyFont="1" applyFill="1" applyBorder="1" applyAlignment="1">
      <alignment wrapText="1"/>
    </xf>
    <xf numFmtId="3" fontId="12" fillId="7" borderId="13" xfId="0" applyNumberFormat="1" applyFont="1" applyFill="1" applyBorder="1" applyAlignment="1">
      <alignment wrapText="1"/>
    </xf>
    <xf numFmtId="1" fontId="2" fillId="7" borderId="11" xfId="0" applyNumberFormat="1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 wrapText="1"/>
    </xf>
    <xf numFmtId="42" fontId="1" fillId="7" borderId="11" xfId="0" applyNumberFormat="1" applyFont="1" applyFill="1" applyBorder="1" applyAlignment="1">
      <alignment horizontal="right" vertical="center"/>
    </xf>
    <xf numFmtId="0" fontId="1" fillId="0" borderId="27" xfId="0" applyFont="1" applyBorder="1" applyAlignment="1">
      <alignment horizontal="center" vertical="center"/>
    </xf>
    <xf numFmtId="0" fontId="12" fillId="0" borderId="28" xfId="0" applyFont="1" applyBorder="1"/>
    <xf numFmtId="0" fontId="12" fillId="0" borderId="29" xfId="0" applyFont="1" applyBorder="1"/>
    <xf numFmtId="3" fontId="12" fillId="0" borderId="30" xfId="0" applyNumberFormat="1" applyFont="1" applyBorder="1" applyAlignment="1">
      <alignment wrapText="1"/>
    </xf>
    <xf numFmtId="3" fontId="12" fillId="0" borderId="31" xfId="0" applyNumberFormat="1" applyFont="1" applyBorder="1" applyAlignment="1">
      <alignment wrapText="1"/>
    </xf>
    <xf numFmtId="3" fontId="12" fillId="0" borderId="31" xfId="0" applyNumberFormat="1" applyFont="1" applyBorder="1"/>
    <xf numFmtId="49" fontId="12" fillId="0" borderId="31" xfId="0" applyNumberFormat="1" applyFont="1" applyBorder="1"/>
    <xf numFmtId="164" fontId="1" fillId="0" borderId="32" xfId="0" applyNumberFormat="1" applyFont="1" applyBorder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64" fontId="12" fillId="0" borderId="0" xfId="0" applyNumberFormat="1" applyFont="1"/>
    <xf numFmtId="0" fontId="11" fillId="0" borderId="0" xfId="0" applyFont="1" applyAlignment="1">
      <alignment horizontal="right" vertical="center"/>
    </xf>
    <xf numFmtId="3" fontId="12" fillId="0" borderId="0" xfId="0" applyNumberFormat="1" applyFont="1" applyAlignment="1">
      <alignment wrapText="1"/>
    </xf>
    <xf numFmtId="0" fontId="8" fillId="9" borderId="1" xfId="0" applyFont="1" applyFill="1" applyBorder="1" applyAlignment="1">
      <alignment horizontal="center"/>
    </xf>
    <xf numFmtId="3" fontId="8" fillId="2" borderId="33" xfId="0" applyNumberFormat="1" applyFont="1" applyFill="1" applyBorder="1" applyAlignment="1">
      <alignment horizontal="right" vertical="center"/>
    </xf>
    <xf numFmtId="3" fontId="8" fillId="0" borderId="0" xfId="0" applyNumberFormat="1" applyFont="1" applyAlignment="1">
      <alignment horizontal="right" vertical="center"/>
    </xf>
    <xf numFmtId="3" fontId="8" fillId="0" borderId="0" xfId="0" applyNumberFormat="1" applyFont="1" applyAlignment="1">
      <alignment horizontal="right"/>
    </xf>
    <xf numFmtId="0" fontId="9" fillId="10" borderId="25" xfId="0" applyFont="1" applyFill="1" applyBorder="1" applyAlignment="1">
      <alignment horizontal="center"/>
    </xf>
    <xf numFmtId="0" fontId="10" fillId="0" borderId="13" xfId="0" applyFont="1" applyBorder="1"/>
    <xf numFmtId="3" fontId="9" fillId="10" borderId="22" xfId="0" applyNumberFormat="1" applyFont="1" applyFill="1" applyBorder="1" applyAlignment="1">
      <alignment horizontal="right" vertical="center"/>
    </xf>
    <xf numFmtId="0" fontId="8" fillId="9" borderId="25" xfId="0" applyFont="1" applyFill="1" applyBorder="1" applyAlignment="1">
      <alignment horizontal="center"/>
    </xf>
    <xf numFmtId="3" fontId="8" fillId="2" borderId="22" xfId="0" applyNumberFormat="1" applyFont="1" applyFill="1" applyBorder="1" applyAlignment="1">
      <alignment horizontal="right" vertical="center"/>
    </xf>
    <xf numFmtId="0" fontId="8" fillId="9" borderId="7" xfId="0" applyFont="1" applyFill="1" applyBorder="1" applyAlignment="1">
      <alignment horizontal="center"/>
    </xf>
    <xf numFmtId="0" fontId="10" fillId="0" borderId="10" xfId="0" applyFont="1" applyBorder="1"/>
    <xf numFmtId="0" fontId="9" fillId="11" borderId="27" xfId="0" applyFont="1" applyFill="1" applyBorder="1" applyAlignment="1">
      <alignment horizontal="center"/>
    </xf>
    <xf numFmtId="0" fontId="10" fillId="0" borderId="30" xfId="0" applyFont="1" applyBorder="1"/>
    <xf numFmtId="3" fontId="9" fillId="11" borderId="32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3" fontId="8" fillId="0" borderId="0" xfId="0" applyNumberFormat="1" applyFont="1"/>
    <xf numFmtId="3" fontId="16" fillId="0" borderId="0" xfId="0" applyNumberFormat="1" applyFont="1"/>
    <xf numFmtId="3" fontId="8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3" fontId="2" fillId="0" borderId="0" xfId="0" applyNumberFormat="1" applyFont="1"/>
    <xf numFmtId="3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3" fontId="17" fillId="0" borderId="0" xfId="0" applyNumberFormat="1" applyFont="1"/>
    <xf numFmtId="3" fontId="16" fillId="5" borderId="0" xfId="0" applyNumberFormat="1" applyFont="1" applyFill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1019175</xdr:colOff>
      <xdr:row>0</xdr:row>
      <xdr:rowOff>161925</xdr:rowOff>
    </xdr:from>
    <xdr:ext cx="3143250" cy="942975"/>
    <xdr:pic>
      <xdr:nvPicPr>
        <xdr:cNvPr id="2" name="image3.png" title="Gambar">
          <a:extLst>
            <a:ext uri="{FF2B5EF4-FFF2-40B4-BE49-F238E27FC236}">
              <a16:creationId xmlns:a16="http://schemas.microsoft.com/office/drawing/2014/main" id="{1878F412-FE08-884C-A662-325BFB44C0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671175" y="161925"/>
          <a:ext cx="3143250" cy="9429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3117-0537-9D4F-A5F9-59E0C7ACE57C}">
  <sheetPr>
    <tabColor rgb="FF00FF00"/>
    <pageSetUpPr fitToPage="1"/>
  </sheetPr>
  <dimension ref="A1:AB1098"/>
  <sheetViews>
    <sheetView tabSelected="1" workbookViewId="0">
      <selection activeCell="G162" sqref="G162"/>
    </sheetView>
  </sheetViews>
  <sheetFormatPr baseColWidth="10" defaultColWidth="12.6640625" defaultRowHeight="15.75" customHeight="1" x14ac:dyDescent="0.15"/>
  <cols>
    <col min="1" max="1" width="5.6640625" customWidth="1"/>
    <col min="2" max="2" width="12" customWidth="1"/>
    <col min="3" max="5" width="3.83203125" customWidth="1"/>
    <col min="6" max="6" width="25.33203125" customWidth="1"/>
    <col min="7" max="7" width="52.6640625" customWidth="1"/>
    <col min="8" max="8" width="4.5" customWidth="1"/>
    <col min="9" max="9" width="6" customWidth="1"/>
    <col min="10" max="10" width="10.6640625" customWidth="1"/>
    <col min="11" max="11" width="11.6640625" customWidth="1"/>
    <col min="12" max="12" width="21.5" customWidth="1"/>
    <col min="13" max="13" width="22.5" customWidth="1"/>
    <col min="14" max="15" width="3.83203125" customWidth="1"/>
    <col min="16" max="28" width="15.1640625" customWidth="1"/>
  </cols>
  <sheetData>
    <row r="1" spans="1:28" ht="15.75" customHeight="1" x14ac:dyDescent="0.1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customHeight="1" x14ac:dyDescent="0.1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.75" customHeight="1" x14ac:dyDescent="0.15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75" customHeight="1" x14ac:dyDescent="0.15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customHeight="1" x14ac:dyDescent="0.1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75" customHeight="1" x14ac:dyDescent="0.15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.75" customHeight="1" x14ac:dyDescent="0.2">
      <c r="A7" s="1"/>
      <c r="B7" s="3"/>
      <c r="C7" s="3"/>
      <c r="D7" s="4"/>
      <c r="E7" s="3"/>
      <c r="F7" s="5"/>
      <c r="G7" s="5"/>
      <c r="H7" s="5"/>
      <c r="I7" s="5"/>
      <c r="J7" s="5"/>
      <c r="K7" s="5"/>
      <c r="L7" s="5"/>
      <c r="M7" s="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9" x14ac:dyDescent="0.2">
      <c r="A8" s="1"/>
      <c r="B8" s="6" t="s">
        <v>0</v>
      </c>
      <c r="C8" s="6" t="s">
        <v>1</v>
      </c>
      <c r="D8" s="4"/>
      <c r="E8" s="3"/>
      <c r="F8" s="5"/>
      <c r="G8" s="7"/>
      <c r="H8" s="8"/>
      <c r="I8" s="9" t="s">
        <v>2</v>
      </c>
      <c r="J8" s="9"/>
      <c r="K8" s="9"/>
      <c r="L8" s="9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6" x14ac:dyDescent="0.2">
      <c r="A9" s="1"/>
      <c r="B9" s="10" t="s">
        <v>3</v>
      </c>
      <c r="C9" s="11" t="s">
        <v>4</v>
      </c>
      <c r="D9" s="12"/>
      <c r="E9" s="12"/>
      <c r="F9" s="12"/>
      <c r="G9" s="12"/>
      <c r="H9" s="8"/>
      <c r="I9" s="13"/>
      <c r="J9" s="12"/>
      <c r="K9" s="12"/>
      <c r="L9" s="12"/>
      <c r="M9" s="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5.75" customHeight="1" x14ac:dyDescent="0.2">
      <c r="A10" s="1"/>
      <c r="B10" s="6" t="s">
        <v>5</v>
      </c>
      <c r="C10" s="6" t="s">
        <v>6</v>
      </c>
      <c r="D10" s="4"/>
      <c r="E10" s="3"/>
      <c r="F10" s="5"/>
      <c r="G10" s="7"/>
      <c r="H10" s="8"/>
      <c r="I10" s="14" t="s">
        <v>7</v>
      </c>
      <c r="J10" s="12"/>
      <c r="K10" s="12"/>
      <c r="L10" s="6" t="s">
        <v>8</v>
      </c>
      <c r="M10" s="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.75" customHeight="1" x14ac:dyDescent="0.2">
      <c r="A11" s="1"/>
      <c r="B11" s="6" t="s">
        <v>9</v>
      </c>
      <c r="C11" s="6" t="s">
        <v>10</v>
      </c>
      <c r="D11" s="4"/>
      <c r="E11" s="3"/>
      <c r="F11" s="5"/>
      <c r="G11" s="7"/>
      <c r="H11" s="8"/>
      <c r="I11" s="14" t="s">
        <v>11</v>
      </c>
      <c r="J11" s="12"/>
      <c r="K11" s="12"/>
      <c r="L11" s="6" t="s">
        <v>12</v>
      </c>
      <c r="M11" s="5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5.75" customHeight="1" x14ac:dyDescent="0.2">
      <c r="A12" s="1"/>
      <c r="B12" s="3"/>
      <c r="C12" s="3"/>
      <c r="D12" s="4"/>
      <c r="E12" s="3"/>
      <c r="F12" s="5"/>
      <c r="G12" s="5"/>
      <c r="H12" s="5"/>
      <c r="I12" s="5"/>
      <c r="J12" s="5"/>
      <c r="K12" s="5"/>
      <c r="L12" s="5"/>
      <c r="M12" s="5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6" thickBot="1" x14ac:dyDescent="0.2">
      <c r="A13" s="1"/>
      <c r="B13" s="15"/>
      <c r="C13" s="2"/>
      <c r="D13" s="2"/>
      <c r="E13" s="2"/>
      <c r="F13" s="2"/>
      <c r="G13" s="2"/>
      <c r="H13" s="2"/>
      <c r="I13" s="2"/>
      <c r="J13" s="2"/>
      <c r="K13" s="2"/>
      <c r="L13" s="16"/>
      <c r="M13" s="12"/>
      <c r="N13" s="2"/>
      <c r="O13" s="2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ht="42" customHeight="1" x14ac:dyDescent="0.2">
      <c r="A14" s="18"/>
      <c r="B14" s="19" t="s">
        <v>13</v>
      </c>
      <c r="C14" s="20" t="s">
        <v>14</v>
      </c>
      <c r="D14" s="21"/>
      <c r="E14" s="21"/>
      <c r="F14" s="21"/>
      <c r="G14" s="22" t="s">
        <v>15</v>
      </c>
      <c r="H14" s="23" t="s">
        <v>16</v>
      </c>
      <c r="I14" s="24"/>
      <c r="J14" s="25" t="s">
        <v>17</v>
      </c>
      <c r="K14" s="24"/>
      <c r="L14" s="26" t="s">
        <v>18</v>
      </c>
      <c r="M14" s="26" t="s">
        <v>19</v>
      </c>
      <c r="N14" s="27"/>
      <c r="O14" s="27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</row>
    <row r="15" spans="1:28" ht="15" x14ac:dyDescent="0.2">
      <c r="A15" s="29"/>
      <c r="B15" s="30" t="s">
        <v>20</v>
      </c>
      <c r="C15" s="31" t="s">
        <v>21</v>
      </c>
      <c r="D15" s="32"/>
      <c r="E15" s="32"/>
      <c r="F15" s="33"/>
      <c r="G15" s="33"/>
      <c r="H15" s="34"/>
      <c r="I15" s="34"/>
      <c r="J15" s="34"/>
      <c r="K15" s="35"/>
      <c r="L15" s="36"/>
      <c r="M15" s="37"/>
      <c r="N15" s="38"/>
      <c r="O15" s="38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</row>
    <row r="16" spans="1:28" ht="15" x14ac:dyDescent="0.2">
      <c r="A16" s="40"/>
      <c r="B16" s="41"/>
      <c r="C16" s="42" t="s">
        <v>22</v>
      </c>
      <c r="D16" s="43"/>
      <c r="E16" s="43"/>
      <c r="F16" s="44"/>
      <c r="G16" s="45"/>
      <c r="H16" s="46"/>
      <c r="I16" s="47"/>
      <c r="J16" s="48"/>
      <c r="K16" s="47"/>
      <c r="L16" s="49"/>
      <c r="M16" s="50"/>
      <c r="N16" s="2"/>
      <c r="O16" s="2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</row>
    <row r="17" spans="1:28" ht="15" x14ac:dyDescent="0.2">
      <c r="A17" s="40"/>
      <c r="B17" s="41"/>
      <c r="C17" s="52"/>
      <c r="D17" s="53" t="s">
        <v>23</v>
      </c>
      <c r="E17" s="43"/>
      <c r="F17" s="44"/>
      <c r="G17" s="54"/>
      <c r="H17" s="55">
        <v>1</v>
      </c>
      <c r="I17" s="56" t="s">
        <v>24</v>
      </c>
      <c r="J17" s="57">
        <v>1</v>
      </c>
      <c r="K17" s="56" t="s">
        <v>25</v>
      </c>
      <c r="L17" s="58">
        <v>10000000</v>
      </c>
      <c r="M17" s="59">
        <f>L17*J17*H17</f>
        <v>10000000</v>
      </c>
      <c r="N17" s="60"/>
      <c r="O17" s="60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</row>
    <row r="18" spans="1:28" ht="15" x14ac:dyDescent="0.2">
      <c r="A18" s="40"/>
      <c r="B18" s="41"/>
      <c r="C18" s="52"/>
      <c r="D18" s="62" t="s">
        <v>26</v>
      </c>
      <c r="E18" s="63"/>
      <c r="F18" s="44"/>
      <c r="G18" s="64"/>
      <c r="H18" s="65"/>
      <c r="I18" s="47"/>
      <c r="J18" s="66"/>
      <c r="K18" s="47"/>
      <c r="L18" s="67"/>
      <c r="M18" s="59"/>
      <c r="N18" s="60"/>
      <c r="O18" s="60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</row>
    <row r="19" spans="1:28" ht="15" x14ac:dyDescent="0.2">
      <c r="A19" s="40"/>
      <c r="B19" s="41"/>
      <c r="C19" s="69"/>
      <c r="D19" s="63"/>
      <c r="E19" s="62" t="s">
        <v>27</v>
      </c>
      <c r="F19" s="44"/>
      <c r="G19" s="64"/>
      <c r="H19" s="70">
        <v>1</v>
      </c>
      <c r="I19" s="56" t="s">
        <v>24</v>
      </c>
      <c r="J19" s="57">
        <v>1</v>
      </c>
      <c r="K19" s="56" t="s">
        <v>25</v>
      </c>
      <c r="L19" s="71">
        <v>7500000</v>
      </c>
      <c r="M19" s="72">
        <f>L19*J19*H19</f>
        <v>7500000</v>
      </c>
      <c r="N19" s="60"/>
      <c r="O19" s="60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</row>
    <row r="20" spans="1:28" ht="15" x14ac:dyDescent="0.2">
      <c r="A20" s="40"/>
      <c r="B20" s="41"/>
      <c r="C20" s="69"/>
      <c r="D20" s="43"/>
      <c r="E20" s="53" t="s">
        <v>28</v>
      </c>
      <c r="F20" s="44"/>
      <c r="G20" s="73"/>
      <c r="H20" s="74">
        <v>1</v>
      </c>
      <c r="I20" s="56" t="s">
        <v>24</v>
      </c>
      <c r="J20" s="57">
        <v>1</v>
      </c>
      <c r="K20" s="56" t="s">
        <v>25</v>
      </c>
      <c r="L20" s="75"/>
      <c r="M20" s="76"/>
      <c r="N20" s="60"/>
      <c r="O20" s="60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</row>
    <row r="21" spans="1:28" ht="15" x14ac:dyDescent="0.2">
      <c r="A21" s="40"/>
      <c r="B21" s="41"/>
      <c r="C21" s="69"/>
      <c r="D21" s="53" t="s">
        <v>29</v>
      </c>
      <c r="E21" s="43"/>
      <c r="F21" s="44"/>
      <c r="G21" s="73"/>
      <c r="H21" s="46"/>
      <c r="I21" s="47"/>
      <c r="J21" s="77"/>
      <c r="K21" s="47"/>
      <c r="L21" s="67"/>
      <c r="M21" s="59"/>
      <c r="N21" s="60"/>
      <c r="O21" s="60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</row>
    <row r="22" spans="1:28" ht="18.75" customHeight="1" x14ac:dyDescent="0.2">
      <c r="A22" s="40"/>
      <c r="B22" s="41"/>
      <c r="C22" s="69"/>
      <c r="D22" s="43"/>
      <c r="E22" s="53" t="s">
        <v>30</v>
      </c>
      <c r="F22" s="44"/>
      <c r="G22" s="73"/>
      <c r="H22" s="78">
        <v>1</v>
      </c>
      <c r="I22" s="56" t="s">
        <v>24</v>
      </c>
      <c r="J22" s="79" t="s">
        <v>31</v>
      </c>
      <c r="K22" s="56" t="s">
        <v>25</v>
      </c>
      <c r="L22" s="58">
        <v>25000000</v>
      </c>
      <c r="M22" s="59">
        <f>L22*J22*H22</f>
        <v>25000000</v>
      </c>
      <c r="N22" s="60"/>
      <c r="O22" s="60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</row>
    <row r="23" spans="1:28" ht="18.75" customHeight="1" x14ac:dyDescent="0.2">
      <c r="A23" s="40"/>
      <c r="B23" s="41"/>
      <c r="C23" s="69"/>
      <c r="D23" s="43"/>
      <c r="E23" s="43"/>
      <c r="F23" s="80" t="s">
        <v>32</v>
      </c>
      <c r="G23" s="73"/>
      <c r="H23" s="46"/>
      <c r="I23" s="47"/>
      <c r="J23" s="77"/>
      <c r="K23" s="47"/>
      <c r="L23" s="67"/>
      <c r="M23" s="59"/>
      <c r="N23" s="60"/>
      <c r="O23" s="60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</row>
    <row r="24" spans="1:28" ht="18.75" customHeight="1" x14ac:dyDescent="0.2">
      <c r="A24" s="40"/>
      <c r="B24" s="41"/>
      <c r="C24" s="69"/>
      <c r="D24" s="43"/>
      <c r="E24" s="43"/>
      <c r="F24" s="80" t="s">
        <v>33</v>
      </c>
      <c r="G24" s="73"/>
      <c r="H24" s="46"/>
      <c r="I24" s="47"/>
      <c r="J24" s="77"/>
      <c r="K24" s="47"/>
      <c r="L24" s="67"/>
      <c r="M24" s="59"/>
      <c r="N24" s="60"/>
      <c r="O24" s="60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</row>
    <row r="25" spans="1:28" ht="18.75" customHeight="1" x14ac:dyDescent="0.2">
      <c r="A25" s="40"/>
      <c r="B25" s="41"/>
      <c r="C25" s="69"/>
      <c r="D25" s="43"/>
      <c r="E25" s="43"/>
      <c r="F25" s="80" t="s">
        <v>34</v>
      </c>
      <c r="G25" s="73"/>
      <c r="H25" s="46"/>
      <c r="I25" s="47"/>
      <c r="J25" s="77"/>
      <c r="K25" s="47"/>
      <c r="L25" s="67"/>
      <c r="M25" s="59"/>
      <c r="N25" s="60"/>
      <c r="O25" s="60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</row>
    <row r="26" spans="1:28" ht="18.75" customHeight="1" x14ac:dyDescent="0.2">
      <c r="A26" s="40"/>
      <c r="B26" s="41"/>
      <c r="C26" s="69"/>
      <c r="D26" s="43"/>
      <c r="E26" s="43"/>
      <c r="F26" s="80" t="s">
        <v>35</v>
      </c>
      <c r="G26" s="73"/>
      <c r="H26" s="46"/>
      <c r="I26" s="47"/>
      <c r="J26" s="77"/>
      <c r="K26" s="47"/>
      <c r="L26" s="67"/>
      <c r="M26" s="59"/>
      <c r="N26" s="60"/>
      <c r="O26" s="60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</row>
    <row r="27" spans="1:28" ht="18.75" customHeight="1" x14ac:dyDescent="0.2">
      <c r="A27" s="40"/>
      <c r="B27" s="41"/>
      <c r="C27" s="69"/>
      <c r="D27" s="43"/>
      <c r="E27" s="43"/>
      <c r="F27" s="80" t="s">
        <v>36</v>
      </c>
      <c r="G27" s="73"/>
      <c r="H27" s="46"/>
      <c r="I27" s="47"/>
      <c r="J27" s="77"/>
      <c r="K27" s="47"/>
      <c r="L27" s="67"/>
      <c r="M27" s="59"/>
      <c r="N27" s="60"/>
      <c r="O27" s="60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</row>
    <row r="28" spans="1:28" ht="18.75" customHeight="1" x14ac:dyDescent="0.2">
      <c r="A28" s="40"/>
      <c r="B28" s="41"/>
      <c r="C28" s="81"/>
      <c r="D28" s="82"/>
      <c r="E28" s="83" t="s">
        <v>37</v>
      </c>
      <c r="F28" s="84"/>
      <c r="G28" s="85"/>
      <c r="H28" s="86">
        <v>0</v>
      </c>
      <c r="I28" s="87" t="s">
        <v>24</v>
      </c>
      <c r="J28" s="88" t="s">
        <v>31</v>
      </c>
      <c r="K28" s="87" t="s">
        <v>25</v>
      </c>
      <c r="L28" s="89" t="s">
        <v>38</v>
      </c>
      <c r="M28" s="90" t="s">
        <v>38</v>
      </c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</row>
    <row r="29" spans="1:28" ht="18.75" customHeight="1" x14ac:dyDescent="0.15">
      <c r="A29" s="40"/>
      <c r="B29" s="41"/>
      <c r="C29" s="69"/>
      <c r="D29" s="43"/>
      <c r="E29" s="43"/>
      <c r="F29" s="44"/>
      <c r="G29" s="73"/>
      <c r="H29" s="46"/>
      <c r="I29" s="47"/>
      <c r="J29" s="77"/>
      <c r="K29" s="47"/>
      <c r="L29" s="67"/>
      <c r="M29" s="91"/>
      <c r="N29" s="2"/>
      <c r="O29" s="2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</row>
    <row r="30" spans="1:28" ht="18.75" customHeight="1" x14ac:dyDescent="0.2">
      <c r="A30" s="29"/>
      <c r="B30" s="30" t="s">
        <v>39</v>
      </c>
      <c r="C30" s="92" t="s">
        <v>40</v>
      </c>
      <c r="D30" s="93"/>
      <c r="E30" s="93"/>
      <c r="F30" s="33"/>
      <c r="G30" s="33"/>
      <c r="H30" s="34"/>
      <c r="I30" s="34"/>
      <c r="J30" s="34"/>
      <c r="K30" s="35"/>
      <c r="L30" s="94"/>
      <c r="M30" s="95"/>
      <c r="N30" s="38"/>
      <c r="O30" s="38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</row>
    <row r="31" spans="1:28" ht="18.75" customHeight="1" x14ac:dyDescent="0.2">
      <c r="A31" s="40"/>
      <c r="B31" s="41"/>
      <c r="C31" s="96" t="s">
        <v>41</v>
      </c>
      <c r="D31" s="97"/>
      <c r="E31" s="97"/>
      <c r="F31" s="98"/>
      <c r="G31" s="99"/>
      <c r="H31" s="100"/>
      <c r="I31" s="101"/>
      <c r="J31" s="100"/>
      <c r="K31" s="101"/>
      <c r="L31" s="102"/>
      <c r="M31" s="103"/>
      <c r="N31" s="104"/>
      <c r="O31" s="104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</row>
    <row r="32" spans="1:28" ht="18.75" customHeight="1" x14ac:dyDescent="0.2">
      <c r="A32" s="40"/>
      <c r="B32" s="41"/>
      <c r="C32" s="105"/>
      <c r="D32" s="106" t="s">
        <v>42</v>
      </c>
      <c r="E32" s="97"/>
      <c r="F32" s="98"/>
      <c r="G32" s="99"/>
      <c r="H32" s="107">
        <v>0</v>
      </c>
      <c r="I32" s="108" t="s">
        <v>24</v>
      </c>
      <c r="J32" s="107">
        <v>1</v>
      </c>
      <c r="K32" s="108" t="s">
        <v>25</v>
      </c>
      <c r="L32" s="109" t="s">
        <v>43</v>
      </c>
      <c r="M32" s="110" t="s">
        <v>43</v>
      </c>
      <c r="N32" s="60"/>
      <c r="O32" s="60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</row>
    <row r="33" spans="1:28" ht="18.75" customHeight="1" x14ac:dyDescent="0.2">
      <c r="A33" s="40"/>
      <c r="B33" s="41"/>
      <c r="C33" s="112"/>
      <c r="D33" s="113" t="s">
        <v>44</v>
      </c>
      <c r="E33" s="114"/>
      <c r="F33" s="98"/>
      <c r="G33" s="99"/>
      <c r="H33" s="107">
        <v>0</v>
      </c>
      <c r="I33" s="108" t="s">
        <v>24</v>
      </c>
      <c r="J33" s="107">
        <v>1</v>
      </c>
      <c r="K33" s="108" t="s">
        <v>25</v>
      </c>
      <c r="L33" s="75"/>
      <c r="M33" s="76"/>
      <c r="N33" s="60"/>
      <c r="O33" s="60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</row>
    <row r="34" spans="1:28" ht="18.75" customHeight="1" x14ac:dyDescent="0.2">
      <c r="A34" s="40"/>
      <c r="B34" s="41"/>
      <c r="C34" s="112"/>
      <c r="D34" s="113" t="s">
        <v>45</v>
      </c>
      <c r="E34" s="114"/>
      <c r="F34" s="98"/>
      <c r="G34" s="99"/>
      <c r="H34" s="107">
        <v>0</v>
      </c>
      <c r="I34" s="108" t="s">
        <v>24</v>
      </c>
      <c r="J34" s="107">
        <v>1</v>
      </c>
      <c r="K34" s="108" t="s">
        <v>25</v>
      </c>
      <c r="L34" s="115"/>
      <c r="M34" s="116"/>
      <c r="N34" s="60"/>
      <c r="O34" s="60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</row>
    <row r="35" spans="1:28" ht="18.75" customHeight="1" x14ac:dyDescent="0.2">
      <c r="A35" s="40"/>
      <c r="B35" s="41"/>
      <c r="C35" s="105"/>
      <c r="D35" s="106" t="s">
        <v>46</v>
      </c>
      <c r="E35" s="97"/>
      <c r="F35" s="98"/>
      <c r="G35" s="99"/>
      <c r="H35" s="107">
        <v>0</v>
      </c>
      <c r="I35" s="108" t="s">
        <v>24</v>
      </c>
      <c r="J35" s="107">
        <v>1</v>
      </c>
      <c r="K35" s="108" t="s">
        <v>25</v>
      </c>
      <c r="L35" s="117" t="s">
        <v>43</v>
      </c>
      <c r="M35" s="118" t="s">
        <v>43</v>
      </c>
      <c r="N35" s="60"/>
      <c r="O35" s="60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</row>
    <row r="36" spans="1:28" ht="18.75" customHeight="1" x14ac:dyDescent="0.2">
      <c r="A36" s="40"/>
      <c r="B36" s="41"/>
      <c r="C36" s="112"/>
      <c r="D36" s="113" t="s">
        <v>47</v>
      </c>
      <c r="E36" s="114"/>
      <c r="F36" s="98"/>
      <c r="G36" s="99"/>
      <c r="H36" s="107">
        <v>0</v>
      </c>
      <c r="I36" s="108" t="s">
        <v>48</v>
      </c>
      <c r="J36" s="107">
        <v>1</v>
      </c>
      <c r="K36" s="108" t="s">
        <v>25</v>
      </c>
      <c r="L36" s="117" t="s">
        <v>43</v>
      </c>
      <c r="M36" s="118" t="s">
        <v>43</v>
      </c>
      <c r="N36" s="60"/>
      <c r="O36" s="60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</row>
    <row r="37" spans="1:28" ht="18.75" customHeight="1" x14ac:dyDescent="0.2">
      <c r="A37" s="40"/>
      <c r="B37" s="41"/>
      <c r="C37" s="112"/>
      <c r="D37" s="113" t="s">
        <v>49</v>
      </c>
      <c r="E37" s="114"/>
      <c r="F37" s="98"/>
      <c r="G37" s="99"/>
      <c r="H37" s="107">
        <v>0</v>
      </c>
      <c r="I37" s="108" t="s">
        <v>24</v>
      </c>
      <c r="J37" s="107">
        <v>1</v>
      </c>
      <c r="K37" s="108" t="s">
        <v>25</v>
      </c>
      <c r="L37" s="117" t="s">
        <v>43</v>
      </c>
      <c r="M37" s="118" t="s">
        <v>43</v>
      </c>
      <c r="N37" s="60"/>
      <c r="O37" s="60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</row>
    <row r="38" spans="1:28" ht="18.75" customHeight="1" x14ac:dyDescent="0.2">
      <c r="A38" s="40"/>
      <c r="B38" s="41"/>
      <c r="C38" s="42" t="s">
        <v>50</v>
      </c>
      <c r="D38" s="43"/>
      <c r="E38" s="43"/>
      <c r="F38" s="119"/>
      <c r="G38" s="45"/>
      <c r="H38" s="120"/>
      <c r="I38" s="121"/>
      <c r="J38" s="120"/>
      <c r="K38" s="121"/>
      <c r="L38" s="49"/>
      <c r="M38" s="122"/>
      <c r="N38" s="104"/>
      <c r="O38" s="104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</row>
    <row r="39" spans="1:28" ht="18.75" customHeight="1" x14ac:dyDescent="0.2">
      <c r="A39" s="40"/>
      <c r="B39" s="41"/>
      <c r="C39" s="69"/>
      <c r="D39" s="53" t="s">
        <v>51</v>
      </c>
      <c r="E39" s="43"/>
      <c r="F39" s="119"/>
      <c r="G39" s="123" t="s">
        <v>52</v>
      </c>
      <c r="H39" s="124">
        <v>1</v>
      </c>
      <c r="I39" s="125" t="s">
        <v>53</v>
      </c>
      <c r="J39" s="124">
        <v>1</v>
      </c>
      <c r="K39" s="125" t="s">
        <v>25</v>
      </c>
      <c r="L39" s="58">
        <v>5000000</v>
      </c>
      <c r="M39" s="59">
        <f>L39*J39*H39</f>
        <v>5000000</v>
      </c>
      <c r="N39" s="60"/>
      <c r="O39" s="60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</row>
    <row r="40" spans="1:28" ht="18.75" customHeight="1" x14ac:dyDescent="0.15">
      <c r="A40" s="40"/>
      <c r="B40" s="41"/>
      <c r="C40" s="69"/>
      <c r="D40" s="43"/>
      <c r="E40" s="43"/>
      <c r="F40" s="119"/>
      <c r="G40" s="45"/>
      <c r="H40" s="120"/>
      <c r="I40" s="121"/>
      <c r="J40" s="120"/>
      <c r="K40" s="121"/>
      <c r="L40" s="49"/>
      <c r="M40" s="122"/>
      <c r="N40" s="104"/>
      <c r="O40" s="104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</row>
    <row r="41" spans="1:28" ht="18.75" customHeight="1" x14ac:dyDescent="0.2">
      <c r="A41" s="29"/>
      <c r="B41" s="30" t="s">
        <v>54</v>
      </c>
      <c r="C41" s="92" t="s">
        <v>55</v>
      </c>
      <c r="D41" s="93"/>
      <c r="E41" s="93"/>
      <c r="F41" s="33"/>
      <c r="G41" s="33"/>
      <c r="H41" s="126"/>
      <c r="I41" s="34"/>
      <c r="J41" s="34"/>
      <c r="K41" s="35"/>
      <c r="L41" s="94"/>
      <c r="M41" s="95"/>
      <c r="N41" s="38"/>
      <c r="O41" s="38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</row>
    <row r="42" spans="1:28" ht="18.75" customHeight="1" x14ac:dyDescent="0.2">
      <c r="A42" s="40"/>
      <c r="B42" s="41"/>
      <c r="C42" s="127" t="s">
        <v>56</v>
      </c>
      <c r="D42" s="63"/>
      <c r="E42" s="63"/>
      <c r="F42" s="119"/>
      <c r="G42" s="119"/>
      <c r="H42" s="69"/>
      <c r="I42" s="128"/>
      <c r="J42" s="121"/>
      <c r="K42" s="121"/>
      <c r="L42" s="129"/>
      <c r="M42" s="130"/>
      <c r="N42" s="104"/>
      <c r="O42" s="104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</row>
    <row r="43" spans="1:28" ht="18.75" customHeight="1" x14ac:dyDescent="0.2">
      <c r="A43" s="40"/>
      <c r="B43" s="41"/>
      <c r="C43" s="131"/>
      <c r="D43" s="62" t="s">
        <v>57</v>
      </c>
      <c r="E43" s="63"/>
      <c r="F43" s="119"/>
      <c r="G43" s="132" t="s">
        <v>58</v>
      </c>
      <c r="H43" s="133">
        <v>2</v>
      </c>
      <c r="I43" s="55" t="s">
        <v>53</v>
      </c>
      <c r="J43" s="74">
        <v>1</v>
      </c>
      <c r="K43" s="74" t="s">
        <v>25</v>
      </c>
      <c r="L43" s="58">
        <v>350000</v>
      </c>
      <c r="M43" s="59">
        <f t="shared" ref="M43:M44" si="0">L43*J43*H43</f>
        <v>700000</v>
      </c>
      <c r="N43" s="60"/>
      <c r="O43" s="60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</row>
    <row r="44" spans="1:28" ht="18.75" customHeight="1" x14ac:dyDescent="0.2">
      <c r="A44" s="40"/>
      <c r="B44" s="41"/>
      <c r="C44" s="131"/>
      <c r="D44" s="62" t="s">
        <v>59</v>
      </c>
      <c r="E44" s="63"/>
      <c r="F44" s="119"/>
      <c r="G44" s="132" t="s">
        <v>60</v>
      </c>
      <c r="H44" s="133">
        <v>10</v>
      </c>
      <c r="I44" s="55" t="s">
        <v>53</v>
      </c>
      <c r="J44" s="74">
        <v>1</v>
      </c>
      <c r="K44" s="74" t="s">
        <v>25</v>
      </c>
      <c r="L44" s="58">
        <v>375000</v>
      </c>
      <c r="M44" s="134">
        <f t="shared" si="0"/>
        <v>3750000</v>
      </c>
      <c r="N44" s="60"/>
      <c r="O44" s="60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</row>
    <row r="45" spans="1:28" ht="18.75" customHeight="1" x14ac:dyDescent="0.15">
      <c r="A45" s="40"/>
      <c r="B45" s="41"/>
      <c r="C45" s="131"/>
      <c r="D45" s="63"/>
      <c r="E45" s="63"/>
      <c r="F45" s="119"/>
      <c r="G45" s="119"/>
      <c r="H45" s="69"/>
      <c r="I45" s="128"/>
      <c r="J45" s="121"/>
      <c r="K45" s="121"/>
      <c r="L45" s="49"/>
      <c r="M45" s="130"/>
      <c r="N45" s="104"/>
      <c r="O45" s="104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</row>
    <row r="46" spans="1:28" ht="18.75" customHeight="1" x14ac:dyDescent="0.2">
      <c r="A46" s="40"/>
      <c r="B46" s="41"/>
      <c r="C46" s="127" t="s">
        <v>61</v>
      </c>
      <c r="D46" s="63"/>
      <c r="E46" s="63"/>
      <c r="F46" s="119"/>
      <c r="G46" s="119"/>
      <c r="H46" s="69"/>
      <c r="I46" s="128"/>
      <c r="J46" s="121"/>
      <c r="K46" s="121"/>
      <c r="L46" s="129"/>
      <c r="M46" s="130"/>
      <c r="N46" s="104"/>
      <c r="O46" s="104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</row>
    <row r="47" spans="1:28" ht="18.75" customHeight="1" x14ac:dyDescent="0.2">
      <c r="A47" s="40"/>
      <c r="B47" s="41"/>
      <c r="C47" s="131"/>
      <c r="D47" s="62" t="s">
        <v>62</v>
      </c>
      <c r="E47" s="63"/>
      <c r="F47" s="119"/>
      <c r="G47" s="132" t="s">
        <v>63</v>
      </c>
      <c r="H47" s="133">
        <v>1</v>
      </c>
      <c r="I47" s="55" t="s">
        <v>64</v>
      </c>
      <c r="J47" s="74">
        <v>1</v>
      </c>
      <c r="K47" s="74" t="s">
        <v>25</v>
      </c>
      <c r="L47" s="58">
        <v>5000000</v>
      </c>
      <c r="M47" s="59">
        <f>L47*J47*H47</f>
        <v>5000000</v>
      </c>
      <c r="N47" s="60"/>
      <c r="O47" s="60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</row>
    <row r="48" spans="1:28" ht="18.75" customHeight="1" x14ac:dyDescent="0.2">
      <c r="A48" s="40"/>
      <c r="B48" s="41"/>
      <c r="C48" s="105"/>
      <c r="D48" s="106" t="s">
        <v>65</v>
      </c>
      <c r="E48" s="97"/>
      <c r="F48" s="98"/>
      <c r="G48" s="98"/>
      <c r="H48" s="112"/>
      <c r="I48" s="135" t="s">
        <v>53</v>
      </c>
      <c r="J48" s="136">
        <v>1</v>
      </c>
      <c r="K48" s="136" t="s">
        <v>25</v>
      </c>
      <c r="L48" s="137" t="s">
        <v>66</v>
      </c>
      <c r="M48" s="138" t="s">
        <v>66</v>
      </c>
      <c r="N48" s="60"/>
      <c r="O48" s="60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</row>
    <row r="49" spans="1:28" ht="18.75" customHeight="1" x14ac:dyDescent="0.2">
      <c r="A49" s="40"/>
      <c r="B49" s="41"/>
      <c r="C49" s="105"/>
      <c r="D49" s="106" t="s">
        <v>67</v>
      </c>
      <c r="E49" s="97"/>
      <c r="F49" s="98"/>
      <c r="G49" s="98"/>
      <c r="H49" s="139">
        <v>1</v>
      </c>
      <c r="I49" s="135" t="s">
        <v>53</v>
      </c>
      <c r="J49" s="136">
        <v>1</v>
      </c>
      <c r="K49" s="136" t="s">
        <v>25</v>
      </c>
      <c r="L49" s="137" t="s">
        <v>66</v>
      </c>
      <c r="M49" s="138" t="s">
        <v>66</v>
      </c>
      <c r="N49" s="60"/>
      <c r="O49" s="60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</row>
    <row r="50" spans="1:28" ht="18.75" customHeight="1" x14ac:dyDescent="0.2">
      <c r="A50" s="40"/>
      <c r="B50" s="41"/>
      <c r="C50" s="105"/>
      <c r="D50" s="106" t="s">
        <v>68</v>
      </c>
      <c r="E50" s="97"/>
      <c r="F50" s="98"/>
      <c r="G50" s="140"/>
      <c r="H50" s="139">
        <v>2</v>
      </c>
      <c r="I50" s="135" t="s">
        <v>53</v>
      </c>
      <c r="J50" s="136">
        <v>1</v>
      </c>
      <c r="K50" s="136" t="s">
        <v>25</v>
      </c>
      <c r="L50" s="137" t="s">
        <v>66</v>
      </c>
      <c r="M50" s="138" t="s">
        <v>66</v>
      </c>
      <c r="N50" s="141"/>
      <c r="O50" s="14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</row>
    <row r="51" spans="1:28" ht="18.75" customHeight="1" x14ac:dyDescent="0.2">
      <c r="A51" s="40"/>
      <c r="B51" s="41"/>
      <c r="C51" s="105"/>
      <c r="D51" s="106" t="s">
        <v>69</v>
      </c>
      <c r="E51" s="97"/>
      <c r="F51" s="98"/>
      <c r="G51" s="140"/>
      <c r="H51" s="139">
        <v>4</v>
      </c>
      <c r="I51" s="135" t="s">
        <v>53</v>
      </c>
      <c r="J51" s="136">
        <v>1</v>
      </c>
      <c r="K51" s="139" t="s">
        <v>25</v>
      </c>
      <c r="L51" s="117" t="s">
        <v>66</v>
      </c>
      <c r="M51" s="142" t="s">
        <v>66</v>
      </c>
      <c r="N51" s="141"/>
      <c r="O51" s="14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</row>
    <row r="52" spans="1:28" ht="18.75" customHeight="1" x14ac:dyDescent="0.15">
      <c r="A52" s="40"/>
      <c r="B52" s="41"/>
      <c r="C52" s="131"/>
      <c r="D52" s="63"/>
      <c r="E52" s="63"/>
      <c r="F52" s="119"/>
      <c r="G52" s="119"/>
      <c r="H52" s="69"/>
      <c r="I52" s="128"/>
      <c r="J52" s="121"/>
      <c r="K52" s="121"/>
      <c r="L52" s="129"/>
      <c r="M52" s="59"/>
      <c r="N52" s="60"/>
      <c r="O52" s="60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</row>
    <row r="53" spans="1:28" ht="18.75" customHeight="1" x14ac:dyDescent="0.2">
      <c r="A53" s="40"/>
      <c r="B53" s="41"/>
      <c r="C53" s="127" t="s">
        <v>70</v>
      </c>
      <c r="D53" s="63"/>
      <c r="E53" s="63"/>
      <c r="F53" s="119"/>
      <c r="G53" s="119"/>
      <c r="H53" s="69"/>
      <c r="I53" s="128"/>
      <c r="J53" s="121"/>
      <c r="K53" s="121"/>
      <c r="L53" s="129"/>
      <c r="M53" s="59"/>
      <c r="N53" s="60"/>
      <c r="O53" s="60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</row>
    <row r="54" spans="1:28" ht="18.75" customHeight="1" x14ac:dyDescent="0.2">
      <c r="A54" s="40"/>
      <c r="B54" s="41"/>
      <c r="C54" s="131"/>
      <c r="D54" s="62" t="s">
        <v>71</v>
      </c>
      <c r="E54" s="63"/>
      <c r="F54" s="119"/>
      <c r="G54" s="119"/>
      <c r="H54" s="133">
        <v>2</v>
      </c>
      <c r="I54" s="55" t="s">
        <v>53</v>
      </c>
      <c r="J54" s="74">
        <v>1</v>
      </c>
      <c r="K54" s="74" t="s">
        <v>25</v>
      </c>
      <c r="L54" s="143">
        <v>275000</v>
      </c>
      <c r="M54" s="59">
        <f>L54*J54*H54</f>
        <v>550000</v>
      </c>
      <c r="N54" s="60"/>
      <c r="O54" s="60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</row>
    <row r="55" spans="1:28" ht="18.75" customHeight="1" x14ac:dyDescent="0.2">
      <c r="A55" s="40"/>
      <c r="B55" s="41"/>
      <c r="C55" s="105"/>
      <c r="D55" s="106" t="s">
        <v>68</v>
      </c>
      <c r="E55" s="97"/>
      <c r="F55" s="98"/>
      <c r="G55" s="140" t="s">
        <v>72</v>
      </c>
      <c r="H55" s="139">
        <v>8</v>
      </c>
      <c r="I55" s="135" t="s">
        <v>53</v>
      </c>
      <c r="J55" s="136">
        <v>1</v>
      </c>
      <c r="K55" s="136" t="s">
        <v>25</v>
      </c>
      <c r="L55" s="137" t="s">
        <v>66</v>
      </c>
      <c r="M55" s="138" t="s">
        <v>66</v>
      </c>
      <c r="N55" s="141"/>
      <c r="O55" s="14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</row>
    <row r="56" spans="1:28" ht="18.75" customHeight="1" x14ac:dyDescent="0.2">
      <c r="A56" s="40"/>
      <c r="B56" s="41"/>
      <c r="C56" s="105"/>
      <c r="D56" s="106" t="s">
        <v>73</v>
      </c>
      <c r="E56" s="97"/>
      <c r="F56" s="98"/>
      <c r="G56" s="140" t="s">
        <v>72</v>
      </c>
      <c r="H56" s="139">
        <v>20</v>
      </c>
      <c r="I56" s="135" t="s">
        <v>53</v>
      </c>
      <c r="J56" s="136">
        <v>1</v>
      </c>
      <c r="K56" s="136" t="s">
        <v>25</v>
      </c>
      <c r="L56" s="117" t="s">
        <v>66</v>
      </c>
      <c r="M56" s="142" t="s">
        <v>66</v>
      </c>
      <c r="N56" s="141"/>
      <c r="O56" s="14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</row>
    <row r="57" spans="1:28" ht="18.75" customHeight="1" x14ac:dyDescent="0.15">
      <c r="A57" s="40"/>
      <c r="B57" s="41"/>
      <c r="C57" s="131"/>
      <c r="D57" s="63"/>
      <c r="E57" s="63"/>
      <c r="F57" s="119"/>
      <c r="G57" s="119"/>
      <c r="H57" s="69"/>
      <c r="I57" s="128"/>
      <c r="J57" s="121"/>
      <c r="K57" s="121"/>
      <c r="L57" s="129"/>
      <c r="M57" s="59"/>
      <c r="N57" s="60"/>
      <c r="O57" s="60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</row>
    <row r="58" spans="1:28" ht="18.75" customHeight="1" x14ac:dyDescent="0.2">
      <c r="A58" s="40"/>
      <c r="B58" s="41"/>
      <c r="C58" s="127" t="s">
        <v>74</v>
      </c>
      <c r="D58" s="63"/>
      <c r="E58" s="63"/>
      <c r="F58" s="119"/>
      <c r="G58" s="119"/>
      <c r="H58" s="69"/>
      <c r="I58" s="128"/>
      <c r="J58" s="121"/>
      <c r="K58" s="121"/>
      <c r="L58" s="129"/>
      <c r="M58" s="59"/>
      <c r="N58" s="60"/>
      <c r="O58" s="60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</row>
    <row r="59" spans="1:28" ht="18.75" customHeight="1" x14ac:dyDescent="0.2">
      <c r="A59" s="40"/>
      <c r="B59" s="41"/>
      <c r="C59" s="105"/>
      <c r="D59" s="106" t="s">
        <v>68</v>
      </c>
      <c r="E59" s="97"/>
      <c r="F59" s="98"/>
      <c r="G59" s="140" t="s">
        <v>72</v>
      </c>
      <c r="H59" s="139">
        <v>8</v>
      </c>
      <c r="I59" s="135" t="s">
        <v>53</v>
      </c>
      <c r="J59" s="136">
        <v>1</v>
      </c>
      <c r="K59" s="136" t="s">
        <v>25</v>
      </c>
      <c r="L59" s="137" t="s">
        <v>66</v>
      </c>
      <c r="M59" s="138" t="s">
        <v>66</v>
      </c>
      <c r="N59" s="141"/>
      <c r="O59" s="14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</row>
    <row r="60" spans="1:28" ht="18.75" customHeight="1" x14ac:dyDescent="0.2">
      <c r="A60" s="40"/>
      <c r="B60" s="41"/>
      <c r="C60" s="105"/>
      <c r="D60" s="106" t="s">
        <v>73</v>
      </c>
      <c r="E60" s="97"/>
      <c r="F60" s="98"/>
      <c r="G60" s="140" t="s">
        <v>72</v>
      </c>
      <c r="H60" s="139">
        <v>20</v>
      </c>
      <c r="I60" s="135" t="s">
        <v>53</v>
      </c>
      <c r="J60" s="136">
        <v>1</v>
      </c>
      <c r="K60" s="136" t="s">
        <v>25</v>
      </c>
      <c r="L60" s="117" t="s">
        <v>66</v>
      </c>
      <c r="M60" s="142" t="s">
        <v>66</v>
      </c>
      <c r="N60" s="141"/>
      <c r="O60" s="14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</row>
    <row r="61" spans="1:28" ht="18.75" customHeight="1" x14ac:dyDescent="0.15">
      <c r="A61" s="40"/>
      <c r="B61" s="41"/>
      <c r="C61" s="131"/>
      <c r="D61" s="63"/>
      <c r="E61" s="63"/>
      <c r="F61" s="119"/>
      <c r="G61" s="119"/>
      <c r="H61" s="69"/>
      <c r="I61" s="128"/>
      <c r="J61" s="121"/>
      <c r="K61" s="121"/>
      <c r="L61" s="129"/>
      <c r="M61" s="59"/>
      <c r="N61" s="60"/>
      <c r="O61" s="60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</row>
    <row r="62" spans="1:28" ht="18.75" customHeight="1" x14ac:dyDescent="0.2">
      <c r="A62" s="40"/>
      <c r="B62" s="41"/>
      <c r="C62" s="127" t="s">
        <v>75</v>
      </c>
      <c r="D62" s="63"/>
      <c r="E62" s="63"/>
      <c r="F62" s="119"/>
      <c r="G62" s="119"/>
      <c r="H62" s="69"/>
      <c r="I62" s="128"/>
      <c r="J62" s="121"/>
      <c r="K62" s="121"/>
      <c r="L62" s="129"/>
      <c r="M62" s="59"/>
      <c r="N62" s="60"/>
      <c r="O62" s="60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</row>
    <row r="63" spans="1:28" ht="18.75" customHeight="1" x14ac:dyDescent="0.2">
      <c r="A63" s="40"/>
      <c r="B63" s="41"/>
      <c r="C63" s="105"/>
      <c r="D63" s="106" t="s">
        <v>68</v>
      </c>
      <c r="E63" s="97"/>
      <c r="F63" s="98"/>
      <c r="G63" s="140" t="s">
        <v>72</v>
      </c>
      <c r="H63" s="139">
        <v>8</v>
      </c>
      <c r="I63" s="135" t="s">
        <v>53</v>
      </c>
      <c r="J63" s="136">
        <v>1</v>
      </c>
      <c r="K63" s="136" t="s">
        <v>25</v>
      </c>
      <c r="L63" s="137" t="s">
        <v>66</v>
      </c>
      <c r="M63" s="138" t="s">
        <v>66</v>
      </c>
      <c r="N63" s="141"/>
      <c r="O63" s="14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</row>
    <row r="64" spans="1:28" ht="18.75" customHeight="1" x14ac:dyDescent="0.2">
      <c r="A64" s="40"/>
      <c r="B64" s="41"/>
      <c r="C64" s="105"/>
      <c r="D64" s="106" t="s">
        <v>73</v>
      </c>
      <c r="E64" s="97"/>
      <c r="F64" s="98"/>
      <c r="G64" s="140" t="s">
        <v>72</v>
      </c>
      <c r="H64" s="139">
        <v>20</v>
      </c>
      <c r="I64" s="135" t="s">
        <v>53</v>
      </c>
      <c r="J64" s="136">
        <v>1</v>
      </c>
      <c r="K64" s="136" t="s">
        <v>25</v>
      </c>
      <c r="L64" s="117" t="s">
        <v>66</v>
      </c>
      <c r="M64" s="142" t="s">
        <v>66</v>
      </c>
      <c r="N64" s="141"/>
      <c r="O64" s="14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</row>
    <row r="65" spans="1:28" ht="18.75" customHeight="1" x14ac:dyDescent="0.15">
      <c r="A65" s="40"/>
      <c r="B65" s="41"/>
      <c r="C65" s="131"/>
      <c r="D65" s="63"/>
      <c r="E65" s="63"/>
      <c r="F65" s="119"/>
      <c r="G65" s="119"/>
      <c r="H65" s="69"/>
      <c r="I65" s="128"/>
      <c r="J65" s="121"/>
      <c r="K65" s="121"/>
      <c r="L65" s="129"/>
      <c r="M65" s="59"/>
      <c r="N65" s="60"/>
      <c r="O65" s="60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</row>
    <row r="66" spans="1:28" ht="18.75" customHeight="1" x14ac:dyDescent="0.2">
      <c r="A66" s="40"/>
      <c r="B66" s="41"/>
      <c r="C66" s="127" t="s">
        <v>76</v>
      </c>
      <c r="D66" s="63"/>
      <c r="E66" s="63"/>
      <c r="F66" s="119"/>
      <c r="G66" s="119"/>
      <c r="H66" s="69"/>
      <c r="I66" s="128"/>
      <c r="J66" s="121"/>
      <c r="K66" s="121"/>
      <c r="L66" s="129"/>
      <c r="M66" s="59"/>
      <c r="N66" s="60"/>
      <c r="O66" s="60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</row>
    <row r="67" spans="1:28" ht="18.75" customHeight="1" x14ac:dyDescent="0.2">
      <c r="A67" s="40"/>
      <c r="B67" s="41"/>
      <c r="C67" s="105"/>
      <c r="D67" s="106" t="s">
        <v>68</v>
      </c>
      <c r="E67" s="97"/>
      <c r="F67" s="98"/>
      <c r="G67" s="140" t="s">
        <v>72</v>
      </c>
      <c r="H67" s="139">
        <v>8</v>
      </c>
      <c r="I67" s="135" t="s">
        <v>53</v>
      </c>
      <c r="J67" s="136">
        <v>1</v>
      </c>
      <c r="K67" s="136" t="s">
        <v>25</v>
      </c>
      <c r="L67" s="137" t="s">
        <v>66</v>
      </c>
      <c r="M67" s="138" t="s">
        <v>66</v>
      </c>
      <c r="N67" s="141"/>
      <c r="O67" s="14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</row>
    <row r="68" spans="1:28" ht="18.75" customHeight="1" x14ac:dyDescent="0.2">
      <c r="A68" s="40"/>
      <c r="B68" s="41"/>
      <c r="C68" s="105"/>
      <c r="D68" s="106" t="s">
        <v>73</v>
      </c>
      <c r="E68" s="97"/>
      <c r="F68" s="98"/>
      <c r="G68" s="140" t="s">
        <v>72</v>
      </c>
      <c r="H68" s="139">
        <v>20</v>
      </c>
      <c r="I68" s="135" t="s">
        <v>53</v>
      </c>
      <c r="J68" s="136">
        <v>1</v>
      </c>
      <c r="K68" s="136" t="s">
        <v>25</v>
      </c>
      <c r="L68" s="117" t="s">
        <v>66</v>
      </c>
      <c r="M68" s="142" t="s">
        <v>66</v>
      </c>
      <c r="N68" s="141"/>
      <c r="O68" s="14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</row>
    <row r="69" spans="1:28" ht="18.75" customHeight="1" x14ac:dyDescent="0.15">
      <c r="A69" s="40"/>
      <c r="B69" s="41"/>
      <c r="C69" s="131"/>
      <c r="D69" s="63"/>
      <c r="E69" s="63"/>
      <c r="F69" s="119"/>
      <c r="G69" s="119"/>
      <c r="H69" s="69"/>
      <c r="I69" s="128"/>
      <c r="J69" s="121"/>
      <c r="K69" s="121"/>
      <c r="L69" s="129"/>
      <c r="M69" s="59"/>
      <c r="N69" s="60"/>
      <c r="O69" s="60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</row>
    <row r="70" spans="1:28" ht="18.75" customHeight="1" x14ac:dyDescent="0.2">
      <c r="A70" s="40"/>
      <c r="B70" s="41"/>
      <c r="C70" s="127" t="s">
        <v>77</v>
      </c>
      <c r="D70" s="63"/>
      <c r="E70" s="63"/>
      <c r="F70" s="119"/>
      <c r="G70" s="119"/>
      <c r="H70" s="69"/>
      <c r="I70" s="128"/>
      <c r="J70" s="121"/>
      <c r="K70" s="121"/>
      <c r="L70" s="129"/>
      <c r="M70" s="59"/>
      <c r="N70" s="60"/>
      <c r="O70" s="60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</row>
    <row r="71" spans="1:28" ht="18.75" customHeight="1" x14ac:dyDescent="0.2">
      <c r="A71" s="40"/>
      <c r="B71" s="41"/>
      <c r="C71" s="69"/>
      <c r="D71" s="53" t="s">
        <v>78</v>
      </c>
      <c r="E71" s="43"/>
      <c r="F71" s="119"/>
      <c r="G71" s="132" t="s">
        <v>63</v>
      </c>
      <c r="H71" s="133">
        <v>1</v>
      </c>
      <c r="I71" s="55" t="s">
        <v>64</v>
      </c>
      <c r="J71" s="74">
        <v>1</v>
      </c>
      <c r="K71" s="74" t="s">
        <v>25</v>
      </c>
      <c r="L71" s="143">
        <v>5000000</v>
      </c>
      <c r="M71" s="59">
        <f>L71*J71*H71</f>
        <v>5000000</v>
      </c>
      <c r="N71" s="60"/>
      <c r="O71" s="60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</row>
    <row r="72" spans="1:28" ht="18.75" customHeight="1" x14ac:dyDescent="0.2">
      <c r="A72" s="40"/>
      <c r="B72" s="41"/>
      <c r="C72" s="112"/>
      <c r="D72" s="113" t="s">
        <v>67</v>
      </c>
      <c r="E72" s="114"/>
      <c r="F72" s="98"/>
      <c r="G72" s="99"/>
      <c r="H72" s="112"/>
      <c r="I72" s="135" t="s">
        <v>53</v>
      </c>
      <c r="J72" s="136">
        <v>1</v>
      </c>
      <c r="K72" s="136" t="s">
        <v>25</v>
      </c>
      <c r="L72" s="137" t="s">
        <v>66</v>
      </c>
      <c r="M72" s="138" t="s">
        <v>66</v>
      </c>
      <c r="N72" s="60"/>
      <c r="O72" s="60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</row>
    <row r="73" spans="1:28" ht="18.75" customHeight="1" x14ac:dyDescent="0.2">
      <c r="A73" s="40"/>
      <c r="B73" s="41"/>
      <c r="C73" s="112"/>
      <c r="D73" s="113" t="s">
        <v>65</v>
      </c>
      <c r="E73" s="114"/>
      <c r="F73" s="98"/>
      <c r="G73" s="99"/>
      <c r="H73" s="112"/>
      <c r="I73" s="135" t="s">
        <v>53</v>
      </c>
      <c r="J73" s="136">
        <v>1</v>
      </c>
      <c r="K73" s="136" t="s">
        <v>25</v>
      </c>
      <c r="L73" s="137" t="s">
        <v>66</v>
      </c>
      <c r="M73" s="138" t="s">
        <v>66</v>
      </c>
      <c r="N73" s="60"/>
      <c r="O73" s="60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</row>
    <row r="74" spans="1:28" ht="18.75" customHeight="1" x14ac:dyDescent="0.15">
      <c r="A74" s="40"/>
      <c r="B74" s="41"/>
      <c r="C74" s="69"/>
      <c r="D74" s="43"/>
      <c r="E74" s="43"/>
      <c r="F74" s="119"/>
      <c r="G74" s="45"/>
      <c r="H74" s="69"/>
      <c r="I74" s="128"/>
      <c r="J74" s="121"/>
      <c r="K74" s="121"/>
      <c r="L74" s="49"/>
      <c r="M74" s="59"/>
      <c r="N74" s="60"/>
      <c r="O74" s="60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</row>
    <row r="75" spans="1:28" ht="18.75" customHeight="1" x14ac:dyDescent="0.2">
      <c r="A75" s="40"/>
      <c r="B75" s="41"/>
      <c r="C75" s="42" t="s">
        <v>79</v>
      </c>
      <c r="D75" s="43"/>
      <c r="E75" s="43"/>
      <c r="F75" s="119"/>
      <c r="G75" s="45"/>
      <c r="H75" s="69"/>
      <c r="I75" s="128"/>
      <c r="J75" s="121"/>
      <c r="K75" s="121"/>
      <c r="L75" s="49"/>
      <c r="M75" s="59">
        <f t="shared" ref="M75:M80" si="1">L75*J75*H75</f>
        <v>0</v>
      </c>
      <c r="N75" s="60"/>
      <c r="O75" s="60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</row>
    <row r="76" spans="1:28" ht="18.75" customHeight="1" x14ac:dyDescent="0.2">
      <c r="A76" s="40"/>
      <c r="B76" s="41"/>
      <c r="C76" s="69"/>
      <c r="D76" s="53" t="s">
        <v>80</v>
      </c>
      <c r="E76" s="43"/>
      <c r="F76" s="44"/>
      <c r="G76" s="45"/>
      <c r="H76" s="144"/>
      <c r="I76" s="145"/>
      <c r="J76" s="144"/>
      <c r="K76" s="145"/>
      <c r="L76" s="49"/>
      <c r="M76" s="59">
        <f t="shared" si="1"/>
        <v>0</v>
      </c>
      <c r="N76" s="60"/>
      <c r="O76" s="60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</row>
    <row r="77" spans="1:28" ht="18.75" customHeight="1" x14ac:dyDescent="0.2">
      <c r="A77" s="40"/>
      <c r="B77" s="41"/>
      <c r="C77" s="69"/>
      <c r="D77" s="43"/>
      <c r="E77" s="53" t="s">
        <v>81</v>
      </c>
      <c r="F77" s="44"/>
      <c r="G77" s="123" t="s">
        <v>82</v>
      </c>
      <c r="H77" s="146">
        <v>1</v>
      </c>
      <c r="I77" s="147" t="s">
        <v>64</v>
      </c>
      <c r="J77" s="146">
        <v>1</v>
      </c>
      <c r="K77" s="147" t="s">
        <v>25</v>
      </c>
      <c r="L77" s="143">
        <v>9000000</v>
      </c>
      <c r="M77" s="59">
        <f t="shared" si="1"/>
        <v>9000000</v>
      </c>
      <c r="N77" s="60"/>
      <c r="O77" s="60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</row>
    <row r="78" spans="1:28" ht="18.75" customHeight="1" x14ac:dyDescent="0.2">
      <c r="A78" s="40"/>
      <c r="B78" s="41"/>
      <c r="C78" s="69"/>
      <c r="D78" s="43"/>
      <c r="E78" s="53" t="s">
        <v>83</v>
      </c>
      <c r="F78" s="44"/>
      <c r="G78" s="123" t="s">
        <v>84</v>
      </c>
      <c r="H78" s="57">
        <v>1</v>
      </c>
      <c r="I78" s="147" t="s">
        <v>64</v>
      </c>
      <c r="J78" s="146">
        <v>1</v>
      </c>
      <c r="K78" s="147" t="s">
        <v>25</v>
      </c>
      <c r="L78" s="143">
        <v>15000000</v>
      </c>
      <c r="M78" s="59">
        <f t="shared" si="1"/>
        <v>15000000</v>
      </c>
      <c r="N78" s="60"/>
      <c r="O78" s="60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</row>
    <row r="79" spans="1:28" ht="18.75" customHeight="1" x14ac:dyDescent="0.2">
      <c r="A79" s="40"/>
      <c r="B79" s="41"/>
      <c r="C79" s="69"/>
      <c r="D79" s="43"/>
      <c r="E79" s="53" t="s">
        <v>85</v>
      </c>
      <c r="F79" s="44"/>
      <c r="G79" s="123" t="s">
        <v>86</v>
      </c>
      <c r="H79" s="57">
        <v>1</v>
      </c>
      <c r="I79" s="147" t="s">
        <v>64</v>
      </c>
      <c r="J79" s="146">
        <v>1</v>
      </c>
      <c r="K79" s="147" t="s">
        <v>25</v>
      </c>
      <c r="L79" s="143">
        <v>7500000</v>
      </c>
      <c r="M79" s="59">
        <f t="shared" si="1"/>
        <v>7500000</v>
      </c>
      <c r="N79" s="60"/>
      <c r="O79" s="60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</row>
    <row r="80" spans="1:28" ht="18.75" customHeight="1" x14ac:dyDescent="0.2">
      <c r="A80" s="40"/>
      <c r="B80" s="41"/>
      <c r="C80" s="69"/>
      <c r="D80" s="43"/>
      <c r="E80" s="53" t="s">
        <v>87</v>
      </c>
      <c r="F80" s="44"/>
      <c r="G80" s="123" t="s">
        <v>88</v>
      </c>
      <c r="H80" s="57">
        <v>2</v>
      </c>
      <c r="I80" s="147" t="s">
        <v>64</v>
      </c>
      <c r="J80" s="146">
        <v>1</v>
      </c>
      <c r="K80" s="147" t="s">
        <v>25</v>
      </c>
      <c r="L80" s="143">
        <v>2000000</v>
      </c>
      <c r="M80" s="59">
        <f t="shared" si="1"/>
        <v>4000000</v>
      </c>
      <c r="N80" s="60"/>
      <c r="O80" s="60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</row>
    <row r="81" spans="1:28" ht="18.75" customHeight="1" x14ac:dyDescent="0.2">
      <c r="A81" s="40"/>
      <c r="B81" s="41"/>
      <c r="C81" s="69"/>
      <c r="D81" s="53" t="s">
        <v>89</v>
      </c>
      <c r="E81" s="43"/>
      <c r="F81" s="44"/>
      <c r="G81" s="45"/>
      <c r="H81" s="66"/>
      <c r="I81" s="145"/>
      <c r="J81" s="144"/>
      <c r="K81" s="145"/>
      <c r="L81" s="49"/>
      <c r="M81" s="59"/>
      <c r="N81" s="60"/>
      <c r="O81" s="60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</row>
    <row r="82" spans="1:28" ht="18.75" customHeight="1" x14ac:dyDescent="0.2">
      <c r="A82" s="40"/>
      <c r="B82" s="41"/>
      <c r="C82" s="69"/>
      <c r="D82" s="43"/>
      <c r="E82" s="53" t="s">
        <v>90</v>
      </c>
      <c r="F82" s="44"/>
      <c r="G82" s="123" t="s">
        <v>91</v>
      </c>
      <c r="H82" s="57">
        <v>1</v>
      </c>
      <c r="I82" s="147" t="s">
        <v>64</v>
      </c>
      <c r="J82" s="146">
        <v>1</v>
      </c>
      <c r="K82" s="147" t="s">
        <v>25</v>
      </c>
      <c r="L82" s="143">
        <v>8000000</v>
      </c>
      <c r="M82" s="59">
        <f t="shared" ref="M82:M88" si="2">L82*J82*H82</f>
        <v>8000000</v>
      </c>
      <c r="N82" s="60"/>
      <c r="O82" s="60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</row>
    <row r="83" spans="1:28" ht="18.75" customHeight="1" x14ac:dyDescent="0.2">
      <c r="A83" s="40"/>
      <c r="B83" s="41"/>
      <c r="C83" s="69"/>
      <c r="D83" s="43"/>
      <c r="E83" s="53" t="s">
        <v>92</v>
      </c>
      <c r="F83" s="44"/>
      <c r="G83" s="123" t="s">
        <v>93</v>
      </c>
      <c r="H83" s="57">
        <v>1</v>
      </c>
      <c r="I83" s="147" t="s">
        <v>64</v>
      </c>
      <c r="J83" s="146">
        <v>1</v>
      </c>
      <c r="K83" s="147" t="s">
        <v>25</v>
      </c>
      <c r="L83" s="143">
        <v>8000000</v>
      </c>
      <c r="M83" s="59">
        <f t="shared" si="2"/>
        <v>8000000</v>
      </c>
      <c r="N83" s="60"/>
      <c r="O83" s="60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</row>
    <row r="84" spans="1:28" ht="18.75" customHeight="1" x14ac:dyDescent="0.2">
      <c r="A84" s="40"/>
      <c r="B84" s="41"/>
      <c r="C84" s="69"/>
      <c r="D84" s="53" t="s">
        <v>94</v>
      </c>
      <c r="E84" s="43"/>
      <c r="F84" s="44"/>
      <c r="G84" s="123" t="s">
        <v>95</v>
      </c>
      <c r="H84" s="57">
        <v>1</v>
      </c>
      <c r="I84" s="147" t="s">
        <v>64</v>
      </c>
      <c r="J84" s="146">
        <v>1</v>
      </c>
      <c r="K84" s="147" t="s">
        <v>25</v>
      </c>
      <c r="L84" s="143">
        <v>1500000</v>
      </c>
      <c r="M84" s="59">
        <f t="shared" si="2"/>
        <v>1500000</v>
      </c>
      <c r="N84" s="60"/>
      <c r="O84" s="60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</row>
    <row r="85" spans="1:28" ht="18.75" customHeight="1" x14ac:dyDescent="0.2">
      <c r="A85" s="40"/>
      <c r="B85" s="41"/>
      <c r="C85" s="69"/>
      <c r="D85" s="53" t="s">
        <v>96</v>
      </c>
      <c r="E85" s="43"/>
      <c r="F85" s="44"/>
      <c r="G85" s="45"/>
      <c r="H85" s="57">
        <v>1</v>
      </c>
      <c r="I85" s="147" t="s">
        <v>64</v>
      </c>
      <c r="J85" s="146">
        <v>1</v>
      </c>
      <c r="K85" s="147" t="s">
        <v>25</v>
      </c>
      <c r="L85" s="143">
        <v>1500000</v>
      </c>
      <c r="M85" s="59">
        <f t="shared" si="2"/>
        <v>1500000</v>
      </c>
      <c r="N85" s="60"/>
      <c r="O85" s="60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</row>
    <row r="86" spans="1:28" ht="18.75" customHeight="1" x14ac:dyDescent="0.2">
      <c r="A86" s="40"/>
      <c r="B86" s="41"/>
      <c r="C86" s="69"/>
      <c r="D86" s="53" t="s">
        <v>97</v>
      </c>
      <c r="E86" s="43"/>
      <c r="F86" s="44"/>
      <c r="G86" s="45"/>
      <c r="H86" s="57">
        <v>10</v>
      </c>
      <c r="I86" s="147" t="s">
        <v>98</v>
      </c>
      <c r="J86" s="146">
        <v>1</v>
      </c>
      <c r="K86" s="147" t="s">
        <v>99</v>
      </c>
      <c r="L86" s="143">
        <v>750000</v>
      </c>
      <c r="M86" s="59">
        <f t="shared" si="2"/>
        <v>7500000</v>
      </c>
      <c r="N86" s="60"/>
      <c r="O86" s="60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</row>
    <row r="87" spans="1:28" ht="16" x14ac:dyDescent="0.15">
      <c r="A87" s="40"/>
      <c r="B87" s="41"/>
      <c r="C87" s="148"/>
      <c r="D87" s="149" t="s">
        <v>100</v>
      </c>
      <c r="E87" s="150"/>
      <c r="F87" s="151"/>
      <c r="G87" s="152" t="s">
        <v>101</v>
      </c>
      <c r="H87" s="153">
        <v>12</v>
      </c>
      <c r="I87" s="154" t="s">
        <v>64</v>
      </c>
      <c r="J87" s="155">
        <v>1</v>
      </c>
      <c r="K87" s="154" t="s">
        <v>99</v>
      </c>
      <c r="L87" s="156">
        <v>750000</v>
      </c>
      <c r="M87" s="59">
        <f t="shared" si="2"/>
        <v>9000000</v>
      </c>
      <c r="N87" s="60"/>
      <c r="O87" s="60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  <c r="AA87" s="157"/>
      <c r="AB87" s="157"/>
    </row>
    <row r="88" spans="1:28" ht="16" x14ac:dyDescent="0.2">
      <c r="A88" s="40"/>
      <c r="B88" s="41"/>
      <c r="C88" s="69"/>
      <c r="D88" s="53" t="s">
        <v>102</v>
      </c>
      <c r="E88" s="43"/>
      <c r="F88" s="44"/>
      <c r="G88" s="123" t="s">
        <v>103</v>
      </c>
      <c r="H88" s="57">
        <v>2</v>
      </c>
      <c r="I88" s="147" t="s">
        <v>64</v>
      </c>
      <c r="J88" s="146">
        <v>1</v>
      </c>
      <c r="K88" s="147" t="s">
        <v>25</v>
      </c>
      <c r="L88" s="143">
        <v>4000000</v>
      </c>
      <c r="M88" s="59">
        <f t="shared" si="2"/>
        <v>8000000</v>
      </c>
      <c r="N88" s="60"/>
      <c r="O88" s="60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</row>
    <row r="89" spans="1:28" ht="18.75" customHeight="1" x14ac:dyDescent="0.2">
      <c r="A89" s="40"/>
      <c r="B89" s="41"/>
      <c r="C89" s="69"/>
      <c r="D89" s="62" t="s">
        <v>104</v>
      </c>
      <c r="E89" s="63"/>
      <c r="F89" s="119"/>
      <c r="G89" s="45"/>
      <c r="H89" s="51"/>
      <c r="I89" s="158"/>
      <c r="J89" s="159"/>
      <c r="K89" s="145"/>
      <c r="L89" s="129"/>
      <c r="M89" s="160"/>
      <c r="N89" s="141"/>
      <c r="O89" s="141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</row>
    <row r="90" spans="1:28" ht="18.75" customHeight="1" x14ac:dyDescent="0.2">
      <c r="A90" s="40"/>
      <c r="B90" s="41"/>
      <c r="C90" s="69"/>
      <c r="D90" s="63"/>
      <c r="E90" s="62" t="s">
        <v>105</v>
      </c>
      <c r="F90" s="119"/>
      <c r="G90" s="161" t="s">
        <v>106</v>
      </c>
      <c r="H90" s="74">
        <v>1</v>
      </c>
      <c r="I90" s="55" t="s">
        <v>64</v>
      </c>
      <c r="J90" s="74">
        <v>1</v>
      </c>
      <c r="K90" s="162" t="s">
        <v>25</v>
      </c>
      <c r="L90" s="163">
        <v>4000000</v>
      </c>
      <c r="M90" s="59">
        <f t="shared" ref="M90:M91" si="3">L90*J90*H90</f>
        <v>4000000</v>
      </c>
      <c r="N90" s="141"/>
      <c r="O90" s="14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</row>
    <row r="91" spans="1:28" ht="18.75" customHeight="1" x14ac:dyDescent="0.2">
      <c r="A91" s="40"/>
      <c r="B91" s="41"/>
      <c r="C91" s="69"/>
      <c r="D91" s="63"/>
      <c r="E91" s="62" t="s">
        <v>107</v>
      </c>
      <c r="F91" s="119"/>
      <c r="G91" s="164" t="s">
        <v>108</v>
      </c>
      <c r="H91" s="74">
        <v>1</v>
      </c>
      <c r="I91" s="55" t="s">
        <v>64</v>
      </c>
      <c r="J91" s="74">
        <v>1</v>
      </c>
      <c r="K91" s="162" t="s">
        <v>25</v>
      </c>
      <c r="L91" s="163">
        <v>4500000</v>
      </c>
      <c r="M91" s="59">
        <f t="shared" si="3"/>
        <v>4500000</v>
      </c>
      <c r="N91" s="141"/>
      <c r="O91" s="14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</row>
    <row r="92" spans="1:28" ht="18.75" customHeight="1" x14ac:dyDescent="0.2">
      <c r="A92" s="40"/>
      <c r="B92" s="41"/>
      <c r="C92" s="112"/>
      <c r="D92" s="106"/>
      <c r="E92" s="165" t="s">
        <v>68</v>
      </c>
      <c r="F92" s="166"/>
      <c r="G92" s="167"/>
      <c r="H92" s="168">
        <v>4</v>
      </c>
      <c r="I92" s="169" t="s">
        <v>53</v>
      </c>
      <c r="J92" s="170">
        <v>1</v>
      </c>
      <c r="K92" s="171" t="s">
        <v>25</v>
      </c>
      <c r="L92" s="172" t="s">
        <v>66</v>
      </c>
      <c r="M92" s="118" t="s">
        <v>66</v>
      </c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  <c r="AB92" s="141"/>
    </row>
    <row r="93" spans="1:28" ht="18.75" customHeight="1" x14ac:dyDescent="0.2">
      <c r="A93" s="40"/>
      <c r="B93" s="41"/>
      <c r="C93" s="112"/>
      <c r="D93" s="106"/>
      <c r="E93" s="165" t="s">
        <v>73</v>
      </c>
      <c r="F93" s="166"/>
      <c r="G93" s="167"/>
      <c r="H93" s="168">
        <v>10</v>
      </c>
      <c r="I93" s="169" t="s">
        <v>53</v>
      </c>
      <c r="J93" s="170">
        <v>1</v>
      </c>
      <c r="K93" s="171" t="s">
        <v>25</v>
      </c>
      <c r="L93" s="172" t="s">
        <v>66</v>
      </c>
      <c r="M93" s="173" t="s">
        <v>66</v>
      </c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  <c r="AB93" s="141"/>
    </row>
    <row r="94" spans="1:28" ht="18.75" customHeight="1" x14ac:dyDescent="0.2">
      <c r="A94" s="40"/>
      <c r="B94" s="41"/>
      <c r="C94" s="112"/>
      <c r="D94" s="106" t="s">
        <v>109</v>
      </c>
      <c r="E94" s="97"/>
      <c r="F94" s="98"/>
      <c r="G94" s="140"/>
      <c r="H94" s="174">
        <v>22</v>
      </c>
      <c r="I94" s="175" t="s">
        <v>53</v>
      </c>
      <c r="J94" s="176">
        <v>1</v>
      </c>
      <c r="K94" s="136" t="s">
        <v>25</v>
      </c>
      <c r="L94" s="177" t="s">
        <v>66</v>
      </c>
      <c r="M94" s="173" t="s">
        <v>66</v>
      </c>
      <c r="N94" s="141"/>
      <c r="O94" s="14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</row>
    <row r="95" spans="1:28" ht="18.75" customHeight="1" x14ac:dyDescent="0.2">
      <c r="A95" s="40"/>
      <c r="B95" s="41"/>
      <c r="C95" s="112"/>
      <c r="D95" s="106" t="s">
        <v>73</v>
      </c>
      <c r="E95" s="97"/>
      <c r="F95" s="98"/>
      <c r="G95" s="140"/>
      <c r="H95" s="139">
        <v>175</v>
      </c>
      <c r="I95" s="135" t="s">
        <v>53</v>
      </c>
      <c r="J95" s="136">
        <v>1</v>
      </c>
      <c r="K95" s="136" t="s">
        <v>25</v>
      </c>
      <c r="L95" s="177" t="s">
        <v>66</v>
      </c>
      <c r="M95" s="173" t="s">
        <v>66</v>
      </c>
      <c r="N95" s="141"/>
      <c r="O95" s="14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</row>
    <row r="96" spans="1:28" ht="18.75" customHeight="1" x14ac:dyDescent="0.2">
      <c r="A96" s="40"/>
      <c r="B96" s="41"/>
      <c r="C96" s="112"/>
      <c r="D96" s="106" t="s">
        <v>110</v>
      </c>
      <c r="E96" s="97"/>
      <c r="F96" s="98"/>
      <c r="G96" s="140"/>
      <c r="H96" s="139">
        <v>22</v>
      </c>
      <c r="I96" s="135" t="s">
        <v>53</v>
      </c>
      <c r="J96" s="136">
        <v>1</v>
      </c>
      <c r="K96" s="136" t="s">
        <v>25</v>
      </c>
      <c r="L96" s="177" t="s">
        <v>66</v>
      </c>
      <c r="M96" s="173" t="s">
        <v>66</v>
      </c>
      <c r="N96" s="141"/>
      <c r="O96" s="14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</row>
    <row r="97" spans="1:28" ht="18.75" customHeight="1" x14ac:dyDescent="0.15">
      <c r="A97" s="40"/>
      <c r="B97" s="41"/>
      <c r="C97" s="69"/>
      <c r="D97" s="43"/>
      <c r="E97" s="43"/>
      <c r="F97" s="44"/>
      <c r="G97" s="45"/>
      <c r="H97" s="66"/>
      <c r="I97" s="145"/>
      <c r="J97" s="144"/>
      <c r="K97" s="145"/>
      <c r="L97" s="49"/>
      <c r="M97" s="122"/>
      <c r="N97" s="104"/>
      <c r="O97" s="104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</row>
    <row r="98" spans="1:28" ht="18.75" customHeight="1" x14ac:dyDescent="0.2">
      <c r="A98" s="29"/>
      <c r="B98" s="178" t="s">
        <v>111</v>
      </c>
      <c r="C98" s="31" t="s">
        <v>112</v>
      </c>
      <c r="D98" s="32"/>
      <c r="E98" s="32"/>
      <c r="F98" s="33"/>
      <c r="G98" s="179"/>
      <c r="H98" s="180"/>
      <c r="I98" s="35"/>
      <c r="J98" s="180"/>
      <c r="K98" s="35"/>
      <c r="L98" s="36"/>
      <c r="M98" s="37"/>
      <c r="N98" s="38"/>
      <c r="O98" s="38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</row>
    <row r="99" spans="1:28" ht="18.75" customHeight="1" x14ac:dyDescent="0.2">
      <c r="A99" s="40"/>
      <c r="B99" s="181"/>
      <c r="C99" s="182" t="s">
        <v>113</v>
      </c>
      <c r="D99" s="183"/>
      <c r="E99" s="183"/>
      <c r="F99" s="184"/>
      <c r="G99" s="185" t="s">
        <v>114</v>
      </c>
      <c r="H99" s="186">
        <v>150</v>
      </c>
      <c r="I99" s="187" t="s">
        <v>48</v>
      </c>
      <c r="J99" s="186">
        <v>1</v>
      </c>
      <c r="K99" s="187" t="s">
        <v>25</v>
      </c>
      <c r="L99" s="188" t="s">
        <v>115</v>
      </c>
      <c r="M99" s="189" t="s">
        <v>115</v>
      </c>
      <c r="N99" s="60"/>
      <c r="O99" s="60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</row>
    <row r="100" spans="1:28" ht="18.75" customHeight="1" x14ac:dyDescent="0.2">
      <c r="A100" s="40"/>
      <c r="B100" s="181"/>
      <c r="C100" s="182" t="s">
        <v>116</v>
      </c>
      <c r="D100" s="183"/>
      <c r="E100" s="183"/>
      <c r="F100" s="184"/>
      <c r="G100" s="185" t="s">
        <v>114</v>
      </c>
      <c r="H100" s="186">
        <v>1</v>
      </c>
      <c r="I100" s="187" t="s">
        <v>24</v>
      </c>
      <c r="J100" s="186">
        <v>1</v>
      </c>
      <c r="K100" s="187" t="s">
        <v>25</v>
      </c>
      <c r="L100" s="188" t="s">
        <v>115</v>
      </c>
      <c r="M100" s="189" t="s">
        <v>115</v>
      </c>
      <c r="N100" s="60"/>
      <c r="O100" s="60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</row>
    <row r="101" spans="1:28" ht="18.75" customHeight="1" x14ac:dyDescent="0.2">
      <c r="A101" s="40"/>
      <c r="B101" s="181"/>
      <c r="C101" s="42" t="s">
        <v>117</v>
      </c>
      <c r="D101" s="43"/>
      <c r="E101" s="43"/>
      <c r="F101" s="119"/>
      <c r="G101" s="123" t="s">
        <v>118</v>
      </c>
      <c r="H101" s="124">
        <v>175</v>
      </c>
      <c r="I101" s="125" t="s">
        <v>119</v>
      </c>
      <c r="J101" s="124">
        <v>1</v>
      </c>
      <c r="K101" s="125" t="s">
        <v>25</v>
      </c>
      <c r="L101" s="143">
        <v>50000</v>
      </c>
      <c r="M101" s="59">
        <f t="shared" ref="M101:M103" si="4">L101*J101*H101</f>
        <v>8750000</v>
      </c>
      <c r="N101" s="60"/>
      <c r="O101" s="60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</row>
    <row r="102" spans="1:28" ht="32" x14ac:dyDescent="0.15">
      <c r="A102" s="40"/>
      <c r="B102" s="181"/>
      <c r="C102" s="190" t="s">
        <v>120</v>
      </c>
      <c r="D102" s="150"/>
      <c r="E102" s="150"/>
      <c r="F102" s="191"/>
      <c r="G102" s="152" t="s">
        <v>121</v>
      </c>
      <c r="H102" s="192">
        <v>175</v>
      </c>
      <c r="I102" s="193" t="s">
        <v>119</v>
      </c>
      <c r="J102" s="192">
        <v>1</v>
      </c>
      <c r="K102" s="193" t="s">
        <v>25</v>
      </c>
      <c r="L102" s="156">
        <v>40000</v>
      </c>
      <c r="M102" s="59">
        <f t="shared" si="4"/>
        <v>7000000</v>
      </c>
      <c r="N102" s="60"/>
      <c r="O102" s="60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</row>
    <row r="103" spans="1:28" ht="18.75" customHeight="1" x14ac:dyDescent="0.2">
      <c r="A103" s="40"/>
      <c r="B103" s="181"/>
      <c r="C103" s="42" t="s">
        <v>122</v>
      </c>
      <c r="D103" s="43"/>
      <c r="E103" s="43"/>
      <c r="F103" s="119"/>
      <c r="G103" s="45"/>
      <c r="H103" s="124">
        <v>200</v>
      </c>
      <c r="I103" s="125" t="s">
        <v>119</v>
      </c>
      <c r="J103" s="124">
        <v>1</v>
      </c>
      <c r="K103" s="125" t="s">
        <v>25</v>
      </c>
      <c r="L103" s="143">
        <v>25000</v>
      </c>
      <c r="M103" s="59">
        <f t="shared" si="4"/>
        <v>5000000</v>
      </c>
      <c r="N103" s="60"/>
      <c r="O103" s="60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</row>
    <row r="104" spans="1:28" ht="18.75" customHeight="1" x14ac:dyDescent="0.2">
      <c r="A104" s="40"/>
      <c r="B104" s="181"/>
      <c r="C104" s="69"/>
      <c r="D104" s="53" t="s">
        <v>123</v>
      </c>
      <c r="E104" s="43"/>
      <c r="F104" s="119"/>
      <c r="G104" s="45"/>
      <c r="H104" s="120"/>
      <c r="I104" s="121"/>
      <c r="J104" s="120"/>
      <c r="K104" s="121"/>
      <c r="L104" s="49"/>
      <c r="M104" s="59"/>
      <c r="N104" s="60"/>
      <c r="O104" s="60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</row>
    <row r="105" spans="1:28" ht="18.75" customHeight="1" x14ac:dyDescent="0.2">
      <c r="A105" s="40"/>
      <c r="B105" s="181"/>
      <c r="C105" s="69"/>
      <c r="D105" s="53" t="s">
        <v>124</v>
      </c>
      <c r="E105" s="43"/>
      <c r="F105" s="119"/>
      <c r="G105" s="45"/>
      <c r="H105" s="120"/>
      <c r="I105" s="121"/>
      <c r="J105" s="120"/>
      <c r="K105" s="121"/>
      <c r="L105" s="49"/>
      <c r="M105" s="59"/>
      <c r="N105" s="60"/>
      <c r="O105" s="60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</row>
    <row r="106" spans="1:28" ht="18.75" customHeight="1" x14ac:dyDescent="0.2">
      <c r="A106" s="40"/>
      <c r="B106" s="181"/>
      <c r="C106" s="69"/>
      <c r="D106" s="53" t="s">
        <v>125</v>
      </c>
      <c r="E106" s="43"/>
      <c r="F106" s="119"/>
      <c r="G106" s="45"/>
      <c r="H106" s="120"/>
      <c r="I106" s="121"/>
      <c r="J106" s="120"/>
      <c r="K106" s="121"/>
      <c r="L106" s="49"/>
      <c r="M106" s="59"/>
      <c r="N106" s="60"/>
      <c r="O106" s="60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</row>
    <row r="107" spans="1:28" ht="18.75" customHeight="1" x14ac:dyDescent="0.2">
      <c r="A107" s="40"/>
      <c r="B107" s="181"/>
      <c r="C107" s="69"/>
      <c r="D107" s="53" t="s">
        <v>126</v>
      </c>
      <c r="E107" s="43"/>
      <c r="F107" s="119"/>
      <c r="G107" s="45"/>
      <c r="H107" s="120"/>
      <c r="I107" s="121"/>
      <c r="J107" s="120"/>
      <c r="K107" s="121"/>
      <c r="L107" s="49"/>
      <c r="M107" s="59"/>
      <c r="N107" s="60"/>
      <c r="O107" s="60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</row>
    <row r="108" spans="1:28" ht="18.75" customHeight="1" x14ac:dyDescent="0.2">
      <c r="A108" s="40"/>
      <c r="B108" s="181"/>
      <c r="C108" s="69"/>
      <c r="D108" s="53" t="s">
        <v>127</v>
      </c>
      <c r="E108" s="43"/>
      <c r="F108" s="119"/>
      <c r="G108" s="45"/>
      <c r="H108" s="120"/>
      <c r="I108" s="121"/>
      <c r="J108" s="120"/>
      <c r="K108" s="121"/>
      <c r="L108" s="49"/>
      <c r="M108" s="59"/>
      <c r="N108" s="60"/>
      <c r="O108" s="60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</row>
    <row r="109" spans="1:28" ht="18.75" customHeight="1" x14ac:dyDescent="0.15">
      <c r="A109" s="40"/>
      <c r="B109" s="181"/>
      <c r="C109" s="69"/>
      <c r="D109" s="43"/>
      <c r="E109" s="43"/>
      <c r="F109" s="119"/>
      <c r="G109" s="45"/>
      <c r="H109" s="120"/>
      <c r="I109" s="121"/>
      <c r="J109" s="120"/>
      <c r="K109" s="121"/>
      <c r="L109" s="49"/>
      <c r="M109" s="122"/>
      <c r="N109" s="104"/>
      <c r="O109" s="104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</row>
    <row r="110" spans="1:28" ht="18.75" customHeight="1" x14ac:dyDescent="0.2">
      <c r="A110" s="29"/>
      <c r="B110" s="194" t="s">
        <v>128</v>
      </c>
      <c r="C110" s="31" t="s">
        <v>129</v>
      </c>
      <c r="D110" s="32"/>
      <c r="E110" s="32"/>
      <c r="F110" s="33"/>
      <c r="G110" s="195"/>
      <c r="H110" s="196"/>
      <c r="I110" s="196"/>
      <c r="J110" s="196"/>
      <c r="K110" s="197"/>
      <c r="L110" s="198"/>
      <c r="M110" s="199"/>
      <c r="N110" s="104"/>
      <c r="O110" s="104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</row>
    <row r="111" spans="1:28" ht="18.75" customHeight="1" x14ac:dyDescent="0.2">
      <c r="A111" s="40"/>
      <c r="B111" s="41"/>
      <c r="C111" s="42" t="s">
        <v>130</v>
      </c>
      <c r="D111" s="43"/>
      <c r="E111" s="43"/>
      <c r="F111" s="119"/>
      <c r="G111" s="132" t="s">
        <v>131</v>
      </c>
      <c r="H111" s="124">
        <v>1</v>
      </c>
      <c r="I111" s="125" t="s">
        <v>48</v>
      </c>
      <c r="J111" s="124">
        <v>1</v>
      </c>
      <c r="K111" s="125" t="s">
        <v>25</v>
      </c>
      <c r="L111" s="143">
        <v>0</v>
      </c>
      <c r="M111" s="59">
        <f t="shared" ref="M111:M115" si="5">L111*J111*H111</f>
        <v>0</v>
      </c>
      <c r="N111" s="60"/>
      <c r="O111" s="60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</row>
    <row r="112" spans="1:28" ht="18.75" customHeight="1" x14ac:dyDescent="0.2">
      <c r="A112" s="40"/>
      <c r="B112" s="181"/>
      <c r="C112" s="42" t="s">
        <v>132</v>
      </c>
      <c r="D112" s="43"/>
      <c r="E112" s="43"/>
      <c r="F112" s="119"/>
      <c r="G112" s="123" t="s">
        <v>133</v>
      </c>
      <c r="H112" s="124">
        <v>1</v>
      </c>
      <c r="I112" s="125" t="s">
        <v>134</v>
      </c>
      <c r="J112" s="124">
        <v>1</v>
      </c>
      <c r="K112" s="125" t="s">
        <v>25</v>
      </c>
      <c r="L112" s="143">
        <v>0</v>
      </c>
      <c r="M112" s="59">
        <f t="shared" si="5"/>
        <v>0</v>
      </c>
      <c r="N112" s="60"/>
      <c r="O112" s="60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</row>
    <row r="113" spans="1:28" ht="18.75" customHeight="1" x14ac:dyDescent="0.2">
      <c r="A113" s="40"/>
      <c r="B113" s="181"/>
      <c r="C113" s="42" t="s">
        <v>135</v>
      </c>
      <c r="D113" s="43"/>
      <c r="E113" s="43"/>
      <c r="F113" s="119"/>
      <c r="G113" s="123" t="s">
        <v>136</v>
      </c>
      <c r="H113" s="124">
        <v>1</v>
      </c>
      <c r="I113" s="125" t="s">
        <v>134</v>
      </c>
      <c r="J113" s="124">
        <v>1</v>
      </c>
      <c r="K113" s="125" t="s">
        <v>25</v>
      </c>
      <c r="L113" s="143">
        <v>0</v>
      </c>
      <c r="M113" s="59">
        <f t="shared" si="5"/>
        <v>0</v>
      </c>
      <c r="N113" s="60"/>
      <c r="O113" s="60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</row>
    <row r="114" spans="1:28" ht="18.75" customHeight="1" x14ac:dyDescent="0.2">
      <c r="A114" s="40"/>
      <c r="B114" s="181"/>
      <c r="C114" s="42" t="s">
        <v>137</v>
      </c>
      <c r="D114" s="43"/>
      <c r="E114" s="43"/>
      <c r="F114" s="119"/>
      <c r="G114" s="123" t="s">
        <v>138</v>
      </c>
      <c r="H114" s="124">
        <v>1</v>
      </c>
      <c r="I114" s="125" t="s">
        <v>134</v>
      </c>
      <c r="J114" s="124">
        <v>1</v>
      </c>
      <c r="K114" s="125" t="s">
        <v>25</v>
      </c>
      <c r="L114" s="143">
        <v>0</v>
      </c>
      <c r="M114" s="59">
        <f t="shared" si="5"/>
        <v>0</v>
      </c>
      <c r="N114" s="60"/>
      <c r="O114" s="60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</row>
    <row r="115" spans="1:28" ht="18.75" customHeight="1" x14ac:dyDescent="0.2">
      <c r="A115" s="40"/>
      <c r="B115" s="181"/>
      <c r="C115" s="42" t="s">
        <v>139</v>
      </c>
      <c r="D115" s="43"/>
      <c r="E115" s="43"/>
      <c r="F115" s="119"/>
      <c r="G115" s="123" t="s">
        <v>140</v>
      </c>
      <c r="H115" s="124">
        <v>1</v>
      </c>
      <c r="I115" s="125" t="s">
        <v>134</v>
      </c>
      <c r="J115" s="124">
        <v>1</v>
      </c>
      <c r="K115" s="125" t="s">
        <v>25</v>
      </c>
      <c r="L115" s="143">
        <v>0</v>
      </c>
      <c r="M115" s="59">
        <f t="shared" si="5"/>
        <v>0</v>
      </c>
      <c r="N115" s="141"/>
      <c r="O115" s="14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</row>
    <row r="116" spans="1:28" ht="18.75" customHeight="1" x14ac:dyDescent="0.2">
      <c r="A116" s="40"/>
      <c r="B116" s="181"/>
      <c r="C116" s="182" t="s">
        <v>141</v>
      </c>
      <c r="D116" s="183"/>
      <c r="E116" s="183"/>
      <c r="F116" s="184"/>
      <c r="G116" s="185" t="s">
        <v>142</v>
      </c>
      <c r="H116" s="186">
        <v>1</v>
      </c>
      <c r="I116" s="187" t="s">
        <v>48</v>
      </c>
      <c r="J116" s="186">
        <v>1</v>
      </c>
      <c r="K116" s="187" t="s">
        <v>25</v>
      </c>
      <c r="L116" s="188" t="s">
        <v>115</v>
      </c>
      <c r="M116" s="200" t="s">
        <v>115</v>
      </c>
      <c r="N116" s="141"/>
      <c r="O116" s="14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</row>
    <row r="117" spans="1:28" ht="18.75" customHeight="1" x14ac:dyDescent="0.2">
      <c r="A117" s="40"/>
      <c r="B117" s="181"/>
      <c r="C117" s="201"/>
      <c r="D117" s="202" t="s">
        <v>143</v>
      </c>
      <c r="E117" s="203"/>
      <c r="F117" s="204"/>
      <c r="G117" s="205"/>
      <c r="H117" s="206"/>
      <c r="I117" s="207"/>
      <c r="J117" s="206"/>
      <c r="K117" s="207"/>
      <c r="L117" s="208"/>
      <c r="M117" s="209"/>
      <c r="N117" s="104"/>
      <c r="O117" s="104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</row>
    <row r="118" spans="1:28" ht="18.75" customHeight="1" x14ac:dyDescent="0.2">
      <c r="A118" s="40"/>
      <c r="B118" s="181"/>
      <c r="C118" s="201"/>
      <c r="D118" s="202" t="s">
        <v>144</v>
      </c>
      <c r="E118" s="203"/>
      <c r="F118" s="204"/>
      <c r="G118" s="205"/>
      <c r="H118" s="206"/>
      <c r="I118" s="207"/>
      <c r="J118" s="206"/>
      <c r="K118" s="207"/>
      <c r="L118" s="208"/>
      <c r="M118" s="209"/>
      <c r="N118" s="104"/>
      <c r="O118" s="104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</row>
    <row r="119" spans="1:28" ht="18.75" customHeight="1" x14ac:dyDescent="0.15">
      <c r="A119" s="40"/>
      <c r="B119" s="181"/>
      <c r="C119" s="69"/>
      <c r="D119" s="43"/>
      <c r="E119" s="43"/>
      <c r="F119" s="119"/>
      <c r="G119" s="45"/>
      <c r="H119" s="120"/>
      <c r="I119" s="121"/>
      <c r="J119" s="120"/>
      <c r="K119" s="121"/>
      <c r="L119" s="49"/>
      <c r="M119" s="122"/>
      <c r="N119" s="104"/>
      <c r="O119" s="104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</row>
    <row r="120" spans="1:28" ht="18.75" customHeight="1" x14ac:dyDescent="0.2">
      <c r="A120" s="29"/>
      <c r="B120" s="178" t="s">
        <v>145</v>
      </c>
      <c r="C120" s="31" t="s">
        <v>146</v>
      </c>
      <c r="D120" s="32"/>
      <c r="E120" s="32"/>
      <c r="F120" s="33"/>
      <c r="G120" s="179"/>
      <c r="H120" s="180"/>
      <c r="I120" s="35"/>
      <c r="J120" s="180"/>
      <c r="K120" s="35"/>
      <c r="L120" s="36"/>
      <c r="M120" s="37"/>
      <c r="N120" s="38"/>
      <c r="O120" s="38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</row>
    <row r="121" spans="1:28" ht="18.75" customHeight="1" x14ac:dyDescent="0.2">
      <c r="A121" s="40"/>
      <c r="B121" s="181"/>
      <c r="C121" s="42" t="s">
        <v>147</v>
      </c>
      <c r="D121" s="43"/>
      <c r="E121" s="43"/>
      <c r="F121" s="119"/>
      <c r="G121" s="45"/>
      <c r="H121" s="120"/>
      <c r="I121" s="121"/>
      <c r="J121" s="120"/>
      <c r="K121" s="121"/>
      <c r="L121" s="49"/>
      <c r="M121" s="122"/>
      <c r="N121" s="104"/>
      <c r="O121" s="104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</row>
    <row r="122" spans="1:28" ht="18.75" customHeight="1" x14ac:dyDescent="0.2">
      <c r="A122" s="40"/>
      <c r="B122" s="181"/>
      <c r="C122" s="69"/>
      <c r="D122" s="53" t="s">
        <v>148</v>
      </c>
      <c r="E122" s="43"/>
      <c r="F122" s="119"/>
      <c r="G122" s="45"/>
      <c r="H122" s="124">
        <v>1</v>
      </c>
      <c r="I122" s="125" t="s">
        <v>48</v>
      </c>
      <c r="J122" s="124">
        <v>1</v>
      </c>
      <c r="K122" s="125" t="s">
        <v>149</v>
      </c>
      <c r="L122" s="143">
        <v>10000000</v>
      </c>
      <c r="M122" s="59">
        <f t="shared" ref="M122:M137" si="6">L122*J122*H122</f>
        <v>10000000</v>
      </c>
      <c r="N122" s="60"/>
      <c r="O122" s="60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</row>
    <row r="123" spans="1:28" ht="18.75" customHeight="1" x14ac:dyDescent="0.2">
      <c r="A123" s="40"/>
      <c r="B123" s="181"/>
      <c r="C123" s="69"/>
      <c r="D123" s="53" t="s">
        <v>150</v>
      </c>
      <c r="E123" s="43"/>
      <c r="F123" s="119"/>
      <c r="G123" s="45"/>
      <c r="H123" s="124">
        <v>1</v>
      </c>
      <c r="I123" s="125" t="s">
        <v>48</v>
      </c>
      <c r="J123" s="124">
        <v>1</v>
      </c>
      <c r="K123" s="125" t="s">
        <v>149</v>
      </c>
      <c r="L123" s="143">
        <v>3000000</v>
      </c>
      <c r="M123" s="59">
        <f t="shared" si="6"/>
        <v>3000000</v>
      </c>
      <c r="N123" s="60"/>
      <c r="O123" s="60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</row>
    <row r="124" spans="1:28" ht="18.75" customHeight="1" x14ac:dyDescent="0.2">
      <c r="A124" s="40"/>
      <c r="B124" s="181"/>
      <c r="C124" s="69"/>
      <c r="D124" s="53" t="s">
        <v>151</v>
      </c>
      <c r="E124" s="43"/>
      <c r="F124" s="119"/>
      <c r="G124" s="45"/>
      <c r="H124" s="124">
        <v>1</v>
      </c>
      <c r="I124" s="125" t="s">
        <v>48</v>
      </c>
      <c r="J124" s="124">
        <v>1</v>
      </c>
      <c r="K124" s="125" t="s">
        <v>149</v>
      </c>
      <c r="L124" s="143">
        <v>4000000</v>
      </c>
      <c r="M124" s="59">
        <f t="shared" si="6"/>
        <v>4000000</v>
      </c>
      <c r="N124" s="60"/>
      <c r="O124" s="60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</row>
    <row r="125" spans="1:28" ht="18.75" customHeight="1" x14ac:dyDescent="0.2">
      <c r="A125" s="40"/>
      <c r="B125" s="181"/>
      <c r="C125" s="69"/>
      <c r="D125" s="43"/>
      <c r="E125" s="53" t="s">
        <v>152</v>
      </c>
      <c r="F125" s="119"/>
      <c r="G125" s="45"/>
      <c r="H125" s="124">
        <v>1</v>
      </c>
      <c r="I125" s="125" t="s">
        <v>48</v>
      </c>
      <c r="J125" s="124">
        <v>2</v>
      </c>
      <c r="K125" s="125" t="s">
        <v>99</v>
      </c>
      <c r="L125" s="143">
        <v>750000</v>
      </c>
      <c r="M125" s="59">
        <f t="shared" si="6"/>
        <v>1500000</v>
      </c>
      <c r="N125" s="60"/>
      <c r="O125" s="60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</row>
    <row r="126" spans="1:28" ht="18.75" customHeight="1" x14ac:dyDescent="0.2">
      <c r="A126" s="40"/>
      <c r="B126" s="181"/>
      <c r="C126" s="69"/>
      <c r="D126" s="53" t="s">
        <v>153</v>
      </c>
      <c r="E126" s="43"/>
      <c r="F126" s="119"/>
      <c r="G126" s="45"/>
      <c r="H126" s="124">
        <v>1</v>
      </c>
      <c r="I126" s="125" t="s">
        <v>48</v>
      </c>
      <c r="J126" s="124">
        <v>1</v>
      </c>
      <c r="K126" s="125" t="s">
        <v>149</v>
      </c>
      <c r="L126" s="143">
        <v>3500000</v>
      </c>
      <c r="M126" s="59">
        <f t="shared" si="6"/>
        <v>3500000</v>
      </c>
      <c r="N126" s="60"/>
      <c r="O126" s="60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</row>
    <row r="127" spans="1:28" ht="18.75" customHeight="1" x14ac:dyDescent="0.2">
      <c r="A127" s="40"/>
      <c r="B127" s="181"/>
      <c r="C127" s="69"/>
      <c r="D127" s="43"/>
      <c r="E127" s="53" t="s">
        <v>154</v>
      </c>
      <c r="F127" s="119"/>
      <c r="G127" s="45"/>
      <c r="H127" s="124">
        <v>1</v>
      </c>
      <c r="I127" s="125" t="s">
        <v>48</v>
      </c>
      <c r="J127" s="124">
        <v>2</v>
      </c>
      <c r="K127" s="125" t="s">
        <v>99</v>
      </c>
      <c r="L127" s="143">
        <v>750000</v>
      </c>
      <c r="M127" s="59">
        <f t="shared" si="6"/>
        <v>1500000</v>
      </c>
      <c r="N127" s="60"/>
      <c r="O127" s="60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</row>
    <row r="128" spans="1:28" ht="18.75" customHeight="1" x14ac:dyDescent="0.2">
      <c r="A128" s="40"/>
      <c r="B128" s="181"/>
      <c r="C128" s="69"/>
      <c r="D128" s="53" t="s">
        <v>155</v>
      </c>
      <c r="E128" s="43"/>
      <c r="F128" s="119"/>
      <c r="G128" s="123" t="s">
        <v>156</v>
      </c>
      <c r="H128" s="124">
        <v>1</v>
      </c>
      <c r="I128" s="125" t="s">
        <v>134</v>
      </c>
      <c r="J128" s="124">
        <v>1</v>
      </c>
      <c r="K128" s="125" t="s">
        <v>25</v>
      </c>
      <c r="L128" s="143">
        <v>25000000</v>
      </c>
      <c r="M128" s="59">
        <f t="shared" si="6"/>
        <v>25000000</v>
      </c>
      <c r="N128" s="60"/>
      <c r="O128" s="60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</row>
    <row r="129" spans="1:28" ht="18.75" customHeight="1" x14ac:dyDescent="0.2">
      <c r="A129" s="40"/>
      <c r="B129" s="181"/>
      <c r="C129" s="69"/>
      <c r="D129" s="53" t="s">
        <v>157</v>
      </c>
      <c r="E129" s="43"/>
      <c r="F129" s="119"/>
      <c r="G129" s="45"/>
      <c r="H129" s="124">
        <v>1</v>
      </c>
      <c r="I129" s="125" t="s">
        <v>48</v>
      </c>
      <c r="J129" s="124">
        <v>1</v>
      </c>
      <c r="K129" s="125" t="s">
        <v>149</v>
      </c>
      <c r="L129" s="143">
        <v>3000000</v>
      </c>
      <c r="M129" s="59">
        <f t="shared" si="6"/>
        <v>3000000</v>
      </c>
      <c r="N129" s="60"/>
      <c r="O129" s="60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</row>
    <row r="130" spans="1:28" ht="18.75" customHeight="1" x14ac:dyDescent="0.2">
      <c r="A130" s="40"/>
      <c r="B130" s="181"/>
      <c r="C130" s="69"/>
      <c r="D130" s="43"/>
      <c r="E130" s="53" t="s">
        <v>158</v>
      </c>
      <c r="F130" s="119"/>
      <c r="G130" s="45"/>
      <c r="H130" s="124">
        <v>2</v>
      </c>
      <c r="I130" s="125" t="s">
        <v>48</v>
      </c>
      <c r="J130" s="124">
        <v>2</v>
      </c>
      <c r="K130" s="125" t="s">
        <v>99</v>
      </c>
      <c r="L130" s="143">
        <v>1000000</v>
      </c>
      <c r="M130" s="59">
        <f t="shared" si="6"/>
        <v>4000000</v>
      </c>
      <c r="N130" s="60"/>
      <c r="O130" s="60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</row>
    <row r="131" spans="1:28" ht="18.75" customHeight="1" x14ac:dyDescent="0.2">
      <c r="A131" s="40"/>
      <c r="B131" s="181"/>
      <c r="C131" s="69"/>
      <c r="D131" s="53" t="s">
        <v>159</v>
      </c>
      <c r="E131" s="43"/>
      <c r="F131" s="119"/>
      <c r="G131" s="45"/>
      <c r="H131" s="124">
        <v>1</v>
      </c>
      <c r="I131" s="125" t="s">
        <v>48</v>
      </c>
      <c r="J131" s="124">
        <v>1</v>
      </c>
      <c r="K131" s="125" t="s">
        <v>149</v>
      </c>
      <c r="L131" s="143">
        <v>3000000</v>
      </c>
      <c r="M131" s="59">
        <f t="shared" si="6"/>
        <v>3000000</v>
      </c>
      <c r="N131" s="60"/>
      <c r="O131" s="60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</row>
    <row r="132" spans="1:28" ht="18.75" customHeight="1" x14ac:dyDescent="0.2">
      <c r="A132" s="40"/>
      <c r="B132" s="181"/>
      <c r="C132" s="69"/>
      <c r="D132" s="43"/>
      <c r="E132" s="53" t="s">
        <v>160</v>
      </c>
      <c r="F132" s="119"/>
      <c r="G132" s="45"/>
      <c r="H132" s="124">
        <v>2</v>
      </c>
      <c r="I132" s="125" t="s">
        <v>48</v>
      </c>
      <c r="J132" s="124">
        <v>1</v>
      </c>
      <c r="K132" s="125" t="s">
        <v>99</v>
      </c>
      <c r="L132" s="143">
        <v>750000</v>
      </c>
      <c r="M132" s="59">
        <f t="shared" si="6"/>
        <v>1500000</v>
      </c>
      <c r="N132" s="60"/>
      <c r="O132" s="60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</row>
    <row r="133" spans="1:28" ht="18.75" customHeight="1" x14ac:dyDescent="0.2">
      <c r="A133" s="40"/>
      <c r="B133" s="181"/>
      <c r="C133" s="69"/>
      <c r="D133" s="53" t="s">
        <v>161</v>
      </c>
      <c r="E133" s="43"/>
      <c r="F133" s="119"/>
      <c r="G133" s="45"/>
      <c r="H133" s="124">
        <v>4</v>
      </c>
      <c r="I133" s="125" t="s">
        <v>48</v>
      </c>
      <c r="J133" s="124">
        <v>1</v>
      </c>
      <c r="K133" s="125" t="s">
        <v>25</v>
      </c>
      <c r="L133" s="143">
        <v>1500000</v>
      </c>
      <c r="M133" s="59">
        <f t="shared" si="6"/>
        <v>6000000</v>
      </c>
      <c r="N133" s="60"/>
      <c r="O133" s="60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</row>
    <row r="134" spans="1:28" ht="18.75" customHeight="1" x14ac:dyDescent="0.2">
      <c r="A134" s="40"/>
      <c r="B134" s="181"/>
      <c r="C134" s="69"/>
      <c r="D134" s="43"/>
      <c r="E134" s="53" t="s">
        <v>162</v>
      </c>
      <c r="F134" s="119"/>
      <c r="G134" s="123" t="s">
        <v>163</v>
      </c>
      <c r="H134" s="124">
        <v>4</v>
      </c>
      <c r="I134" s="125" t="s">
        <v>53</v>
      </c>
      <c r="J134" s="124">
        <v>1</v>
      </c>
      <c r="K134" s="125" t="s">
        <v>25</v>
      </c>
      <c r="L134" s="143">
        <v>500000</v>
      </c>
      <c r="M134" s="59">
        <f t="shared" si="6"/>
        <v>2000000</v>
      </c>
      <c r="N134" s="60"/>
      <c r="O134" s="60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</row>
    <row r="135" spans="1:28" ht="18.75" customHeight="1" x14ac:dyDescent="0.2">
      <c r="A135" s="40"/>
      <c r="B135" s="181"/>
      <c r="C135" s="69"/>
      <c r="D135" s="53" t="s">
        <v>164</v>
      </c>
      <c r="E135" s="43"/>
      <c r="F135" s="119"/>
      <c r="G135" s="45"/>
      <c r="H135" s="124">
        <v>1</v>
      </c>
      <c r="I135" s="125" t="s">
        <v>48</v>
      </c>
      <c r="J135" s="124">
        <v>1</v>
      </c>
      <c r="K135" s="125" t="s">
        <v>149</v>
      </c>
      <c r="L135" s="143">
        <v>5000000</v>
      </c>
      <c r="M135" s="59">
        <f t="shared" si="6"/>
        <v>5000000</v>
      </c>
      <c r="N135" s="60"/>
      <c r="O135" s="60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</row>
    <row r="136" spans="1:28" ht="18.75" customHeight="1" x14ac:dyDescent="0.2">
      <c r="A136" s="40"/>
      <c r="B136" s="181"/>
      <c r="C136" s="69"/>
      <c r="D136" s="43"/>
      <c r="E136" s="53" t="s">
        <v>165</v>
      </c>
      <c r="F136" s="119"/>
      <c r="G136" s="45"/>
      <c r="H136" s="124">
        <v>1</v>
      </c>
      <c r="I136" s="125" t="s">
        <v>48</v>
      </c>
      <c r="J136" s="124">
        <v>1</v>
      </c>
      <c r="K136" s="125" t="s">
        <v>149</v>
      </c>
      <c r="L136" s="143">
        <v>3000000</v>
      </c>
      <c r="M136" s="59">
        <f t="shared" si="6"/>
        <v>3000000</v>
      </c>
      <c r="N136" s="60"/>
      <c r="O136" s="60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</row>
    <row r="137" spans="1:28" ht="18.75" customHeight="1" x14ac:dyDescent="0.2">
      <c r="A137" s="40"/>
      <c r="B137" s="181"/>
      <c r="C137" s="69"/>
      <c r="D137" s="43"/>
      <c r="E137" s="43"/>
      <c r="F137" s="132" t="s">
        <v>166</v>
      </c>
      <c r="G137" s="119"/>
      <c r="H137" s="124">
        <v>2</v>
      </c>
      <c r="I137" s="125" t="s">
        <v>48</v>
      </c>
      <c r="J137" s="124">
        <v>1</v>
      </c>
      <c r="K137" s="125" t="s">
        <v>99</v>
      </c>
      <c r="L137" s="143">
        <v>1000000</v>
      </c>
      <c r="M137" s="59">
        <f t="shared" si="6"/>
        <v>2000000</v>
      </c>
      <c r="N137" s="60"/>
      <c r="O137" s="60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</row>
    <row r="138" spans="1:28" ht="18.75" customHeight="1" x14ac:dyDescent="0.2">
      <c r="A138" s="40"/>
      <c r="B138" s="41"/>
      <c r="C138" s="81"/>
      <c r="D138" s="83" t="s">
        <v>167</v>
      </c>
      <c r="E138" s="82"/>
      <c r="F138" s="210"/>
      <c r="G138" s="211" t="s">
        <v>168</v>
      </c>
      <c r="H138" s="86">
        <v>0</v>
      </c>
      <c r="I138" s="212" t="s">
        <v>24</v>
      </c>
      <c r="J138" s="213" t="s">
        <v>31</v>
      </c>
      <c r="K138" s="213" t="s">
        <v>99</v>
      </c>
      <c r="L138" s="89" t="s">
        <v>38</v>
      </c>
      <c r="M138" s="90" t="s">
        <v>38</v>
      </c>
      <c r="N138" s="104"/>
      <c r="O138" s="104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</row>
    <row r="139" spans="1:28" ht="18.75" customHeight="1" x14ac:dyDescent="0.15">
      <c r="A139" s="29"/>
      <c r="B139" s="181"/>
      <c r="C139" s="69"/>
      <c r="D139" s="43"/>
      <c r="E139" s="43"/>
      <c r="F139" s="119"/>
      <c r="G139" s="45"/>
      <c r="H139" s="120"/>
      <c r="I139" s="121"/>
      <c r="J139" s="120"/>
      <c r="K139" s="121"/>
      <c r="L139" s="49"/>
      <c r="M139" s="214"/>
      <c r="N139" s="38"/>
      <c r="O139" s="38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</row>
    <row r="140" spans="1:28" ht="18.75" customHeight="1" x14ac:dyDescent="0.2">
      <c r="A140" s="40"/>
      <c r="B140" s="30" t="s">
        <v>145</v>
      </c>
      <c r="C140" s="31" t="s">
        <v>169</v>
      </c>
      <c r="D140" s="32"/>
      <c r="E140" s="32"/>
      <c r="F140" s="215"/>
      <c r="G140" s="179"/>
      <c r="H140" s="180"/>
      <c r="I140" s="35"/>
      <c r="J140" s="180"/>
      <c r="K140" s="35"/>
      <c r="L140" s="36"/>
      <c r="M140" s="37"/>
      <c r="N140" s="104"/>
      <c r="O140" s="104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</row>
    <row r="141" spans="1:28" ht="18.75" customHeight="1" x14ac:dyDescent="0.2">
      <c r="A141" s="40"/>
      <c r="B141" s="41"/>
      <c r="C141" s="42" t="s">
        <v>170</v>
      </c>
      <c r="D141" s="43"/>
      <c r="E141" s="43"/>
      <c r="F141" s="44"/>
      <c r="G141" s="45"/>
      <c r="H141" s="144"/>
      <c r="I141" s="121"/>
      <c r="J141" s="120"/>
      <c r="K141" s="121"/>
      <c r="L141" s="49"/>
      <c r="M141" s="122"/>
      <c r="N141" s="60"/>
      <c r="O141" s="60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</row>
    <row r="142" spans="1:28" ht="18.75" customHeight="1" x14ac:dyDescent="0.2">
      <c r="A142" s="40"/>
      <c r="B142" s="41"/>
      <c r="C142" s="69"/>
      <c r="D142" s="53" t="s">
        <v>171</v>
      </c>
      <c r="E142" s="43"/>
      <c r="F142" s="44"/>
      <c r="G142" s="123" t="s">
        <v>172</v>
      </c>
      <c r="H142" s="146">
        <v>35</v>
      </c>
      <c r="I142" s="125" t="s">
        <v>48</v>
      </c>
      <c r="J142" s="124">
        <v>4</v>
      </c>
      <c r="K142" s="125" t="s">
        <v>173</v>
      </c>
      <c r="L142" s="143">
        <v>50000</v>
      </c>
      <c r="M142" s="59">
        <f t="shared" ref="M142:M145" si="7">L142*J142*H142</f>
        <v>7000000</v>
      </c>
      <c r="N142" s="60"/>
      <c r="O142" s="60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</row>
    <row r="143" spans="1:28" ht="18.75" customHeight="1" x14ac:dyDescent="0.2">
      <c r="A143" s="40"/>
      <c r="B143" s="41"/>
      <c r="C143" s="69"/>
      <c r="D143" s="53" t="s">
        <v>127</v>
      </c>
      <c r="E143" s="43"/>
      <c r="F143" s="44"/>
      <c r="G143" s="123" t="s">
        <v>172</v>
      </c>
      <c r="H143" s="124">
        <v>50</v>
      </c>
      <c r="I143" s="125" t="s">
        <v>48</v>
      </c>
      <c r="J143" s="124">
        <v>4</v>
      </c>
      <c r="K143" s="125" t="s">
        <v>173</v>
      </c>
      <c r="L143" s="143">
        <v>50000</v>
      </c>
      <c r="M143" s="59">
        <f t="shared" si="7"/>
        <v>10000000</v>
      </c>
      <c r="N143" s="60"/>
      <c r="O143" s="60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</row>
    <row r="144" spans="1:28" ht="18.75" customHeight="1" x14ac:dyDescent="0.2">
      <c r="A144" s="40"/>
      <c r="B144" s="41"/>
      <c r="C144" s="69"/>
      <c r="D144" s="53" t="s">
        <v>174</v>
      </c>
      <c r="E144" s="43"/>
      <c r="F144" s="44"/>
      <c r="G144" s="45"/>
      <c r="H144" s="124">
        <v>10</v>
      </c>
      <c r="I144" s="125" t="s">
        <v>48</v>
      </c>
      <c r="J144" s="124">
        <v>4</v>
      </c>
      <c r="K144" s="125" t="s">
        <v>173</v>
      </c>
      <c r="L144" s="143">
        <v>50000</v>
      </c>
      <c r="M144" s="59">
        <f t="shared" si="7"/>
        <v>2000000</v>
      </c>
      <c r="N144" s="60"/>
      <c r="O144" s="60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</row>
    <row r="145" spans="1:28" ht="18.75" customHeight="1" x14ac:dyDescent="0.2">
      <c r="A145" s="40"/>
      <c r="B145" s="41"/>
      <c r="C145" s="42" t="s">
        <v>175</v>
      </c>
      <c r="D145" s="43"/>
      <c r="E145" s="43"/>
      <c r="F145" s="44"/>
      <c r="G145" s="123" t="s">
        <v>176</v>
      </c>
      <c r="H145" s="124">
        <v>10</v>
      </c>
      <c r="I145" s="125" t="s">
        <v>177</v>
      </c>
      <c r="J145" s="124">
        <v>2</v>
      </c>
      <c r="K145" s="125" t="s">
        <v>99</v>
      </c>
      <c r="L145" s="143">
        <v>65000</v>
      </c>
      <c r="M145" s="59">
        <f t="shared" si="7"/>
        <v>1300000</v>
      </c>
      <c r="N145" s="60"/>
      <c r="O145" s="60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</row>
    <row r="146" spans="1:28" ht="18.75" customHeight="1" x14ac:dyDescent="0.2">
      <c r="A146" s="40"/>
      <c r="B146" s="41"/>
      <c r="C146" s="42" t="s">
        <v>178</v>
      </c>
      <c r="D146" s="43"/>
      <c r="E146" s="43"/>
      <c r="F146" s="44"/>
      <c r="G146" s="45"/>
      <c r="H146" s="120"/>
      <c r="I146" s="121"/>
      <c r="J146" s="120"/>
      <c r="K146" s="121"/>
      <c r="L146" s="49"/>
      <c r="M146" s="59"/>
      <c r="N146" s="60"/>
      <c r="O146" s="60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</row>
    <row r="147" spans="1:28" ht="18.75" customHeight="1" x14ac:dyDescent="0.2">
      <c r="A147" s="40"/>
      <c r="B147" s="41"/>
      <c r="C147" s="69"/>
      <c r="D147" s="53" t="s">
        <v>179</v>
      </c>
      <c r="E147" s="43"/>
      <c r="F147" s="44"/>
      <c r="G147" s="123" t="s">
        <v>180</v>
      </c>
      <c r="H147" s="124">
        <v>2</v>
      </c>
      <c r="I147" s="125" t="s">
        <v>53</v>
      </c>
      <c r="J147" s="124">
        <v>2</v>
      </c>
      <c r="K147" s="125" t="s">
        <v>99</v>
      </c>
      <c r="L147" s="143">
        <v>900000</v>
      </c>
      <c r="M147" s="59">
        <f t="shared" ref="M147:M148" si="8">L147*J147*H147</f>
        <v>3600000</v>
      </c>
      <c r="N147" s="60"/>
      <c r="O147" s="60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</row>
    <row r="148" spans="1:28" ht="18.75" customHeight="1" x14ac:dyDescent="0.2">
      <c r="A148" s="40"/>
      <c r="B148" s="41"/>
      <c r="C148" s="42" t="s">
        <v>181</v>
      </c>
      <c r="D148" s="43"/>
      <c r="E148" s="43"/>
      <c r="F148" s="44"/>
      <c r="G148" s="45"/>
      <c r="H148" s="124">
        <v>2</v>
      </c>
      <c r="I148" s="125" t="s">
        <v>182</v>
      </c>
      <c r="J148" s="124">
        <v>1</v>
      </c>
      <c r="K148" s="125" t="s">
        <v>183</v>
      </c>
      <c r="L148" s="143">
        <v>500000</v>
      </c>
      <c r="M148" s="59">
        <f t="shared" si="8"/>
        <v>1000000</v>
      </c>
      <c r="N148" s="60"/>
      <c r="O148" s="60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</row>
    <row r="149" spans="1:28" ht="18.75" customHeight="1" x14ac:dyDescent="0.2">
      <c r="A149" s="40"/>
      <c r="B149" s="41"/>
      <c r="C149" s="42" t="s">
        <v>184</v>
      </c>
      <c r="D149" s="43"/>
      <c r="E149" s="43"/>
      <c r="F149" s="44"/>
      <c r="G149" s="45"/>
      <c r="H149" s="120"/>
      <c r="I149" s="121"/>
      <c r="J149" s="120"/>
      <c r="K149" s="121"/>
      <c r="L149" s="49"/>
      <c r="M149" s="59"/>
      <c r="N149" s="60"/>
      <c r="O149" s="60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</row>
    <row r="150" spans="1:28" ht="18.75" customHeight="1" x14ac:dyDescent="0.2">
      <c r="A150" s="40"/>
      <c r="B150" s="41"/>
      <c r="C150" s="69"/>
      <c r="D150" s="53" t="s">
        <v>185</v>
      </c>
      <c r="E150" s="43"/>
      <c r="F150" s="44"/>
      <c r="G150" s="45"/>
      <c r="H150" s="124">
        <v>30</v>
      </c>
      <c r="I150" s="125" t="s">
        <v>53</v>
      </c>
      <c r="J150" s="124">
        <v>2</v>
      </c>
      <c r="K150" s="125" t="s">
        <v>99</v>
      </c>
      <c r="L150" s="143">
        <v>90000</v>
      </c>
      <c r="M150" s="59">
        <f t="shared" ref="M150:M153" si="9">L150*J150*H150</f>
        <v>5400000</v>
      </c>
      <c r="N150" s="60"/>
      <c r="O150" s="60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</row>
    <row r="151" spans="1:28" ht="18.75" customHeight="1" x14ac:dyDescent="0.2">
      <c r="A151" s="40"/>
      <c r="B151" s="41"/>
      <c r="C151" s="69"/>
      <c r="D151" s="53" t="s">
        <v>186</v>
      </c>
      <c r="E151" s="43"/>
      <c r="F151" s="44"/>
      <c r="G151" s="45"/>
      <c r="H151" s="124">
        <v>7</v>
      </c>
      <c r="I151" s="125" t="s">
        <v>53</v>
      </c>
      <c r="J151" s="124">
        <v>2</v>
      </c>
      <c r="K151" s="125" t="s">
        <v>99</v>
      </c>
      <c r="L151" s="143">
        <v>350000</v>
      </c>
      <c r="M151" s="59">
        <f t="shared" si="9"/>
        <v>4900000</v>
      </c>
      <c r="N151" s="60"/>
      <c r="O151" s="60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</row>
    <row r="152" spans="1:28" ht="18.75" customHeight="1" x14ac:dyDescent="0.2">
      <c r="A152" s="40"/>
      <c r="B152" s="41"/>
      <c r="C152" s="69"/>
      <c r="D152" s="53" t="s">
        <v>187</v>
      </c>
      <c r="E152" s="43"/>
      <c r="F152" s="44"/>
      <c r="G152" s="123" t="s">
        <v>188</v>
      </c>
      <c r="H152" s="124">
        <v>1</v>
      </c>
      <c r="I152" s="125" t="s">
        <v>24</v>
      </c>
      <c r="J152" s="124">
        <v>1</v>
      </c>
      <c r="K152" s="125" t="s">
        <v>25</v>
      </c>
      <c r="L152" s="143">
        <v>2000000</v>
      </c>
      <c r="M152" s="59">
        <f t="shared" si="9"/>
        <v>2000000</v>
      </c>
      <c r="N152" s="60"/>
      <c r="O152" s="60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</row>
    <row r="153" spans="1:28" ht="18.75" customHeight="1" x14ac:dyDescent="0.2">
      <c r="A153" s="40"/>
      <c r="B153" s="41"/>
      <c r="C153" s="42" t="s">
        <v>189</v>
      </c>
      <c r="D153" s="43"/>
      <c r="E153" s="43"/>
      <c r="F153" s="44"/>
      <c r="G153" s="45"/>
      <c r="H153" s="124">
        <v>1</v>
      </c>
      <c r="I153" s="125" t="s">
        <v>24</v>
      </c>
      <c r="J153" s="124">
        <v>1</v>
      </c>
      <c r="K153" s="125" t="s">
        <v>25</v>
      </c>
      <c r="L153" s="143">
        <v>1500000</v>
      </c>
      <c r="M153" s="59">
        <f t="shared" si="9"/>
        <v>1500000</v>
      </c>
      <c r="N153" s="60"/>
      <c r="O153" s="60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</row>
    <row r="154" spans="1:28" ht="18.75" customHeight="1" x14ac:dyDescent="0.2">
      <c r="A154" s="40"/>
      <c r="B154" s="41"/>
      <c r="C154" s="216" t="s">
        <v>190</v>
      </c>
      <c r="D154" s="217"/>
      <c r="E154" s="217"/>
      <c r="F154" s="218"/>
      <c r="G154" s="219"/>
      <c r="H154" s="220">
        <v>0</v>
      </c>
      <c r="I154" s="221" t="s">
        <v>53</v>
      </c>
      <c r="J154" s="220">
        <v>1</v>
      </c>
      <c r="K154" s="221" t="s">
        <v>99</v>
      </c>
      <c r="L154" s="222" t="s">
        <v>66</v>
      </c>
      <c r="M154" s="118" t="s">
        <v>66</v>
      </c>
      <c r="N154" s="60"/>
      <c r="O154" s="60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</row>
    <row r="155" spans="1:28" ht="18.75" customHeight="1" thickBot="1" x14ac:dyDescent="0.2">
      <c r="A155" s="40"/>
      <c r="B155" s="223"/>
      <c r="C155" s="224"/>
      <c r="D155" s="225"/>
      <c r="E155" s="225"/>
      <c r="F155" s="226"/>
      <c r="G155" s="227"/>
      <c r="H155" s="228"/>
      <c r="I155" s="229"/>
      <c r="J155" s="229"/>
      <c r="K155" s="229"/>
      <c r="L155" s="228"/>
      <c r="M155" s="230"/>
      <c r="N155" s="231"/>
      <c r="O155" s="231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</row>
    <row r="156" spans="1:28" ht="18.75" customHeight="1" x14ac:dyDescent="0.2">
      <c r="A156" s="233"/>
      <c r="B156" s="233"/>
      <c r="C156" s="51"/>
      <c r="D156" s="51"/>
      <c r="E156" s="51"/>
      <c r="F156" s="234"/>
      <c r="G156" s="234"/>
      <c r="H156" s="51"/>
      <c r="I156" s="51"/>
      <c r="J156" s="51"/>
      <c r="K156" s="235" t="s">
        <v>191</v>
      </c>
      <c r="L156" s="24"/>
      <c r="M156" s="236">
        <f>SUM(M17:M155)</f>
        <v>287450000</v>
      </c>
      <c r="N156" s="237"/>
      <c r="O156" s="237"/>
      <c r="P156" s="238"/>
      <c r="Q156" s="238"/>
      <c r="R156" s="238"/>
      <c r="S156" s="238"/>
      <c r="T156" s="238"/>
      <c r="U156" s="238"/>
      <c r="V156" s="238"/>
      <c r="W156" s="238"/>
      <c r="X156" s="238"/>
      <c r="Y156" s="238"/>
      <c r="Z156" s="238"/>
      <c r="AA156" s="238"/>
      <c r="AB156" s="238"/>
    </row>
    <row r="157" spans="1:28" ht="18.75" customHeight="1" x14ac:dyDescent="0.2">
      <c r="A157" s="233"/>
      <c r="B157" s="233"/>
      <c r="C157" s="51"/>
      <c r="D157" s="51"/>
      <c r="E157" s="51"/>
      <c r="F157" s="234"/>
      <c r="G157" s="234"/>
      <c r="H157" s="51"/>
      <c r="I157" s="51"/>
      <c r="J157" s="51"/>
      <c r="K157" s="239" t="s">
        <v>192</v>
      </c>
      <c r="L157" s="240"/>
      <c r="M157" s="241">
        <v>37450000</v>
      </c>
      <c r="N157" s="237"/>
      <c r="O157" s="237"/>
      <c r="P157" s="238"/>
      <c r="Q157" s="238"/>
      <c r="R157" s="238"/>
      <c r="S157" s="238"/>
      <c r="T157" s="238"/>
      <c r="U157" s="238"/>
      <c r="V157" s="238"/>
      <c r="W157" s="238"/>
      <c r="X157" s="238"/>
      <c r="Y157" s="238"/>
      <c r="Z157" s="238"/>
      <c r="AA157" s="238"/>
      <c r="AB157" s="238"/>
    </row>
    <row r="158" spans="1:28" ht="18.75" customHeight="1" x14ac:dyDescent="0.2">
      <c r="A158" s="233"/>
      <c r="B158" s="233"/>
      <c r="C158" s="51"/>
      <c r="D158" s="51"/>
      <c r="E158" s="51"/>
      <c r="F158" s="234"/>
      <c r="G158" s="234"/>
      <c r="H158" s="51"/>
      <c r="I158" s="51"/>
      <c r="J158" s="51"/>
      <c r="K158" s="242" t="s">
        <v>193</v>
      </c>
      <c r="L158" s="240"/>
      <c r="M158" s="243">
        <f>SUM(M156-M157)</f>
        <v>250000000</v>
      </c>
      <c r="N158" s="237"/>
      <c r="O158" s="237"/>
      <c r="P158" s="238"/>
      <c r="Q158" s="238"/>
      <c r="R158" s="238"/>
      <c r="S158" s="238"/>
      <c r="T158" s="238"/>
      <c r="U158" s="238"/>
      <c r="V158" s="238"/>
      <c r="W158" s="238"/>
      <c r="X158" s="238"/>
      <c r="Y158" s="238"/>
      <c r="Z158" s="238"/>
      <c r="AA158" s="238"/>
      <c r="AB158" s="238"/>
    </row>
    <row r="159" spans="1:28" ht="18.75" customHeight="1" x14ac:dyDescent="0.2">
      <c r="A159" s="233"/>
      <c r="B159" s="233"/>
      <c r="C159" s="51"/>
      <c r="D159" s="51"/>
      <c r="E159" s="51"/>
      <c r="F159" s="234"/>
      <c r="G159" s="234"/>
      <c r="H159" s="51"/>
      <c r="I159" s="51"/>
      <c r="J159" s="51"/>
      <c r="K159" s="244" t="s">
        <v>194</v>
      </c>
      <c r="L159" s="245"/>
      <c r="M159" s="243">
        <f>SUM(M158*5%)</f>
        <v>12500000</v>
      </c>
      <c r="N159" s="237"/>
      <c r="O159" s="237"/>
      <c r="P159" s="238"/>
      <c r="Q159" s="238"/>
      <c r="R159" s="238"/>
      <c r="S159" s="238"/>
      <c r="T159" s="238"/>
      <c r="U159" s="238"/>
      <c r="V159" s="238"/>
      <c r="W159" s="238"/>
      <c r="X159" s="238"/>
      <c r="Y159" s="238"/>
      <c r="Z159" s="238"/>
      <c r="AA159" s="238"/>
      <c r="AB159" s="238"/>
    </row>
    <row r="160" spans="1:28" ht="18.75" customHeight="1" thickBot="1" x14ac:dyDescent="0.25">
      <c r="A160" s="233"/>
      <c r="B160" s="233"/>
      <c r="C160" s="51"/>
      <c r="D160" s="51"/>
      <c r="E160" s="51"/>
      <c r="F160" s="234"/>
      <c r="G160" s="234"/>
      <c r="H160" s="51"/>
      <c r="I160" s="51"/>
      <c r="J160" s="51"/>
      <c r="K160" s="246" t="s">
        <v>195</v>
      </c>
      <c r="L160" s="247"/>
      <c r="M160" s="248">
        <f>SUM(M158:M159)</f>
        <v>262500000</v>
      </c>
      <c r="N160" s="237"/>
      <c r="O160" s="237"/>
      <c r="P160" s="238"/>
      <c r="Q160" s="238"/>
      <c r="R160" s="238"/>
      <c r="S160" s="238"/>
      <c r="T160" s="238"/>
      <c r="U160" s="238"/>
      <c r="V160" s="238"/>
      <c r="W160" s="238"/>
      <c r="X160" s="238"/>
      <c r="Y160" s="238"/>
      <c r="Z160" s="238"/>
      <c r="AA160" s="238"/>
      <c r="AB160" s="238"/>
    </row>
    <row r="161" spans="1:28" ht="18.75" customHeight="1" x14ac:dyDescent="0.2">
      <c r="A161" s="233"/>
      <c r="B161" s="233"/>
      <c r="C161" s="51"/>
      <c r="D161" s="51"/>
      <c r="E161" s="51"/>
      <c r="F161" s="234"/>
      <c r="G161" s="234"/>
      <c r="H161" s="51"/>
      <c r="I161" s="51"/>
      <c r="J161" s="51"/>
      <c r="K161" s="237"/>
      <c r="L161" s="237"/>
      <c r="M161" s="2"/>
      <c r="N161" s="237"/>
      <c r="O161" s="237"/>
      <c r="P161" s="238"/>
      <c r="Q161" s="238"/>
      <c r="R161" s="238"/>
      <c r="S161" s="238"/>
      <c r="T161" s="238"/>
      <c r="U161" s="238"/>
      <c r="V161" s="238"/>
      <c r="W161" s="238"/>
      <c r="X161" s="238"/>
      <c r="Y161" s="238"/>
      <c r="Z161" s="238"/>
      <c r="AA161" s="238"/>
      <c r="AB161" s="238"/>
    </row>
    <row r="162" spans="1:28" ht="16" x14ac:dyDescent="0.2">
      <c r="A162" s="233"/>
      <c r="B162" s="249"/>
      <c r="C162" s="249"/>
      <c r="D162" s="249"/>
      <c r="E162" s="249"/>
      <c r="F162" s="249"/>
      <c r="G162" s="234"/>
      <c r="H162" s="51"/>
      <c r="I162" s="51"/>
      <c r="J162" s="51"/>
      <c r="K162" s="237"/>
      <c r="L162" s="237"/>
      <c r="M162" s="2"/>
      <c r="N162" s="237"/>
      <c r="O162" s="237"/>
      <c r="P162" s="238"/>
      <c r="Q162" s="238"/>
      <c r="R162" s="238"/>
      <c r="S162" s="238"/>
      <c r="T162" s="238"/>
      <c r="U162" s="238"/>
      <c r="V162" s="238"/>
      <c r="W162" s="238"/>
      <c r="X162" s="238"/>
      <c r="Y162" s="238"/>
      <c r="Z162" s="238"/>
      <c r="AA162" s="238"/>
      <c r="AB162" s="238"/>
    </row>
    <row r="163" spans="1:28" ht="16" x14ac:dyDescent="0.2">
      <c r="A163" s="233"/>
      <c r="B163" s="249"/>
      <c r="C163" s="249"/>
      <c r="D163" s="249"/>
      <c r="E163" s="249"/>
      <c r="F163" s="249"/>
      <c r="G163" s="234"/>
      <c r="H163" s="51"/>
      <c r="I163" s="51"/>
      <c r="J163" s="51"/>
      <c r="K163" s="237"/>
      <c r="L163" s="237"/>
      <c r="M163" s="2"/>
      <c r="N163" s="237"/>
      <c r="O163" s="237"/>
      <c r="P163" s="238"/>
      <c r="Q163" s="238"/>
      <c r="R163" s="238"/>
      <c r="S163" s="238"/>
      <c r="T163" s="238"/>
      <c r="U163" s="238"/>
      <c r="V163" s="238"/>
      <c r="W163" s="238"/>
      <c r="X163" s="238"/>
      <c r="Y163" s="238"/>
      <c r="Z163" s="238"/>
      <c r="AA163" s="238"/>
      <c r="AB163" s="238"/>
    </row>
    <row r="164" spans="1:28" ht="16" x14ac:dyDescent="0.2">
      <c r="A164" s="233"/>
      <c r="B164" s="249"/>
      <c r="C164" s="249"/>
      <c r="D164" s="249"/>
      <c r="E164" s="249"/>
      <c r="F164" s="249"/>
      <c r="G164" s="234"/>
      <c r="H164" s="51"/>
      <c r="I164" s="51"/>
      <c r="J164" s="51"/>
      <c r="K164" s="237"/>
      <c r="L164" s="237"/>
      <c r="M164" s="2"/>
      <c r="N164" s="237"/>
      <c r="O164" s="237"/>
      <c r="P164" s="238"/>
      <c r="Q164" s="238"/>
      <c r="R164" s="238"/>
      <c r="S164" s="238"/>
      <c r="T164" s="238"/>
      <c r="U164" s="238"/>
      <c r="V164" s="238"/>
      <c r="W164" s="238"/>
      <c r="X164" s="238"/>
      <c r="Y164" s="238"/>
      <c r="Z164" s="238"/>
      <c r="AA164" s="238"/>
      <c r="AB164" s="238"/>
    </row>
    <row r="165" spans="1:28" ht="16" x14ac:dyDescent="0.2">
      <c r="A165" s="233"/>
      <c r="B165" s="249"/>
      <c r="C165" s="249"/>
      <c r="D165" s="249"/>
      <c r="E165" s="249"/>
      <c r="F165" s="249"/>
      <c r="G165" s="234"/>
      <c r="H165" s="51"/>
      <c r="I165" s="51"/>
      <c r="J165" s="51"/>
      <c r="K165" s="237"/>
      <c r="L165" s="237"/>
      <c r="M165" s="2"/>
      <c r="N165" s="237"/>
      <c r="O165" s="237"/>
      <c r="P165" s="238"/>
      <c r="Q165" s="238"/>
      <c r="R165" s="238"/>
      <c r="S165" s="238"/>
      <c r="T165" s="238"/>
      <c r="U165" s="238"/>
      <c r="V165" s="238"/>
      <c r="W165" s="238"/>
      <c r="X165" s="238"/>
      <c r="Y165" s="238"/>
      <c r="Z165" s="238"/>
      <c r="AA165" s="238"/>
      <c r="AB165" s="238"/>
    </row>
    <row r="166" spans="1:28" ht="15.75" customHeight="1" x14ac:dyDescent="0.2">
      <c r="A166" s="2"/>
      <c r="B166" s="250"/>
      <c r="C166" s="251"/>
      <c r="D166" s="251"/>
      <c r="E166" s="251"/>
      <c r="F166" s="251"/>
      <c r="G166" s="237"/>
      <c r="H166" s="237"/>
      <c r="I166" s="237"/>
      <c r="J166" s="237"/>
      <c r="K166" s="237"/>
      <c r="L166" s="252"/>
      <c r="M166" s="252"/>
      <c r="N166" s="2"/>
      <c r="O166" s="2"/>
      <c r="P166" s="2"/>
      <c r="Q166" s="2"/>
      <c r="R166" s="2"/>
      <c r="S166" s="2"/>
      <c r="T166" s="253"/>
      <c r="U166" s="2"/>
      <c r="V166" s="237"/>
      <c r="W166" s="237"/>
      <c r="X166" s="237"/>
      <c r="Y166" s="237"/>
      <c r="Z166" s="237"/>
      <c r="AA166" s="2"/>
      <c r="AB166" s="2"/>
    </row>
    <row r="167" spans="1:28" ht="15.75" customHeight="1" x14ac:dyDescent="0.2">
      <c r="A167" s="2"/>
      <c r="B167" s="250" t="s">
        <v>196</v>
      </c>
      <c r="C167" s="251"/>
      <c r="D167" s="251"/>
      <c r="E167" s="251"/>
      <c r="F167" s="251"/>
      <c r="G167" s="237"/>
      <c r="H167" s="237"/>
      <c r="I167" s="237"/>
      <c r="J167" s="237"/>
      <c r="K167" s="237"/>
      <c r="L167" s="252"/>
      <c r="M167" s="252"/>
      <c r="N167" s="2"/>
      <c r="O167" s="2"/>
      <c r="P167" s="2"/>
      <c r="Q167" s="2"/>
      <c r="R167" s="2"/>
      <c r="S167" s="2"/>
      <c r="T167" s="253"/>
      <c r="U167" s="2"/>
      <c r="V167" s="237"/>
      <c r="W167" s="237"/>
      <c r="X167" s="237"/>
      <c r="Y167" s="237"/>
      <c r="Z167" s="237"/>
      <c r="AA167" s="2"/>
      <c r="AB167" s="2"/>
    </row>
    <row r="168" spans="1:28" ht="15.75" customHeight="1" x14ac:dyDescent="0.2">
      <c r="A168" s="2"/>
      <c r="B168" s="250" t="s">
        <v>197</v>
      </c>
      <c r="C168" s="251"/>
      <c r="D168" s="251"/>
      <c r="E168" s="251"/>
      <c r="F168" s="251"/>
      <c r="G168" s="2"/>
      <c r="H168" s="2"/>
      <c r="I168" s="2"/>
      <c r="J168" s="2"/>
      <c r="K168" s="2"/>
      <c r="L168" s="252"/>
      <c r="M168" s="25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 x14ac:dyDescent="0.2">
      <c r="A169" s="2"/>
      <c r="B169" s="254" t="s">
        <v>198</v>
      </c>
      <c r="C169" s="251"/>
      <c r="D169" s="251"/>
      <c r="E169" s="251"/>
      <c r="F169" s="251"/>
      <c r="G169" s="2"/>
      <c r="H169" s="2"/>
      <c r="I169" s="2"/>
      <c r="J169" s="2"/>
      <c r="K169" s="2"/>
      <c r="L169" s="252"/>
      <c r="M169" s="25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 x14ac:dyDescent="0.2">
      <c r="A170" s="2"/>
      <c r="B170" s="250" t="s">
        <v>199</v>
      </c>
      <c r="C170" s="251"/>
      <c r="D170" s="251"/>
      <c r="E170" s="251"/>
      <c r="F170" s="251"/>
      <c r="G170" s="2"/>
      <c r="H170" s="2"/>
      <c r="I170" s="2"/>
      <c r="J170" s="2"/>
      <c r="K170" s="2"/>
      <c r="L170" s="255"/>
      <c r="M170" s="255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 x14ac:dyDescent="0.2">
      <c r="A171" s="2"/>
      <c r="B171" s="254" t="s">
        <v>200</v>
      </c>
      <c r="C171" s="251"/>
      <c r="D171" s="251"/>
      <c r="E171" s="251"/>
      <c r="F171" s="251"/>
      <c r="G171" s="2"/>
      <c r="H171" s="2"/>
      <c r="I171" s="2"/>
      <c r="J171" s="2"/>
      <c r="K171" s="2"/>
      <c r="L171" s="255"/>
      <c r="M171" s="255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 x14ac:dyDescent="0.2">
      <c r="A172" s="2"/>
      <c r="B172" s="250" t="s">
        <v>201</v>
      </c>
      <c r="C172" s="251"/>
      <c r="D172" s="251"/>
      <c r="E172" s="251"/>
      <c r="F172" s="251"/>
      <c r="G172" s="2"/>
      <c r="H172" s="2"/>
      <c r="I172" s="2"/>
      <c r="J172" s="2"/>
      <c r="K172" s="2"/>
      <c r="L172" s="255"/>
      <c r="M172" s="255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 x14ac:dyDescent="0.2">
      <c r="A173" s="2"/>
      <c r="B173" s="254" t="s">
        <v>202</v>
      </c>
      <c r="C173" s="251"/>
      <c r="D173" s="251"/>
      <c r="E173" s="251"/>
      <c r="F173" s="251"/>
      <c r="G173" s="2"/>
      <c r="H173" s="2"/>
      <c r="I173" s="2"/>
      <c r="J173" s="2"/>
      <c r="K173" s="2"/>
      <c r="L173" s="255"/>
      <c r="M173" s="255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 x14ac:dyDescent="0.2">
      <c r="A174" s="2"/>
      <c r="B174" s="254" t="s">
        <v>203</v>
      </c>
      <c r="C174" s="251"/>
      <c r="D174" s="251"/>
      <c r="E174" s="251"/>
      <c r="F174" s="251"/>
      <c r="G174" s="2"/>
      <c r="H174" s="2"/>
      <c r="I174" s="2"/>
      <c r="J174" s="2"/>
      <c r="K174" s="2"/>
      <c r="L174" s="252"/>
      <c r="M174" s="25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 x14ac:dyDescent="0.2">
      <c r="A175" s="2"/>
      <c r="B175" s="250" t="s">
        <v>204</v>
      </c>
      <c r="C175" s="251"/>
      <c r="D175" s="251"/>
      <c r="E175" s="251"/>
      <c r="F175" s="251"/>
      <c r="G175" s="2"/>
      <c r="H175" s="2"/>
      <c r="I175" s="2"/>
      <c r="J175" s="2"/>
      <c r="K175" s="2"/>
      <c r="L175" s="2"/>
      <c r="M175" s="25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 x14ac:dyDescent="0.2">
      <c r="A176" s="2"/>
      <c r="B176" s="254" t="s">
        <v>205</v>
      </c>
      <c r="C176" s="251"/>
      <c r="D176" s="251"/>
      <c r="E176" s="251"/>
      <c r="F176" s="251"/>
      <c r="G176" s="2"/>
      <c r="H176" s="2"/>
      <c r="I176" s="2"/>
      <c r="J176" s="2"/>
      <c r="K176" s="2"/>
      <c r="L176" s="256"/>
      <c r="M176" s="256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 x14ac:dyDescent="0.2">
      <c r="A177" s="2"/>
      <c r="B177" s="254" t="s">
        <v>206</v>
      </c>
      <c r="C177" s="251"/>
      <c r="D177" s="251"/>
      <c r="E177" s="251"/>
      <c r="F177" s="251"/>
      <c r="G177" s="2"/>
      <c r="H177" s="2"/>
      <c r="I177" s="2"/>
      <c r="J177" s="2"/>
      <c r="K177" s="2"/>
      <c r="L177" s="256"/>
      <c r="M177" s="256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 x14ac:dyDescent="0.2">
      <c r="A178" s="2"/>
      <c r="B178" s="254" t="s">
        <v>207</v>
      </c>
      <c r="C178" s="251"/>
      <c r="D178" s="251"/>
      <c r="E178" s="251"/>
      <c r="F178" s="25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 x14ac:dyDescent="0.2">
      <c r="A179" s="2"/>
      <c r="B179" s="254" t="s">
        <v>208</v>
      </c>
      <c r="C179" s="251"/>
      <c r="D179" s="251"/>
      <c r="E179" s="251"/>
      <c r="F179" s="25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 x14ac:dyDescent="0.2">
      <c r="A180" s="2"/>
      <c r="B180" s="250" t="s">
        <v>209</v>
      </c>
      <c r="C180" s="251"/>
      <c r="D180" s="251"/>
      <c r="E180" s="251"/>
      <c r="F180" s="25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 x14ac:dyDescent="0.2">
      <c r="A181" s="1"/>
      <c r="B181" s="254" t="s">
        <v>210</v>
      </c>
      <c r="C181" s="251"/>
      <c r="D181" s="251"/>
      <c r="E181" s="251"/>
      <c r="F181" s="251"/>
      <c r="G181" s="2"/>
      <c r="H181" s="2"/>
      <c r="I181" s="2"/>
      <c r="J181" s="2"/>
      <c r="K181" s="2"/>
      <c r="L181" s="252"/>
      <c r="M181" s="25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 x14ac:dyDescent="0.15">
      <c r="A182" s="1"/>
      <c r="B182" s="251"/>
      <c r="C182" s="251"/>
      <c r="D182" s="251"/>
      <c r="E182" s="251"/>
      <c r="F182" s="251"/>
      <c r="G182" s="2"/>
      <c r="H182" s="2"/>
      <c r="I182" s="2"/>
      <c r="J182" s="2"/>
      <c r="K182" s="2"/>
      <c r="L182" s="252"/>
      <c r="M182" s="25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8.75" customHeight="1" x14ac:dyDescent="0.2">
      <c r="A183" s="2"/>
      <c r="B183" s="257" t="s">
        <v>211</v>
      </c>
      <c r="C183" s="251"/>
      <c r="D183" s="251"/>
      <c r="E183" s="251"/>
      <c r="F183" s="251"/>
      <c r="G183" s="2"/>
      <c r="H183" s="2"/>
      <c r="I183" s="2"/>
      <c r="J183" s="2"/>
      <c r="K183" s="2"/>
      <c r="L183" s="252"/>
      <c r="M183" s="25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8.75" customHeight="1" x14ac:dyDescent="0.2">
      <c r="A184" s="2"/>
      <c r="B184" s="254" t="s">
        <v>212</v>
      </c>
      <c r="C184" s="251"/>
      <c r="D184" s="251"/>
      <c r="E184" s="251"/>
      <c r="F184" s="251"/>
      <c r="G184" s="2"/>
      <c r="H184" s="2"/>
      <c r="I184" s="2"/>
      <c r="J184" s="2"/>
      <c r="K184" s="2"/>
      <c r="L184" s="252"/>
      <c r="M184" s="25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 x14ac:dyDescent="0.2">
      <c r="A185" s="2"/>
      <c r="B185" s="254" t="s">
        <v>213</v>
      </c>
      <c r="C185" s="251"/>
      <c r="D185" s="251"/>
      <c r="E185" s="251"/>
      <c r="F185" s="251"/>
      <c r="G185" s="2"/>
      <c r="H185" s="2"/>
      <c r="I185" s="2"/>
      <c r="J185" s="2"/>
      <c r="K185" s="2"/>
      <c r="L185" s="252"/>
      <c r="M185" s="25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 x14ac:dyDescent="0.15">
      <c r="A186" s="2"/>
      <c r="B186" s="251"/>
      <c r="C186" s="251"/>
      <c r="D186" s="251"/>
      <c r="E186" s="251"/>
      <c r="F186" s="251"/>
      <c r="G186" s="2"/>
      <c r="H186" s="2"/>
      <c r="I186" s="2"/>
      <c r="J186" s="2"/>
      <c r="K186" s="2"/>
      <c r="L186" s="252"/>
      <c r="M186" s="25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 x14ac:dyDescent="0.2">
      <c r="A187" s="2"/>
      <c r="B187" s="257" t="s">
        <v>214</v>
      </c>
      <c r="C187" s="251"/>
      <c r="D187" s="251"/>
      <c r="E187" s="251"/>
      <c r="F187" s="251"/>
      <c r="G187" s="2"/>
      <c r="H187" s="2"/>
      <c r="I187" s="2"/>
      <c r="J187" s="2"/>
      <c r="K187" s="2"/>
      <c r="L187" s="252"/>
      <c r="M187" s="25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 x14ac:dyDescent="0.15">
      <c r="A188" s="2"/>
      <c r="B188" s="258" t="s">
        <v>215</v>
      </c>
      <c r="C188" s="251"/>
      <c r="D188" s="251"/>
      <c r="E188" s="251"/>
      <c r="F188" s="251"/>
      <c r="G188" s="2"/>
      <c r="H188" s="2"/>
      <c r="I188" s="2"/>
      <c r="J188" s="2"/>
      <c r="K188" s="2"/>
      <c r="L188" s="252"/>
      <c r="M188" s="25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 x14ac:dyDescent="0.2">
      <c r="A189" s="2"/>
      <c r="B189" s="250"/>
      <c r="C189" s="251"/>
      <c r="D189" s="251"/>
      <c r="E189" s="251"/>
      <c r="F189" s="251"/>
      <c r="G189" s="2"/>
      <c r="H189" s="2"/>
      <c r="I189" s="2"/>
      <c r="J189" s="2"/>
      <c r="K189" s="2"/>
      <c r="L189" s="252"/>
      <c r="M189" s="25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 x14ac:dyDescent="0.2">
      <c r="A190" s="2"/>
      <c r="B190" s="250" t="s">
        <v>216</v>
      </c>
      <c r="C190" s="251"/>
      <c r="D190" s="251"/>
      <c r="E190" s="251"/>
      <c r="F190" s="251"/>
      <c r="G190" s="2"/>
      <c r="H190" s="2"/>
      <c r="I190" s="2"/>
      <c r="J190" s="2"/>
      <c r="K190" s="2"/>
      <c r="L190" s="250" t="s">
        <v>217</v>
      </c>
      <c r="M190" s="25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 x14ac:dyDescent="0.15">
      <c r="A191" s="2"/>
      <c r="D191" s="251"/>
      <c r="E191" s="251"/>
      <c r="F191" s="251"/>
      <c r="G191" s="2"/>
      <c r="H191" s="2"/>
      <c r="I191" s="2"/>
      <c r="J191" s="2"/>
      <c r="K191" s="2"/>
      <c r="L191" s="252"/>
      <c r="M191" s="25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 x14ac:dyDescent="0.15">
      <c r="A192" s="2"/>
      <c r="D192" s="251"/>
      <c r="E192" s="251"/>
      <c r="F192" s="251"/>
      <c r="G192" s="2"/>
      <c r="H192" s="2"/>
      <c r="I192" s="2"/>
      <c r="J192" s="2"/>
      <c r="K192" s="2"/>
      <c r="L192" s="252"/>
      <c r="M192" s="25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 x14ac:dyDescent="0.15">
      <c r="A193" s="2"/>
      <c r="B193" s="251"/>
      <c r="C193" s="251"/>
      <c r="D193" s="251"/>
      <c r="E193" s="251"/>
      <c r="F193" s="251"/>
      <c r="G193" s="2"/>
      <c r="H193" s="2"/>
      <c r="I193" s="2"/>
      <c r="J193" s="2"/>
      <c r="K193" s="2"/>
      <c r="L193" s="252"/>
      <c r="M193" s="25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 x14ac:dyDescent="0.15">
      <c r="A194" s="2"/>
      <c r="B194" s="251"/>
      <c r="C194" s="251"/>
      <c r="D194" s="251"/>
      <c r="E194" s="251"/>
      <c r="F194" s="251"/>
      <c r="G194" s="2"/>
      <c r="H194" s="2"/>
      <c r="I194" s="2"/>
      <c r="J194" s="2"/>
      <c r="K194" s="2"/>
      <c r="L194" s="252"/>
      <c r="M194" s="25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 x14ac:dyDescent="0.15">
      <c r="A195" s="2"/>
      <c r="B195" s="251"/>
      <c r="C195" s="251"/>
      <c r="D195" s="251"/>
      <c r="E195" s="251"/>
      <c r="F195" s="251"/>
      <c r="G195" s="2"/>
      <c r="H195" s="2"/>
      <c r="I195" s="2"/>
      <c r="J195" s="2"/>
      <c r="K195" s="2"/>
      <c r="L195" s="252"/>
      <c r="M195" s="25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 x14ac:dyDescent="0.2">
      <c r="A196" s="2"/>
      <c r="B196" s="254" t="s">
        <v>218</v>
      </c>
      <c r="C196" s="251"/>
      <c r="D196" s="251"/>
      <c r="E196" s="251"/>
      <c r="F196" s="251"/>
      <c r="G196" s="2"/>
      <c r="H196" s="2"/>
      <c r="I196" s="2"/>
      <c r="J196" s="2"/>
      <c r="K196" s="2"/>
      <c r="L196" s="252"/>
      <c r="M196" s="25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 x14ac:dyDescent="0.2">
      <c r="A197" s="2"/>
      <c r="B197" s="254" t="s">
        <v>219</v>
      </c>
      <c r="C197" s="251"/>
      <c r="D197" s="251"/>
      <c r="E197" s="251"/>
      <c r="F197" s="251"/>
      <c r="G197" s="2"/>
      <c r="H197" s="2"/>
      <c r="I197" s="2"/>
      <c r="J197" s="2"/>
      <c r="K197" s="2"/>
      <c r="L197" s="252"/>
      <c r="M197" s="25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 x14ac:dyDescent="0.2">
      <c r="A198" s="2"/>
      <c r="B198" s="250" t="s">
        <v>210</v>
      </c>
      <c r="C198" s="251"/>
      <c r="D198" s="251"/>
      <c r="E198" s="251"/>
      <c r="F198" s="251"/>
      <c r="G198" s="2"/>
      <c r="H198" s="2"/>
      <c r="I198" s="2"/>
      <c r="J198" s="2"/>
      <c r="K198" s="2"/>
      <c r="L198" s="252"/>
      <c r="M198" s="25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 x14ac:dyDescent="0.15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 x14ac:dyDescent="0.15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customHeight="1" x14ac:dyDescent="0.15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 customHeight="1" x14ac:dyDescent="0.15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 customHeight="1" x14ac:dyDescent="0.15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.75" customHeight="1" x14ac:dyDescent="0.15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.75" customHeight="1" x14ac:dyDescent="0.15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.75" customHeight="1" x14ac:dyDescent="0.15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5.75" customHeight="1" x14ac:dyDescent="0.15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5.75" customHeight="1" x14ac:dyDescent="0.15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5.75" customHeight="1" x14ac:dyDescent="0.15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.75" customHeight="1" x14ac:dyDescent="0.15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.75" customHeight="1" x14ac:dyDescent="0.15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.75" customHeight="1" x14ac:dyDescent="0.15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.75" customHeight="1" x14ac:dyDescent="0.15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.75" customHeight="1" x14ac:dyDescent="0.15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.75" customHeight="1" x14ac:dyDescent="0.15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.75" customHeight="1" x14ac:dyDescent="0.15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.75" customHeight="1" x14ac:dyDescent="0.15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.75" customHeight="1" x14ac:dyDescent="0.15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.75" customHeight="1" x14ac:dyDescent="0.15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.75" customHeight="1" x14ac:dyDescent="0.15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.75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5.75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5.75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5.75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5.75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5.75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5.75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5.75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5.75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5.75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5.75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5.75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5.75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5.75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5.75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5.75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5.75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5.75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5.75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5.75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5.75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5.75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5.75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5.75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5.75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5.75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5.75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5.75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.75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.75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.75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.75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.75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.75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.75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.75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.75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.75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.75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5.75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.75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5.75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5.75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5.75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5.75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5.75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5.75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5.75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5.75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5.75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5.75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5.75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5.75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5.75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5.75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5.75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5.75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5.75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5.75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5.75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5.75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5.75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5.75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5.75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5.75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5.75" customHeight="1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5.75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5.75" customHeight="1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5.75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5.75" customHeight="1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5.75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5.75" customHeight="1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5.75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5.75" customHeight="1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5.75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5.75" customHeight="1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5.75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5.75" customHeight="1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5.75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5.75" customHeight="1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5.75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5.75" customHeight="1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5.75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5.75" customHeight="1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5.75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5.75" customHeight="1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5.75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5.75" customHeight="1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5.75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5.75" customHeight="1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5.75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5.75" customHeight="1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5.75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5.75" customHeight="1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5.75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5.75" customHeight="1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5.75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5.75" customHeight="1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5.75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5.75" customHeight="1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5.75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5.75" customHeight="1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5.75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5.75" customHeight="1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5.75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5.75" customHeight="1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5.75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5.75" customHeight="1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5.75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5.75" customHeight="1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5.75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5.75" customHeight="1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5.75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5.75" customHeight="1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5.75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5.75" customHeight="1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5.75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5.75" customHeight="1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5.75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5.75" customHeight="1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5.75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5.75" customHeight="1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5.75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5.75" customHeight="1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5.75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5.75" customHeight="1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5.75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5.75" customHeight="1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5.75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5.75" customHeight="1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5.75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5.75" customHeight="1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5.75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5.75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5.75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5.75" customHeight="1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5.75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5.75" customHeight="1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5.75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5.75" customHeight="1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5.75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5.75" customHeight="1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5.75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5.75" customHeight="1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5.75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5.75" customHeight="1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5.75" customHeight="1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5.75" customHeight="1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5.75" customHeight="1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5.75" customHeight="1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5.75" customHeight="1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5.75" customHeight="1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5.75" customHeight="1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5.75" customHeight="1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5.75" customHeight="1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5.75" customHeight="1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5.75" customHeight="1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5.75" customHeight="1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5.75" customHeight="1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5.75" customHeight="1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5.75" customHeight="1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5.75" customHeight="1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5.75" customHeight="1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5.75" customHeight="1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5.75" customHeight="1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5.75" customHeight="1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5.75" customHeight="1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5.75" customHeight="1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5.75" customHeight="1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5.75" customHeight="1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5.75" customHeight="1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5.75" customHeight="1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5.75" customHeight="1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5.75" customHeight="1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5.75" customHeight="1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5.75" customHeight="1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5.75" customHeight="1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5.75" customHeight="1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5.75" customHeight="1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5.75" customHeight="1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5.75" customHeight="1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5.75" customHeight="1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5.75" customHeight="1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5.75" customHeight="1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5.75" customHeight="1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5.75" customHeight="1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5.75" customHeight="1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5.75" customHeight="1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5.75" customHeight="1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5.75" customHeight="1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5.75" customHeight="1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5.75" customHeight="1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5.75" customHeight="1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5.75" customHeight="1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5.75" customHeight="1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5.75" customHeight="1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5.75" customHeight="1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5.75" customHeight="1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5.75" customHeight="1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5.75" customHeight="1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5.75" customHeight="1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5.75" customHeight="1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5.75" customHeight="1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5.75" customHeight="1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5.75" customHeight="1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5.75" customHeight="1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5.75" customHeight="1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5.75" customHeight="1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5.75" customHeight="1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5.75" customHeight="1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5.75" customHeight="1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5.75" customHeight="1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5.75" customHeight="1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5.75" customHeight="1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5.75" customHeight="1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5.75" customHeight="1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5.75" customHeight="1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5.75" customHeight="1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5.75" customHeight="1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5.75" customHeight="1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5.75" customHeight="1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5.75" customHeight="1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5.75" customHeight="1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5.75" customHeight="1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5.75" customHeight="1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5.75" customHeight="1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5.75" customHeight="1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5.75" customHeight="1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5.75" customHeight="1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5.75" customHeight="1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5.75" customHeight="1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5.75" customHeight="1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5.75" customHeight="1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5.75" customHeight="1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5.75" customHeight="1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5.75" customHeight="1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5.75" customHeight="1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5.75" customHeight="1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5.75" customHeight="1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5.75" customHeight="1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5.75" customHeight="1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5.75" customHeight="1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5.75" customHeight="1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5.75" customHeight="1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5.75" customHeight="1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5.75" customHeight="1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5.75" customHeight="1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5.75" customHeight="1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5.75" customHeight="1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5.75" customHeight="1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5.75" customHeight="1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5.75" customHeight="1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5.75" customHeight="1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5.75" customHeight="1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5.75" customHeight="1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5.75" customHeight="1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5.75" customHeight="1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5.75" customHeight="1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5.75" customHeight="1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5.75" customHeight="1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5.75" customHeight="1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5.75" customHeight="1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5.75" customHeight="1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5.75" customHeight="1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5.75" customHeight="1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5.75" customHeight="1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5.75" customHeight="1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5.75" customHeight="1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5.75" customHeight="1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5.75" customHeight="1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5.75" customHeight="1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5.75" customHeight="1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5.75" customHeight="1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5.75" customHeight="1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5.75" customHeight="1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5.75" customHeight="1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5.75" customHeight="1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5.75" customHeight="1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5.75" customHeight="1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5.75" customHeight="1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5.75" customHeight="1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5.75" customHeight="1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5.75" customHeight="1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5.75" customHeight="1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5.75" customHeight="1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5.75" customHeight="1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5.75" customHeight="1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5.75" customHeight="1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5.75" customHeight="1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5.75" customHeight="1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5.75" customHeight="1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5.75" customHeight="1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5.75" customHeight="1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5.75" customHeight="1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5.75" customHeight="1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5.75" customHeight="1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5.75" customHeight="1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5.75" customHeight="1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5.75" customHeight="1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5.75" customHeight="1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5.75" customHeight="1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5.75" customHeight="1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5.75" customHeight="1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5.75" customHeight="1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5.75" customHeight="1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5.75" customHeight="1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5.75" customHeight="1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5.75" customHeight="1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5.75" customHeight="1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5.75" customHeight="1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5.75" customHeight="1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5.75" customHeight="1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5.75" customHeight="1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5.75" customHeight="1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5.75" customHeight="1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5.75" customHeight="1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5.75" customHeight="1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5.75" customHeight="1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5.75" customHeight="1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5.75" customHeight="1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5.75" customHeight="1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5.75" customHeight="1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5.75" customHeight="1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5.75" customHeight="1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5.75" customHeight="1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5.75" customHeight="1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5.75" customHeight="1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5.75" customHeight="1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5.75" customHeight="1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5.75" customHeight="1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5.75" customHeight="1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5.75" customHeight="1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5.75" customHeight="1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5.75" customHeight="1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5.75" customHeight="1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5.75" customHeight="1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5.75" customHeight="1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5.75" customHeight="1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5.75" customHeight="1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5.75" customHeight="1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5.75" customHeight="1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5.75" customHeight="1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5.75" customHeight="1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5.75" customHeight="1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5.75" customHeight="1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5.75" customHeight="1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5.75" customHeight="1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5.75" customHeight="1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5.75" customHeight="1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5.75" customHeight="1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5.75" customHeight="1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5.75" customHeight="1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5.75" customHeight="1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5.75" customHeight="1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5.75" customHeight="1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5.75" customHeight="1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5.75" customHeight="1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5.75" customHeight="1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5.75" customHeight="1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5.75" customHeight="1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5.75" customHeight="1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5.75" customHeight="1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5.75" customHeight="1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5.75" customHeight="1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5.75" customHeight="1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5.75" customHeight="1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5.75" customHeight="1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5.75" customHeight="1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5.75" customHeight="1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5.75" customHeight="1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5.75" customHeight="1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5.75" customHeight="1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5.75" customHeight="1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5.75" customHeight="1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5.75" customHeight="1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5.75" customHeight="1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5.75" customHeight="1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5.75" customHeight="1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5.75" customHeight="1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5.75" customHeight="1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5.75" customHeight="1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5.75" customHeight="1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5.75" customHeight="1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5.75" customHeight="1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5.75" customHeight="1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5.75" customHeight="1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5.75" customHeight="1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5.75" customHeight="1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5.75" customHeight="1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5.75" customHeight="1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5.75" customHeight="1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5.75" customHeight="1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5.75" customHeight="1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5.75" customHeight="1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5.75" customHeight="1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5.75" customHeight="1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5.75" customHeight="1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5.75" customHeight="1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5.75" customHeight="1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5.75" customHeight="1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5.75" customHeight="1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5.75" customHeight="1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5.75" customHeight="1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5.75" customHeight="1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5.75" customHeight="1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5.75" customHeight="1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5.75" customHeight="1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5.75" customHeight="1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5.75" customHeight="1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5.75" customHeight="1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5.75" customHeight="1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5.75" customHeight="1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5.75" customHeight="1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5.75" customHeight="1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5.75" customHeight="1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5.75" customHeight="1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5.75" customHeight="1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5.75" customHeight="1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5.75" customHeight="1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5.75" customHeight="1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5.75" customHeight="1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5.75" customHeight="1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5.75" customHeight="1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5.75" customHeight="1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5.75" customHeight="1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5.75" customHeight="1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5.75" customHeight="1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5.75" customHeight="1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5.75" customHeight="1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5.75" customHeight="1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5.75" customHeight="1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5.75" customHeight="1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5.75" customHeight="1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5.75" customHeight="1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5.75" customHeight="1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5.75" customHeight="1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5.75" customHeight="1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5.75" customHeight="1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5.75" customHeight="1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5.75" customHeight="1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5.75" customHeight="1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5.75" customHeight="1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5.75" customHeight="1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5.75" customHeight="1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5.75" customHeight="1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5.75" customHeight="1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5.75" customHeight="1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5.75" customHeight="1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5.75" customHeight="1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5.75" customHeight="1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5.75" customHeight="1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5.75" customHeight="1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5.75" customHeight="1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5.75" customHeight="1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5.75" customHeight="1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5.75" customHeight="1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5.75" customHeight="1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5.75" customHeight="1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5.75" customHeight="1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5.75" customHeight="1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5.75" customHeight="1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5.75" customHeight="1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5.75" customHeight="1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5.75" customHeight="1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5.75" customHeight="1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5.75" customHeight="1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5.75" customHeight="1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5.75" customHeight="1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5.75" customHeight="1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5.75" customHeight="1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5.75" customHeight="1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5.75" customHeight="1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5.75" customHeight="1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5.75" customHeight="1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5.75" customHeight="1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5.75" customHeight="1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5.75" customHeight="1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5.75" customHeight="1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5.75" customHeight="1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5.75" customHeight="1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5.75" customHeight="1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5.75" customHeight="1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5.75" customHeight="1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5.75" customHeight="1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5.75" customHeight="1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5.75" customHeight="1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5.75" customHeight="1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5.75" customHeight="1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5.75" customHeight="1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5.75" customHeight="1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5.75" customHeight="1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5.75" customHeight="1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5.75" customHeight="1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5.75" customHeight="1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5.75" customHeight="1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5.75" customHeight="1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5.75" customHeight="1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5.75" customHeight="1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5.75" customHeight="1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5.75" customHeight="1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5.75" customHeight="1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5.75" customHeight="1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5.75" customHeight="1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5.75" customHeight="1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5.75" customHeight="1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5.75" customHeight="1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5.75" customHeight="1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5.75" customHeight="1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5.75" customHeight="1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5.75" customHeight="1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5.75" customHeight="1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5.75" customHeight="1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5.75" customHeight="1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5.75" customHeight="1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5.75" customHeight="1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5.75" customHeight="1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5.75" customHeight="1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5.75" customHeight="1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5.75" customHeight="1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5.75" customHeight="1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5.75" customHeight="1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5.75" customHeight="1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5.75" customHeight="1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5.75" customHeight="1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5.75" customHeight="1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5.75" customHeight="1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5.75" customHeight="1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5.75" customHeight="1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5.75" customHeight="1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5.75" customHeight="1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5.75" customHeight="1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5.75" customHeight="1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5.75" customHeight="1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5.75" customHeight="1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5.75" customHeight="1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5.75" customHeight="1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5.75" customHeight="1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5.75" customHeight="1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5.75" customHeight="1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5.75" customHeight="1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5.75" customHeight="1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5.75" customHeight="1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5.75" customHeight="1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5.75" customHeight="1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5.75" customHeight="1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5.75" customHeight="1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5.75" customHeight="1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5.75" customHeight="1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5.75" customHeight="1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5.75" customHeight="1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5.75" customHeight="1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5.75" customHeight="1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5.75" customHeight="1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5.75" customHeight="1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5.75" customHeight="1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5.75" customHeight="1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5.75" customHeight="1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5.75" customHeight="1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5.75" customHeight="1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5.75" customHeight="1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5.75" customHeight="1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5.75" customHeight="1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5.75" customHeight="1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5.75" customHeight="1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5.75" customHeight="1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5.75" customHeight="1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5.75" customHeight="1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5.75" customHeight="1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5.75" customHeight="1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5.75" customHeight="1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5.75" customHeight="1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5.75" customHeight="1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5.75" customHeight="1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5.75" customHeight="1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5.75" customHeight="1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5.75" customHeight="1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5.75" customHeight="1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5.75" customHeight="1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5.75" customHeight="1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5.75" customHeight="1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5.75" customHeight="1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5.75" customHeight="1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5.75" customHeight="1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5.75" customHeight="1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5.75" customHeight="1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5.75" customHeight="1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5.75" customHeight="1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5.75" customHeight="1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5.75" customHeight="1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5.75" customHeight="1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5.75" customHeight="1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5.75" customHeight="1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5.75" customHeight="1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5.75" customHeight="1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5.75" customHeight="1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5.75" customHeight="1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5.75" customHeight="1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5.75" customHeight="1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5.75" customHeight="1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5.75" customHeight="1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5.75" customHeight="1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5.75" customHeight="1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5.75" customHeight="1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5.75" customHeight="1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5.75" customHeight="1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5.75" customHeight="1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5.75" customHeight="1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5.75" customHeight="1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5.75" customHeight="1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5.75" customHeight="1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5.75" customHeight="1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5.75" customHeight="1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5.75" customHeight="1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5.75" customHeight="1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5.75" customHeight="1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5.75" customHeight="1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5.75" customHeight="1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5.75" customHeight="1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5.75" customHeight="1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5.75" customHeight="1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5.75" customHeight="1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5.75" customHeight="1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5.75" customHeight="1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5.75" customHeight="1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5.75" customHeight="1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5.75" customHeight="1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5.75" customHeight="1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5.75" customHeight="1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5.75" customHeight="1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5.75" customHeight="1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5.75" customHeight="1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5.75" customHeight="1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5.75" customHeight="1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5.75" customHeight="1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5.75" customHeight="1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5.75" customHeight="1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5.75" customHeight="1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5.75" customHeight="1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5.75" customHeight="1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5.75" customHeight="1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5.75" customHeight="1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5.75" customHeight="1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5.75" customHeight="1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5.75" customHeight="1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5.75" customHeight="1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5.75" customHeight="1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5.75" customHeight="1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5.75" customHeight="1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5.75" customHeight="1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5.75" customHeight="1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5.75" customHeight="1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5.75" customHeight="1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5.75" customHeight="1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5.75" customHeight="1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5.75" customHeight="1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5.75" customHeight="1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5.75" customHeight="1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5.75" customHeight="1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5.75" customHeight="1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5.75" customHeight="1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5.75" customHeight="1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5.75" customHeight="1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5.75" customHeight="1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5.75" customHeight="1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5.75" customHeight="1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5.75" customHeight="1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5.75" customHeight="1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5.75" customHeight="1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5.75" customHeight="1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5.75" customHeight="1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5.75" customHeight="1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5.75" customHeight="1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5.75" customHeight="1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5.75" customHeight="1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5.75" customHeight="1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5.75" customHeight="1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5.75" customHeight="1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5.75" customHeight="1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5.75" customHeight="1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5.75" customHeight="1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5.75" customHeight="1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5.75" customHeight="1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5.75" customHeight="1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5.75" customHeight="1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5.75" customHeight="1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5.75" customHeight="1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5.75" customHeight="1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5.75" customHeight="1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5.75" customHeight="1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5.75" customHeight="1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5.75" customHeight="1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5.75" customHeight="1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5.75" customHeight="1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5.75" customHeight="1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5.75" customHeight="1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5.75" customHeight="1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5.75" customHeight="1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5.75" customHeight="1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5.75" customHeight="1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5.75" customHeight="1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5.75" customHeight="1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5.75" customHeight="1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5.75" customHeight="1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5.75" customHeight="1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5.75" customHeight="1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5.75" customHeight="1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5.75" customHeight="1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5.75" customHeight="1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5.75" customHeight="1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5.75" customHeight="1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5.75" customHeight="1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5.75" customHeight="1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5.75" customHeight="1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5.75" customHeight="1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5.75" customHeight="1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5.75" customHeight="1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5.75" customHeight="1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5.75" customHeight="1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5.75" customHeight="1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5.75" customHeight="1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5.75" customHeight="1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5.75" customHeight="1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5.75" customHeight="1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5.75" customHeight="1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5.75" customHeight="1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5.75" customHeight="1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5.75" customHeight="1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5.75" customHeight="1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5.75" customHeight="1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5.75" customHeight="1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5.75" customHeight="1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5.75" customHeight="1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5.75" customHeight="1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5.75" customHeight="1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5.75" customHeight="1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5.75" customHeight="1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5.75" customHeight="1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5.75" customHeight="1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5.75" customHeight="1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5.75" customHeight="1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5.75" customHeight="1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5.75" customHeight="1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5.75" customHeight="1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5.75" customHeight="1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5.75" customHeight="1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5.75" customHeight="1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5.75" customHeight="1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5.75" customHeight="1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5.75" customHeight="1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5.75" customHeight="1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5.75" customHeight="1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5.75" customHeight="1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5.75" customHeight="1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5.75" customHeight="1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5.75" customHeight="1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5.75" customHeight="1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5.75" customHeight="1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5.75" customHeight="1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5.75" customHeight="1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5.75" customHeight="1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5.75" customHeight="1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5.75" customHeight="1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5.75" customHeight="1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5.75" customHeight="1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spans="1:28" ht="15.75" customHeight="1" x14ac:dyDescent="0.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spans="1:28" ht="15.75" customHeight="1" x14ac:dyDescent="0.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 spans="1:28" ht="15.75" customHeight="1" x14ac:dyDescent="0.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 spans="1:28" ht="15.75" customHeight="1" x14ac:dyDescent="0.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 spans="1:28" ht="15.75" customHeight="1" x14ac:dyDescent="0.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 spans="1:28" ht="15.75" customHeight="1" x14ac:dyDescent="0.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 spans="1:28" ht="15.75" customHeight="1" x14ac:dyDescent="0.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 spans="1:28" ht="15.75" customHeight="1" x14ac:dyDescent="0.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 spans="1:28" ht="15.75" customHeight="1" x14ac:dyDescent="0.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 spans="1:28" ht="15.75" customHeight="1" x14ac:dyDescent="0.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 spans="1:28" ht="15.75" customHeight="1" x14ac:dyDescent="0.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 spans="1:28" ht="15.75" customHeight="1" x14ac:dyDescent="0.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 spans="1:28" ht="15.75" customHeight="1" x14ac:dyDescent="0.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  <row r="1014" spans="1:28" ht="15.75" customHeight="1" x14ac:dyDescent="0.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</row>
    <row r="1015" spans="1:28" ht="15.75" customHeight="1" x14ac:dyDescent="0.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</row>
    <row r="1016" spans="1:28" ht="15.75" customHeight="1" x14ac:dyDescent="0.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</row>
    <row r="1017" spans="1:28" ht="15.75" customHeight="1" x14ac:dyDescent="0.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</row>
    <row r="1018" spans="1:28" ht="15.75" customHeight="1" x14ac:dyDescent="0.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</row>
    <row r="1019" spans="1:28" ht="15.75" customHeight="1" x14ac:dyDescent="0.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</row>
    <row r="1020" spans="1:28" ht="15.75" customHeight="1" x14ac:dyDescent="0.1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</row>
    <row r="1021" spans="1:28" ht="15.75" customHeight="1" x14ac:dyDescent="0.1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</row>
    <row r="1022" spans="1:28" ht="15.75" customHeight="1" x14ac:dyDescent="0.1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</row>
    <row r="1023" spans="1:28" ht="15.75" customHeight="1" x14ac:dyDescent="0.1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</row>
    <row r="1024" spans="1:28" ht="15.75" customHeight="1" x14ac:dyDescent="0.1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</row>
    <row r="1025" spans="1:28" ht="15.75" customHeight="1" x14ac:dyDescent="0.1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</row>
    <row r="1026" spans="1:28" ht="15.75" customHeight="1" x14ac:dyDescent="0.1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</row>
    <row r="1027" spans="1:28" ht="15.75" customHeight="1" x14ac:dyDescent="0.1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</row>
    <row r="1028" spans="1:28" ht="15.75" customHeight="1" x14ac:dyDescent="0.1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</row>
    <row r="1029" spans="1:28" ht="15.75" customHeight="1" x14ac:dyDescent="0.1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</row>
    <row r="1030" spans="1:28" ht="15.75" customHeight="1" x14ac:dyDescent="0.1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</row>
    <row r="1031" spans="1:28" ht="15.75" customHeight="1" x14ac:dyDescent="0.1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</row>
    <row r="1032" spans="1:28" ht="15.75" customHeight="1" x14ac:dyDescent="0.1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</row>
    <row r="1033" spans="1:28" ht="15.75" customHeight="1" x14ac:dyDescent="0.1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</row>
    <row r="1034" spans="1:28" ht="15.75" customHeight="1" x14ac:dyDescent="0.1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</row>
    <row r="1035" spans="1:28" ht="15.75" customHeight="1" x14ac:dyDescent="0.1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</row>
    <row r="1036" spans="1:28" ht="15.75" customHeight="1" x14ac:dyDescent="0.1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</row>
    <row r="1037" spans="1:28" ht="15.75" customHeight="1" x14ac:dyDescent="0.1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</row>
    <row r="1038" spans="1:28" ht="15.75" customHeight="1" x14ac:dyDescent="0.1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</row>
    <row r="1039" spans="1:28" ht="15.75" customHeight="1" x14ac:dyDescent="0.1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</row>
    <row r="1040" spans="1:28" ht="15.75" customHeight="1" x14ac:dyDescent="0.1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</row>
    <row r="1041" spans="1:28" ht="15.75" customHeight="1" x14ac:dyDescent="0.1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</row>
    <row r="1042" spans="1:28" ht="15.75" customHeight="1" x14ac:dyDescent="0.1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</row>
    <row r="1043" spans="1:28" ht="15.75" customHeight="1" x14ac:dyDescent="0.1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</row>
    <row r="1044" spans="1:28" ht="15.75" customHeight="1" x14ac:dyDescent="0.1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</row>
    <row r="1045" spans="1:28" ht="15.75" customHeight="1" x14ac:dyDescent="0.1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</row>
    <row r="1046" spans="1:28" ht="15.75" customHeight="1" x14ac:dyDescent="0.1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</row>
    <row r="1047" spans="1:28" ht="15.75" customHeight="1" x14ac:dyDescent="0.1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</row>
    <row r="1048" spans="1:28" ht="15.75" customHeight="1" x14ac:dyDescent="0.1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</row>
    <row r="1049" spans="1:28" ht="15.75" customHeight="1" x14ac:dyDescent="0.1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</row>
    <row r="1050" spans="1:28" ht="15.75" customHeight="1" x14ac:dyDescent="0.1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</row>
    <row r="1051" spans="1:28" ht="15.75" customHeight="1" x14ac:dyDescent="0.1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</row>
    <row r="1052" spans="1:28" ht="15.75" customHeight="1" x14ac:dyDescent="0.1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</row>
    <row r="1053" spans="1:28" ht="15.75" customHeight="1" x14ac:dyDescent="0.1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</row>
    <row r="1054" spans="1:28" ht="15.75" customHeight="1" x14ac:dyDescent="0.1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</row>
    <row r="1055" spans="1:28" ht="15.75" customHeight="1" x14ac:dyDescent="0.1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</row>
    <row r="1056" spans="1:28" ht="15.75" customHeight="1" x14ac:dyDescent="0.1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</row>
    <row r="1057" spans="1:28" ht="15.75" customHeight="1" x14ac:dyDescent="0.1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</row>
    <row r="1058" spans="1:28" ht="15.75" customHeight="1" x14ac:dyDescent="0.1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</row>
    <row r="1059" spans="1:28" ht="15.75" customHeight="1" x14ac:dyDescent="0.1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</row>
    <row r="1060" spans="1:28" ht="15.75" customHeight="1" x14ac:dyDescent="0.1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</row>
    <row r="1061" spans="1:28" ht="15.75" customHeight="1" x14ac:dyDescent="0.1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</row>
    <row r="1062" spans="1:28" ht="15.75" customHeight="1" x14ac:dyDescent="0.1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</row>
    <row r="1063" spans="1:28" ht="15.75" customHeight="1" x14ac:dyDescent="0.1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</row>
    <row r="1064" spans="1:28" ht="15.75" customHeight="1" x14ac:dyDescent="0.1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</row>
    <row r="1065" spans="1:28" ht="15.75" customHeight="1" x14ac:dyDescent="0.1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</row>
    <row r="1066" spans="1:28" ht="15.75" customHeight="1" x14ac:dyDescent="0.1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</row>
    <row r="1067" spans="1:28" ht="15.75" customHeight="1" x14ac:dyDescent="0.1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</row>
    <row r="1068" spans="1:28" ht="15.75" customHeight="1" x14ac:dyDescent="0.1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</row>
    <row r="1069" spans="1:28" ht="15.75" customHeight="1" x14ac:dyDescent="0.1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</row>
    <row r="1070" spans="1:28" ht="15.75" customHeight="1" x14ac:dyDescent="0.1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</row>
    <row r="1071" spans="1:28" ht="15.75" customHeight="1" x14ac:dyDescent="0.1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</row>
    <row r="1072" spans="1:28" ht="15.75" customHeight="1" x14ac:dyDescent="0.1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</row>
    <row r="1073" spans="1:28" ht="15.75" customHeight="1" x14ac:dyDescent="0.1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</row>
    <row r="1074" spans="1:28" ht="15.75" customHeight="1" x14ac:dyDescent="0.1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</row>
    <row r="1075" spans="1:28" ht="15.75" customHeight="1" x14ac:dyDescent="0.1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</row>
    <row r="1076" spans="1:28" ht="15.75" customHeight="1" x14ac:dyDescent="0.1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</row>
    <row r="1077" spans="1:28" ht="15.75" customHeight="1" x14ac:dyDescent="0.1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</row>
    <row r="1078" spans="1:28" ht="15.75" customHeight="1" x14ac:dyDescent="0.1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</row>
    <row r="1079" spans="1:28" ht="15.75" customHeight="1" x14ac:dyDescent="0.1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</row>
    <row r="1080" spans="1:28" ht="15.75" customHeight="1" x14ac:dyDescent="0.1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</row>
    <row r="1081" spans="1:28" ht="15.75" customHeight="1" x14ac:dyDescent="0.1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</row>
    <row r="1082" spans="1:28" ht="15.75" customHeight="1" x14ac:dyDescent="0.1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</row>
    <row r="1083" spans="1:28" ht="15.75" customHeight="1" x14ac:dyDescent="0.1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</row>
    <row r="1084" spans="1:28" ht="15.75" customHeight="1" x14ac:dyDescent="0.1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</row>
    <row r="1085" spans="1:28" ht="15.75" customHeight="1" x14ac:dyDescent="0.1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</row>
    <row r="1086" spans="1:28" ht="15.75" customHeight="1" x14ac:dyDescent="0.1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</row>
    <row r="1087" spans="1:28" ht="15.75" customHeight="1" x14ac:dyDescent="0.1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59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</row>
    <row r="1088" spans="1:28" ht="15" x14ac:dyDescent="0.1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59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</row>
    <row r="1089" spans="1:28" ht="15" x14ac:dyDescent="0.1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59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</row>
    <row r="1090" spans="1:28" ht="15" x14ac:dyDescent="0.1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59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</row>
    <row r="1091" spans="1:28" ht="15" x14ac:dyDescent="0.1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59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</row>
    <row r="1092" spans="1:28" ht="15" x14ac:dyDescent="0.1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59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</row>
    <row r="1093" spans="1:28" ht="15" x14ac:dyDescent="0.1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59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</row>
    <row r="1094" spans="1:28" ht="15" x14ac:dyDescent="0.1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</row>
    <row r="1095" spans="1:28" ht="15" x14ac:dyDescent="0.1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</row>
    <row r="1096" spans="1:28" ht="15" x14ac:dyDescent="0.15">
      <c r="A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</row>
    <row r="1097" spans="1:28" ht="15" x14ac:dyDescent="0.15">
      <c r="A1097" s="2"/>
      <c r="C1097" s="2"/>
      <c r="D1097" s="2"/>
      <c r="E1097" s="2"/>
      <c r="F1097" s="2"/>
      <c r="G1097" s="2"/>
      <c r="H1097" s="2"/>
      <c r="I1097" s="2"/>
      <c r="J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</row>
    <row r="1098" spans="1:28" ht="15" x14ac:dyDescent="0.15">
      <c r="A1098" s="2"/>
      <c r="C1098" s="2"/>
      <c r="D1098" s="2"/>
      <c r="E1098" s="2"/>
      <c r="F1098" s="2"/>
      <c r="G1098" s="2"/>
      <c r="H1098" s="2"/>
      <c r="I1098" s="2"/>
      <c r="J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</row>
  </sheetData>
  <mergeCells count="17">
    <mergeCell ref="K158:L158"/>
    <mergeCell ref="K159:L159"/>
    <mergeCell ref="K160:L160"/>
    <mergeCell ref="L19:L20"/>
    <mergeCell ref="M19:M20"/>
    <mergeCell ref="L32:L34"/>
    <mergeCell ref="M32:M34"/>
    <mergeCell ref="K156:L156"/>
    <mergeCell ref="K157:L157"/>
    <mergeCell ref="C9:G9"/>
    <mergeCell ref="I9:L9"/>
    <mergeCell ref="I10:K10"/>
    <mergeCell ref="I11:K11"/>
    <mergeCell ref="L13:M13"/>
    <mergeCell ref="C14:F14"/>
    <mergeCell ref="H14:I14"/>
    <mergeCell ref="J14:K14"/>
  </mergeCells>
  <pageMargins left="0.7" right="0.7" top="0.75" bottom="0.75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QUOT + ADDITIONAL_2703202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triwahyu</dc:creator>
  <cp:lastModifiedBy>triwahyu</cp:lastModifiedBy>
  <dcterms:created xsi:type="dcterms:W3CDTF">2026-04-22T22:58:56Z</dcterms:created>
  <dcterms:modified xsi:type="dcterms:W3CDTF">2026-04-22T23:00:20Z</dcterms:modified>
</cp:coreProperties>
</file>