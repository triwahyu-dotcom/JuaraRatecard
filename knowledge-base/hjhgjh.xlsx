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yudiqitrick/Downloads/"/>
    </mc:Choice>
  </mc:AlternateContent>
  <xr:revisionPtr revIDLastSave="0" documentId="8_{ED78B380-7704-F543-8A24-DF171AB1F819}" xr6:coauthVersionLast="47" xr6:coauthVersionMax="47" xr10:uidLastSave="{00000000-0000-0000-0000-000000000000}"/>
  <bookViews>
    <workbookView xWindow="1180" yWindow="1620" windowWidth="27240" windowHeight="15640" xr2:uid="{AFEF0345-9DFD-484A-9C34-1FFEC0D4AB1C}"/>
  </bookViews>
  <sheets>
    <sheet name="CE -27032026" sheetId="1" r:id="rId1"/>
  </sheets>
  <externalReferences>
    <externalReference r:id="rId2"/>
  </externalReferences>
  <definedNames>
    <definedName name="_xlnm._FilterDatabase" localSheetId="0" hidden="1">'CE -27032026'!$Q$2:$Q$225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78" i="1" l="1"/>
  <c r="M273" i="1"/>
  <c r="O262" i="1"/>
  <c r="O259" i="1"/>
  <c r="AB242" i="1"/>
  <c r="Z242" i="1"/>
  <c r="Y242" i="1"/>
  <c r="X242" i="1"/>
  <c r="W242" i="1"/>
  <c r="U242" i="1"/>
  <c r="T242" i="1"/>
  <c r="S242" i="1"/>
  <c r="W239" i="1"/>
  <c r="M239" i="1"/>
  <c r="V237" i="1"/>
  <c r="V242" i="1" s="1"/>
  <c r="M237" i="1"/>
  <c r="Q230" i="1"/>
  <c r="Q229" i="1"/>
  <c r="AB225" i="1"/>
  <c r="Z224" i="1"/>
  <c r="Z223" i="1"/>
  <c r="Z222" i="1"/>
  <c r="Z221" i="1"/>
  <c r="Z220" i="1"/>
  <c r="Z219" i="1"/>
  <c r="Z218" i="1"/>
  <c r="Z217" i="1"/>
  <c r="Y216" i="1"/>
  <c r="AB216" i="1" s="1"/>
  <c r="AB213" i="1"/>
  <c r="U213" i="1"/>
  <c r="AW209" i="1"/>
  <c r="AB209" i="1"/>
  <c r="X208" i="1"/>
  <c r="AB208" i="1" s="1"/>
  <c r="AB207" i="1"/>
  <c r="X207" i="1"/>
  <c r="AW206" i="1"/>
  <c r="AB206" i="1"/>
  <c r="U206" i="1"/>
  <c r="M206" i="1"/>
  <c r="AW205" i="1"/>
  <c r="M205" i="1"/>
  <c r="AW203" i="1"/>
  <c r="U203" i="1"/>
  <c r="M203" i="1"/>
  <c r="AW202" i="1"/>
  <c r="Y202" i="1"/>
  <c r="AB202" i="1" s="1"/>
  <c r="M202" i="1"/>
  <c r="AW201" i="1"/>
  <c r="AB201" i="1"/>
  <c r="U201" i="1"/>
  <c r="M201" i="1"/>
  <c r="AW199" i="1"/>
  <c r="M199" i="1"/>
  <c r="O199" i="1" s="1"/>
  <c r="AW197" i="1"/>
  <c r="M197" i="1"/>
  <c r="AW196" i="1"/>
  <c r="AB196" i="1"/>
  <c r="U196" i="1"/>
  <c r="M196" i="1"/>
  <c r="AW193" i="1"/>
  <c r="M193" i="1"/>
  <c r="AW192" i="1"/>
  <c r="AB192" i="1"/>
  <c r="M192" i="1"/>
  <c r="V191" i="1"/>
  <c r="U190" i="1"/>
  <c r="X189" i="1"/>
  <c r="AW188" i="1"/>
  <c r="M188" i="1"/>
  <c r="AW187" i="1"/>
  <c r="M187" i="1"/>
  <c r="AW186" i="1"/>
  <c r="U186" i="1"/>
  <c r="X186" i="1" s="1"/>
  <c r="AB186" i="1" s="1"/>
  <c r="M186" i="1"/>
  <c r="AW182" i="1"/>
  <c r="AW181" i="1"/>
  <c r="M181" i="1"/>
  <c r="AW180" i="1"/>
  <c r="M180" i="1"/>
  <c r="AW179" i="1"/>
  <c r="M179" i="1"/>
  <c r="AW178" i="1"/>
  <c r="M178" i="1"/>
  <c r="Y177" i="1"/>
  <c r="AW176" i="1"/>
  <c r="AB176" i="1"/>
  <c r="Y176" i="1"/>
  <c r="M176" i="1"/>
  <c r="AW175" i="1"/>
  <c r="M175" i="1"/>
  <c r="AW174" i="1"/>
  <c r="AB174" i="1"/>
  <c r="Y174" i="1"/>
  <c r="M174" i="1"/>
  <c r="AW172" i="1"/>
  <c r="Y172" i="1"/>
  <c r="AB172" i="1" s="1"/>
  <c r="M172" i="1"/>
  <c r="AW170" i="1"/>
  <c r="AB170" i="1"/>
  <c r="Y170" i="1"/>
  <c r="M170" i="1"/>
  <c r="Y169" i="1"/>
  <c r="AB168" i="1"/>
  <c r="Y168" i="1"/>
  <c r="Y167" i="1"/>
  <c r="AW166" i="1"/>
  <c r="AB166" i="1"/>
  <c r="Y166" i="1"/>
  <c r="M166" i="1"/>
  <c r="Y165" i="1"/>
  <c r="AB164" i="1"/>
  <c r="Y164" i="1"/>
  <c r="Y163" i="1"/>
  <c r="AB163" i="1" s="1"/>
  <c r="AW162" i="1"/>
  <c r="Y162" i="1"/>
  <c r="AB162" i="1" s="1"/>
  <c r="M162" i="1"/>
  <c r="AW161" i="1"/>
  <c r="Y161" i="1"/>
  <c r="M161" i="1"/>
  <c r="Y160" i="1"/>
  <c r="AW159" i="1"/>
  <c r="Y159" i="1"/>
  <c r="AB159" i="1" s="1"/>
  <c r="M159" i="1"/>
  <c r="AW158" i="1"/>
  <c r="AB158" i="1"/>
  <c r="Y158" i="1"/>
  <c r="M158" i="1"/>
  <c r="U157" i="1"/>
  <c r="M157" i="1"/>
  <c r="AW156" i="1"/>
  <c r="AB156" i="1"/>
  <c r="Y156" i="1"/>
  <c r="AW155" i="1"/>
  <c r="AB155" i="1"/>
  <c r="Y155" i="1"/>
  <c r="M155" i="1"/>
  <c r="Y154" i="1"/>
  <c r="AW153" i="1"/>
  <c r="AB153" i="1"/>
  <c r="Y153" i="1"/>
  <c r="M153" i="1"/>
  <c r="AW152" i="1"/>
  <c r="Y152" i="1"/>
  <c r="AB152" i="1" s="1"/>
  <c r="M152" i="1"/>
  <c r="Y151" i="1"/>
  <c r="AW150" i="1"/>
  <c r="X150" i="1"/>
  <c r="AB150" i="1" s="1"/>
  <c r="M150" i="1"/>
  <c r="AW149" i="1"/>
  <c r="AB149" i="1"/>
  <c r="X149" i="1"/>
  <c r="M149" i="1"/>
  <c r="AW148" i="1"/>
  <c r="Y148" i="1"/>
  <c r="AB148" i="1" s="1"/>
  <c r="M148" i="1"/>
  <c r="AW147" i="1"/>
  <c r="AB147" i="1"/>
  <c r="Y147" i="1"/>
  <c r="M147" i="1"/>
  <c r="AW146" i="1"/>
  <c r="Y146" i="1"/>
  <c r="AB146" i="1" s="1"/>
  <c r="M146" i="1"/>
  <c r="U141" i="1"/>
  <c r="AW140" i="1"/>
  <c r="AB140" i="1"/>
  <c r="X140" i="1"/>
  <c r="U140" i="1"/>
  <c r="M140" i="1"/>
  <c r="AW139" i="1"/>
  <c r="U139" i="1"/>
  <c r="O139" i="1"/>
  <c r="M139" i="1"/>
  <c r="AW138" i="1"/>
  <c r="M138" i="1"/>
  <c r="O138" i="1" s="1"/>
  <c r="AW137" i="1"/>
  <c r="M137" i="1"/>
  <c r="O137" i="1" s="1"/>
  <c r="AW136" i="1"/>
  <c r="O136" i="1"/>
  <c r="U136" i="1" s="1"/>
  <c r="M136" i="1"/>
  <c r="X133" i="1"/>
  <c r="AB133" i="1" s="1"/>
  <c r="M133" i="1"/>
  <c r="AB132" i="1"/>
  <c r="X132" i="1"/>
  <c r="M132" i="1"/>
  <c r="T131" i="1"/>
  <c r="M131" i="1"/>
  <c r="V130" i="1"/>
  <c r="AB130" i="1" s="1"/>
  <c r="M130" i="1"/>
  <c r="X129" i="1"/>
  <c r="AB129" i="1" s="1"/>
  <c r="M129" i="1"/>
  <c r="X128" i="1"/>
  <c r="AB128" i="1" s="1"/>
  <c r="M128" i="1"/>
  <c r="AB127" i="1"/>
  <c r="X127" i="1"/>
  <c r="M127" i="1"/>
  <c r="AB126" i="1"/>
  <c r="X126" i="1"/>
  <c r="M126" i="1"/>
  <c r="AB125" i="1"/>
  <c r="X125" i="1"/>
  <c r="M125" i="1"/>
  <c r="O124" i="1"/>
  <c r="X124" i="1" s="1"/>
  <c r="AB124" i="1" s="1"/>
  <c r="M124" i="1"/>
  <c r="AW123" i="1"/>
  <c r="V123" i="1"/>
  <c r="M123" i="1"/>
  <c r="AW122" i="1"/>
  <c r="AB122" i="1"/>
  <c r="X122" i="1"/>
  <c r="M122" i="1"/>
  <c r="AW121" i="1"/>
  <c r="M121" i="1"/>
  <c r="S121" i="1" s="1"/>
  <c r="M120" i="1"/>
  <c r="M119" i="1"/>
  <c r="AW111" i="1"/>
  <c r="S111" i="1"/>
  <c r="M111" i="1"/>
  <c r="AW110" i="1"/>
  <c r="S110" i="1"/>
  <c r="Z110" i="1" s="1"/>
  <c r="AB110" i="1" s="1"/>
  <c r="M110" i="1"/>
  <c r="AA88" i="1"/>
  <c r="AA231" i="1" s="1"/>
  <c r="M88" i="1"/>
  <c r="O87" i="1"/>
  <c r="AB87" i="1" s="1"/>
  <c r="AW86" i="1"/>
  <c r="AB86" i="1"/>
  <c r="O86" i="1"/>
  <c r="AW85" i="1"/>
  <c r="O85" i="1"/>
  <c r="AB85" i="1" s="1"/>
  <c r="AW84" i="1"/>
  <c r="AB84" i="1"/>
  <c r="Y84" i="1"/>
  <c r="AW83" i="1"/>
  <c r="O83" i="1"/>
  <c r="AB83" i="1" s="1"/>
  <c r="AW82" i="1"/>
  <c r="AB82" i="1"/>
  <c r="AW80" i="1"/>
  <c r="M80" i="1"/>
  <c r="O80" i="1" s="1"/>
  <c r="AW79" i="1"/>
  <c r="X79" i="1"/>
  <c r="AB79" i="1" s="1"/>
  <c r="M79" i="1"/>
  <c r="AW78" i="1"/>
  <c r="AB78" i="1"/>
  <c r="X78" i="1"/>
  <c r="M78" i="1"/>
  <c r="AW77" i="1"/>
  <c r="Z77" i="1"/>
  <c r="AB77" i="1" s="1"/>
  <c r="S77" i="1"/>
  <c r="M77" i="1"/>
  <c r="AW76" i="1"/>
  <c r="Z76" i="1"/>
  <c r="AB76" i="1" s="1"/>
  <c r="S76" i="1"/>
  <c r="M76" i="1"/>
  <c r="AW75" i="1"/>
  <c r="Z75" i="1"/>
  <c r="S75" i="1"/>
  <c r="AB75" i="1" s="1"/>
  <c r="M75" i="1"/>
  <c r="AB74" i="1"/>
  <c r="AW73" i="1"/>
  <c r="Z73" i="1"/>
  <c r="AB73" i="1" s="1"/>
  <c r="S73" i="1"/>
  <c r="M73" i="1"/>
  <c r="AW72" i="1"/>
  <c r="Z72" i="1"/>
  <c r="AB72" i="1" s="1"/>
  <c r="S72" i="1"/>
  <c r="M72" i="1"/>
  <c r="AW71" i="1"/>
  <c r="Z71" i="1"/>
  <c r="S71" i="1"/>
  <c r="AB71" i="1" s="1"/>
  <c r="M71" i="1"/>
  <c r="AW70" i="1"/>
  <c r="S70" i="1"/>
  <c r="M70" i="1"/>
  <c r="M69" i="1"/>
  <c r="M68" i="1"/>
  <c r="AW64" i="1"/>
  <c r="S64" i="1"/>
  <c r="M64" i="1"/>
  <c r="AW47" i="1"/>
  <c r="M47" i="1"/>
  <c r="AW40" i="1"/>
  <c r="Z40" i="1"/>
  <c r="S40" i="1"/>
  <c r="M40" i="1"/>
  <c r="AW39" i="1"/>
  <c r="M39" i="1"/>
  <c r="AW38" i="1"/>
  <c r="M38" i="1"/>
  <c r="AW35" i="1"/>
  <c r="O35" i="1"/>
  <c r="M35" i="1"/>
  <c r="X34" i="1"/>
  <c r="AW33" i="1"/>
  <c r="X33" i="1"/>
  <c r="AB33" i="1" s="1"/>
  <c r="M33" i="1"/>
  <c r="AW28" i="1"/>
  <c r="AB28" i="1"/>
  <c r="U28" i="1"/>
  <c r="M28" i="1"/>
  <c r="AW10" i="1"/>
  <c r="AW212" i="1" s="1"/>
  <c r="M10" i="1"/>
  <c r="O10" i="1" s="1"/>
  <c r="AW7" i="1"/>
  <c r="M7" i="1"/>
  <c r="O7" i="1" s="1"/>
  <c r="AW5" i="1"/>
  <c r="M5" i="1"/>
  <c r="AW4" i="1"/>
  <c r="M4" i="1"/>
  <c r="S137" i="1" l="1"/>
  <c r="X137" i="1" s="1"/>
  <c r="O231" i="1"/>
  <c r="AB7" i="1"/>
  <c r="X7" i="1"/>
  <c r="S138" i="1"/>
  <c r="V199" i="1"/>
  <c r="V231" i="1" s="1"/>
  <c r="Y10" i="1"/>
  <c r="AB10" i="1" s="1"/>
  <c r="S10" i="1"/>
  <c r="AW216" i="1"/>
  <c r="AW225" i="1"/>
  <c r="AW228" i="1" s="1"/>
  <c r="AB139" i="1"/>
  <c r="S244" i="1"/>
  <c r="X136" i="1"/>
  <c r="AB136" i="1" s="1"/>
  <c r="U80" i="1"/>
  <c r="AB80" i="1" s="1"/>
  <c r="AB131" i="1"/>
  <c r="L212" i="1"/>
  <c r="L231" i="1" s="1"/>
  <c r="O244" i="1"/>
  <c r="O121" i="1"/>
  <c r="AB121" i="1" s="1"/>
  <c r="X139" i="1"/>
  <c r="Y157" i="1"/>
  <c r="AB157" i="1" s="1"/>
  <c r="T35" i="1"/>
  <c r="Z70" i="1"/>
  <c r="AB70" i="1" s="1"/>
  <c r="Z111" i="1"/>
  <c r="AB111" i="1" s="1"/>
  <c r="Z64" i="1"/>
  <c r="AB64" i="1" s="1"/>
  <c r="U131" i="1"/>
  <c r="AB40" i="1"/>
  <c r="O233" i="1" l="1"/>
  <c r="R244" i="1"/>
  <c r="M274" i="1"/>
  <c r="M275" i="1" s="1"/>
  <c r="M276" i="1" s="1"/>
  <c r="Y226" i="1"/>
  <c r="Y231" i="1"/>
  <c r="Z226" i="1"/>
  <c r="AB199" i="1"/>
  <c r="Z231" i="1"/>
  <c r="X138" i="1"/>
  <c r="X231" i="1" s="1"/>
  <c r="AB137" i="1"/>
  <c r="T231" i="1"/>
  <c r="T226" i="1"/>
  <c r="U226" i="1"/>
  <c r="U231" i="1"/>
  <c r="W35" i="1"/>
  <c r="O275" i="1"/>
  <c r="O276" i="1" s="1"/>
  <c r="S231" i="1"/>
  <c r="S226" i="1"/>
  <c r="X226" i="1"/>
  <c r="W226" i="1" l="1"/>
  <c r="W231" i="1"/>
  <c r="AB138" i="1"/>
  <c r="AB35" i="1"/>
  <c r="AB231" i="1" l="1"/>
  <c r="S233" i="1" s="1"/>
  <c r="AB226" i="1"/>
  <c r="S246" i="1" l="1"/>
  <c r="S234" i="1"/>
  <c r="S249" i="1" l="1"/>
  <c r="M279" i="1"/>
  <c r="M280" i="1" s="1"/>
</calcChain>
</file>

<file path=xl/sharedStrings.xml><?xml version="1.0" encoding="utf-8"?>
<sst xmlns="http://schemas.openxmlformats.org/spreadsheetml/2006/main" count="1066" uniqueCount="381">
  <si>
    <t xml:space="preserve">NO </t>
  </si>
  <si>
    <t>ITEM / TASK</t>
  </si>
  <si>
    <t>SPECIFICATION</t>
  </si>
  <si>
    <t>QTY</t>
  </si>
  <si>
    <t>FREQ / DUR</t>
  </si>
  <si>
    <t>PRICE</t>
  </si>
  <si>
    <t>AMOUNT</t>
  </si>
  <si>
    <t>AC</t>
  </si>
  <si>
    <t>SPK/PO</t>
  </si>
  <si>
    <t>VENDOR</t>
  </si>
  <si>
    <t>BANK ACCOUNT</t>
  </si>
  <si>
    <t>TOP</t>
  </si>
  <si>
    <t>SISA TAGIHAN</t>
  </si>
  <si>
    <t>A</t>
  </si>
  <si>
    <t>PLANNING &amp; DEVELOPMENT</t>
  </si>
  <si>
    <t>RFP</t>
  </si>
  <si>
    <t>Invoice</t>
  </si>
  <si>
    <t>Concept &amp; Ideation Development</t>
  </si>
  <si>
    <t>Creative Concept</t>
  </si>
  <si>
    <t>pckg</t>
  </si>
  <si>
    <t>time</t>
  </si>
  <si>
    <t>Aundience Flow Plan</t>
  </si>
  <si>
    <t>Creative Design</t>
  </si>
  <si>
    <t>2D Visual</t>
  </si>
  <si>
    <t xml:space="preserve">WIDIA 3D </t>
  </si>
  <si>
    <t>Done</t>
  </si>
  <si>
    <t>3D Visual</t>
  </si>
  <si>
    <t>Multimedia</t>
  </si>
  <si>
    <t>Bumper - Bumper</t>
  </si>
  <si>
    <t>1</t>
  </si>
  <si>
    <t>MATA VISUAL</t>
  </si>
  <si>
    <t>BCA - 2030650886 (Imam Nova Rahadian)</t>
  </si>
  <si>
    <t>Opening</t>
  </si>
  <si>
    <t>Event</t>
  </si>
  <si>
    <t>Transisi</t>
  </si>
  <si>
    <t>Speaker</t>
  </si>
  <si>
    <t>DPN</t>
  </si>
  <si>
    <t>Manifesto Video</t>
  </si>
  <si>
    <t>provide by TVD Asia</t>
  </si>
  <si>
    <t>B</t>
  </si>
  <si>
    <t>PERMIT &amp; RETRIBUSI</t>
  </si>
  <si>
    <t>Event Permit</t>
  </si>
  <si>
    <t>POLSEK</t>
  </si>
  <si>
    <t>provide by hotel</t>
  </si>
  <si>
    <t>provide by Hotel</t>
  </si>
  <si>
    <t>POLRES</t>
  </si>
  <si>
    <t>POLDA</t>
  </si>
  <si>
    <t>Kordinasi Kawasan</t>
  </si>
  <si>
    <t>PAM</t>
  </si>
  <si>
    <t>pax</t>
  </si>
  <si>
    <t>DISHUB</t>
  </si>
  <si>
    <t>Medic</t>
  </si>
  <si>
    <t>Ambulance &amp; Medic Reguler</t>
  </si>
  <si>
    <t>inc medic tools, doctor &amp; team</t>
  </si>
  <si>
    <t>unit</t>
  </si>
  <si>
    <t>C</t>
  </si>
  <si>
    <t>VENUE SETUP &amp; SYSTEM</t>
  </si>
  <si>
    <t>Outdoor area</t>
  </si>
  <si>
    <t>Welcome Banner</t>
  </si>
  <si>
    <t>1x5m</t>
  </si>
  <si>
    <t>DAXSO</t>
  </si>
  <si>
    <t>Pemasangan Banner</t>
  </si>
  <si>
    <t>SG PROD</t>
  </si>
  <si>
    <t>T banner</t>
  </si>
  <si>
    <t>3x1m, iron frame</t>
  </si>
  <si>
    <t>BCA - 0670706117 (YANTO SUGIANTO)</t>
  </si>
  <si>
    <t>Registration Setup</t>
  </si>
  <si>
    <t>Registration System</t>
  </si>
  <si>
    <t>Registration Tools</t>
  </si>
  <si>
    <t>scanner</t>
  </si>
  <si>
    <t>Registration Backdrop</t>
  </si>
  <si>
    <t>366x244cm, multiplek, fin felxy printing</t>
  </si>
  <si>
    <t>set</t>
  </si>
  <si>
    <t>KOBINDO</t>
  </si>
  <si>
    <t>BCA - 765-0524271 (RANDI PURNOMO)</t>
  </si>
  <si>
    <t>Que Line</t>
  </si>
  <si>
    <t>Signage</t>
  </si>
  <si>
    <t>IBM Table</t>
  </si>
  <si>
    <t>by venue</t>
  </si>
  <si>
    <t>Futura Chairs</t>
  </si>
  <si>
    <t>Talent Room</t>
  </si>
  <si>
    <t>FullBody Mirror</t>
  </si>
  <si>
    <t>Futura Chair</t>
  </si>
  <si>
    <t>GAPEMPI Comittee Room</t>
  </si>
  <si>
    <t>EO Comittee Room</t>
  </si>
  <si>
    <t>Ajudan Area</t>
  </si>
  <si>
    <t>Foyer Area</t>
  </si>
  <si>
    <t>Photowall / Doorstop</t>
  </si>
  <si>
    <t>Ballroom Area</t>
  </si>
  <si>
    <t>Main Stage</t>
  </si>
  <si>
    <t>Level 1 Stage / Front Lower</t>
  </si>
  <si>
    <t>854x122x20cm. multiplek, fin white matte melamint</t>
  </si>
  <si>
    <t>Level 2 Stage / Centre Middle</t>
  </si>
  <si>
    <t>1220x240x40cm. hotel module, fin white matte melamint</t>
  </si>
  <si>
    <t>Level 3 Stage / Back Upper</t>
  </si>
  <si>
    <t>1220x60x60cm. multiplek, fin white matte melamint</t>
  </si>
  <si>
    <t>Stairs</t>
  </si>
  <si>
    <t>60x40x10cm</t>
  </si>
  <si>
    <t>Side Stage</t>
  </si>
  <si>
    <t>Choir Stage</t>
  </si>
  <si>
    <t>366x366x10cm, 2 layer, multiplek, fin white matte melamint</t>
  </si>
  <si>
    <t>Band Stage</t>
  </si>
  <si>
    <t>366x366x10cm, multiplek, fin white matte melamint</t>
  </si>
  <si>
    <t>Side Backdrop</t>
  </si>
  <si>
    <t>300x210cm, multiplek fin flexy printing</t>
  </si>
  <si>
    <t>Podium Speech</t>
  </si>
  <si>
    <t>polyform sticker</t>
  </si>
  <si>
    <t>Mini Garden</t>
  </si>
  <si>
    <t>mtr</t>
  </si>
  <si>
    <t>day</t>
  </si>
  <si>
    <t>EL BRAMO</t>
  </si>
  <si>
    <t>BCA - 0272556529  (Bramantya Putra Pradhikta )</t>
  </si>
  <si>
    <t>Pataka + Flag</t>
  </si>
  <si>
    <t>merah putih flag, GAPEMPI flag</t>
  </si>
  <si>
    <t>LOGISTIK</t>
  </si>
  <si>
    <t>BCA - 3452486510 (Rosyid Alfaoni)</t>
  </si>
  <si>
    <t>aset Juara</t>
  </si>
  <si>
    <t>LED System 8x3m</t>
  </si>
  <si>
    <t>p2.6. dim.3x8, inc GR H-1</t>
  </si>
  <si>
    <t>m2</t>
  </si>
  <si>
    <t>LED Stage</t>
  </si>
  <si>
    <t>TV Monitor (Matador)</t>
  </si>
  <si>
    <t>55inch</t>
  </si>
  <si>
    <t>S - Net</t>
  </si>
  <si>
    <t>BCA - 4741258786 (Muhammad Fahri Dar)</t>
  </si>
  <si>
    <t>Sound System 10.000 watt</t>
  </si>
  <si>
    <t>sub, mid, monitor, band setup, wireless, clip on, goose neck, condensor. inc GR H-1</t>
  </si>
  <si>
    <t>Lighting System</t>
  </si>
  <si>
    <t>4 beam, 8 parled, 8 fresnell</t>
  </si>
  <si>
    <t>Generator 150KVA</t>
  </si>
  <si>
    <t>inc GR H-1 &amp; overtime</t>
  </si>
  <si>
    <t>Cancelation Fee</t>
  </si>
  <si>
    <t>FLAT PROD</t>
  </si>
  <si>
    <t>LiveCam</t>
  </si>
  <si>
    <t>3 camera. 1 master, 1 mobile</t>
  </si>
  <si>
    <t>Live Streaming on Youtube</t>
  </si>
  <si>
    <t>Kamera Sony NX5 + Tripod</t>
  </si>
  <si>
    <t>Wireless Video Sender 2</t>
  </si>
  <si>
    <t>Video Switcher 1</t>
  </si>
  <si>
    <t>SDI Video Cabling 3</t>
  </si>
  <si>
    <t>Video Capture Card 1</t>
  </si>
  <si>
    <t>Clear Comm 6</t>
  </si>
  <si>
    <t>Audio Cabling 2</t>
  </si>
  <si>
    <t>Audio Capture Card 1</t>
  </si>
  <si>
    <t>Sounding Mixing Set for Stream</t>
  </si>
  <si>
    <t>PC vMIX Video Processor 1</t>
  </si>
  <si>
    <t>Laptop Video Player 1</t>
  </si>
  <si>
    <t>Laptop Monitor 1</t>
  </si>
  <si>
    <t>PC vMIX Steamer 1</t>
  </si>
  <si>
    <t>Gigabit Switch Hub 4 Port</t>
  </si>
  <si>
    <t>HDMI Splitter 1 to 2 (1)</t>
  </si>
  <si>
    <t>HDMI Splitter 1 to 4 (1)</t>
  </si>
  <si>
    <t>Cabling, Converter &amp; Connector</t>
  </si>
  <si>
    <t>Internet Live Streaming</t>
  </si>
  <si>
    <t>100mbps dedicated 1:1</t>
  </si>
  <si>
    <t>provide by client</t>
  </si>
  <si>
    <t>FOH</t>
  </si>
  <si>
    <t>Cover FOH</t>
  </si>
  <si>
    <t>122x854</t>
  </si>
  <si>
    <t>Camera Stage</t>
  </si>
  <si>
    <t>122x244x40cm</t>
  </si>
  <si>
    <t>Round Table</t>
  </si>
  <si>
    <t>Centrepiece</t>
  </si>
  <si>
    <t>D</t>
  </si>
  <si>
    <t>PARTICIPANT / AUDIENCE</t>
  </si>
  <si>
    <t>Lunch Package</t>
  </si>
  <si>
    <t>by GAPEMPI</t>
  </si>
  <si>
    <t>VVIP Merchandise</t>
  </si>
  <si>
    <t>Invitation (Special Design)</t>
  </si>
  <si>
    <t>A5; Artboard/Art Carton + Envelope</t>
  </si>
  <si>
    <t>pcs</t>
  </si>
  <si>
    <t>STEVEN</t>
  </si>
  <si>
    <t>BCA - 3091329083 (STEVEN FERNANDO)</t>
  </si>
  <si>
    <t>Buku Profil GAPEMPI</t>
  </si>
  <si>
    <t>A5; Art Paper Finishing Glossy Staples Tengah Booklet 4 Lembar 8 Halaman; 150gsm</t>
  </si>
  <si>
    <t>Lanyard + ID Card</t>
  </si>
  <si>
    <t>VIP</t>
  </si>
  <si>
    <t>Invitee</t>
  </si>
  <si>
    <t>Media</t>
  </si>
  <si>
    <t>Comittee</t>
  </si>
  <si>
    <t>Talent dan EO</t>
  </si>
  <si>
    <t>lanyard polos &amp; cetak art paper</t>
  </si>
  <si>
    <t>Peserta</t>
  </si>
  <si>
    <t>Buku Hasil Munas I GAPEMPI</t>
  </si>
  <si>
    <t>PRAMUKA DIGITAL</t>
  </si>
  <si>
    <t>BCA SYARIAH - 0010474930 (EKY PRAWIRA)</t>
  </si>
  <si>
    <t>Plakat</t>
  </si>
  <si>
    <t>ARTA ADVERTISING</t>
  </si>
  <si>
    <t>BCA - 6042091321 (Wahyu Setiawan)</t>
  </si>
  <si>
    <t>Tent Card</t>
  </si>
  <si>
    <t>A5</t>
  </si>
  <si>
    <t>Sticker seating arrangement</t>
  </si>
  <si>
    <t>A6</t>
  </si>
  <si>
    <t>E</t>
  </si>
  <si>
    <t>TALENTS</t>
  </si>
  <si>
    <t>MC</t>
  </si>
  <si>
    <t>incl.RIders &amp; GR</t>
  </si>
  <si>
    <t xml:space="preserve">REVI </t>
  </si>
  <si>
    <t>BCA - 8420239981 (Revi Udma Jastra)</t>
  </si>
  <si>
    <t>Dancer</t>
  </si>
  <si>
    <t>Incl.Riders &amp; GR; Saman + Tari Nusantara</t>
  </si>
  <si>
    <t>team</t>
  </si>
  <si>
    <t>UNPAZZ DANCER</t>
  </si>
  <si>
    <t>BCA - 6975060474 (Dwi Kurniawan)</t>
  </si>
  <si>
    <t>Choir</t>
  </si>
  <si>
    <t>30 pax. Incl.Riders &amp; GR</t>
  </si>
  <si>
    <t>HARMONI CHOIR</t>
  </si>
  <si>
    <t>BCA - 0073019319 (Abraham P)</t>
  </si>
  <si>
    <t>Home Band</t>
  </si>
  <si>
    <t>5 pax, 2 hours</t>
  </si>
  <si>
    <t xml:space="preserve">DIDI EMERALD </t>
  </si>
  <si>
    <t>BCA - 1691892323 (Didik Maulana)</t>
  </si>
  <si>
    <t>Paskibra</t>
  </si>
  <si>
    <t>8 personil (6 Laki-laki; 2 Perempuan)</t>
  </si>
  <si>
    <t>LEONI</t>
  </si>
  <si>
    <t>BCA - 7332171617 (Robiatul Adawiyah)</t>
  </si>
  <si>
    <t>Riders Talent</t>
  </si>
  <si>
    <t>Pembaca Doa</t>
  </si>
  <si>
    <t>by client</t>
  </si>
  <si>
    <t>F</t>
  </si>
  <si>
    <t>COMMITTEE</t>
  </si>
  <si>
    <t>ManPower</t>
  </si>
  <si>
    <t>Project Manager</t>
  </si>
  <si>
    <t>event</t>
  </si>
  <si>
    <t>Joko Santoso</t>
  </si>
  <si>
    <t>7670443307 (BCA)</t>
  </si>
  <si>
    <t>PO / Head Program</t>
  </si>
  <si>
    <t>Reza Aditya</t>
  </si>
  <si>
    <t>2210093209 (BCA)</t>
  </si>
  <si>
    <t>Traffic</t>
  </si>
  <si>
    <t>Production Head</t>
  </si>
  <si>
    <t>Bramantya Putra Pradhikta</t>
  </si>
  <si>
    <t>0272556529 (BCA)</t>
  </si>
  <si>
    <t>Production Crew</t>
  </si>
  <si>
    <t>prs</t>
  </si>
  <si>
    <t>Bramantya Putra Pradhikta (team)</t>
  </si>
  <si>
    <t>Logistics Head</t>
  </si>
  <si>
    <t>Rosyid Alfatoni</t>
  </si>
  <si>
    <t>3452486510 (BCA)</t>
  </si>
  <si>
    <t>Logistic Crew</t>
  </si>
  <si>
    <t>Adi Prastyono</t>
  </si>
  <si>
    <t>3450429961 (BCA)</t>
  </si>
  <si>
    <t>Dimas Putro Wisono</t>
  </si>
  <si>
    <t>5859458218956408 (neo bank)</t>
  </si>
  <si>
    <t>Runner</t>
  </si>
  <si>
    <t>Rizky Wandi Saputra</t>
  </si>
  <si>
    <t>3450817961 (BCA)</t>
  </si>
  <si>
    <t>Maulana Rasyid</t>
  </si>
  <si>
    <t>7655312013 (BCA)</t>
  </si>
  <si>
    <t>Show Management</t>
  </si>
  <si>
    <t>show director, stage manager, stage crew, VJ, LO MC</t>
  </si>
  <si>
    <t>Agung Hardiawan, SH</t>
  </si>
  <si>
    <t>5420389291 (BCA)</t>
  </si>
  <si>
    <t>Talent Coordinator</t>
  </si>
  <si>
    <t>Widdy Zanwar Kusmiaty</t>
  </si>
  <si>
    <t>2191351594 (BCA)</t>
  </si>
  <si>
    <t>LO Talent</t>
  </si>
  <si>
    <t>Nur Alamsyah</t>
  </si>
  <si>
    <t>1663412675 (BCA)</t>
  </si>
  <si>
    <t>R. Famal Suwanda</t>
  </si>
  <si>
    <t>7265115390 (BCA)</t>
  </si>
  <si>
    <t>Floor Head</t>
  </si>
  <si>
    <t>Floor Crew</t>
  </si>
  <si>
    <t>Septian Bayu Adji</t>
  </si>
  <si>
    <t>0670201694 (BCA)</t>
  </si>
  <si>
    <t>Dody Febrianto</t>
  </si>
  <si>
    <t>7030390169 (BCA)</t>
  </si>
  <si>
    <t>Eka Rachmadhany</t>
  </si>
  <si>
    <t>7105190204 (BCA)</t>
  </si>
  <si>
    <t>Hari Wibowo</t>
  </si>
  <si>
    <t>1652349654 (BCA</t>
  </si>
  <si>
    <t>Registration Crew</t>
  </si>
  <si>
    <t>Ambarukmi hayuning tyas</t>
  </si>
  <si>
    <t>8705340915 (BCA)</t>
  </si>
  <si>
    <t>Naufal Shafly Rachman</t>
  </si>
  <si>
    <t>1219072889 (BNI)</t>
  </si>
  <si>
    <t>Registration Crew VVIP</t>
  </si>
  <si>
    <t>Kania Yuniar</t>
  </si>
  <si>
    <t>1380905767 (BCA)</t>
  </si>
  <si>
    <t>Muhammad Arbia Rijaldi</t>
  </si>
  <si>
    <t>2221 0102 8176 506 (BRI)</t>
  </si>
  <si>
    <t>Usher</t>
  </si>
  <si>
    <t>Aprilia Fatimah</t>
  </si>
  <si>
    <t>0941583333 (BCA)</t>
  </si>
  <si>
    <t>Safety &amp; Security Officer</t>
  </si>
  <si>
    <t>SSO</t>
  </si>
  <si>
    <t>Media Handling</t>
  </si>
  <si>
    <t>M. Rayhan Fikrizal</t>
  </si>
  <si>
    <t>6830490483 (BCA)</t>
  </si>
  <si>
    <t>VIP Handling</t>
  </si>
  <si>
    <t>VIP Handling Crew</t>
  </si>
  <si>
    <t>Fahreza Putra Prasetyo</t>
  </si>
  <si>
    <t>8691793982 (BCA)</t>
  </si>
  <si>
    <t>Jacinda Najla Bashira</t>
  </si>
  <si>
    <t>5771536621 (BCA)</t>
  </si>
  <si>
    <t>Internal Guard Head</t>
  </si>
  <si>
    <t>Internal Guard</t>
  </si>
  <si>
    <t>Parking Head</t>
  </si>
  <si>
    <t>Parking Crew</t>
  </si>
  <si>
    <t>Documentation</t>
  </si>
  <si>
    <t>photo &amp; video</t>
  </si>
  <si>
    <t>OPS &amp; LOGISTIC</t>
  </si>
  <si>
    <t>Meals</t>
  </si>
  <si>
    <t>Team</t>
  </si>
  <si>
    <t>2 times per day (2x2 days)</t>
  </si>
  <si>
    <t>times</t>
  </si>
  <si>
    <t>Yum Yum Catering</t>
  </si>
  <si>
    <t>BCA – 7105236760 A.n Febri Nina Fath Ratu</t>
  </si>
  <si>
    <t>Talent</t>
  </si>
  <si>
    <t>Vendor</t>
  </si>
  <si>
    <t>Snack box talent</t>
  </si>
  <si>
    <t>Reza</t>
  </si>
  <si>
    <t>BCA - 2210093209 (REZA ADITYA PRATAMA)</t>
  </si>
  <si>
    <t>Meals Dancer GR H-1</t>
  </si>
  <si>
    <t>AMDK</t>
  </si>
  <si>
    <t>330ml</t>
  </si>
  <si>
    <t>box</t>
  </si>
  <si>
    <t>Refreshment</t>
  </si>
  <si>
    <t>Transport</t>
  </si>
  <si>
    <t>Core team</t>
  </si>
  <si>
    <t>inc gas, toll, park</t>
  </si>
  <si>
    <t>Logistic</t>
  </si>
  <si>
    <t>Accomodation</t>
  </si>
  <si>
    <t>rooms</t>
  </si>
  <si>
    <t>night</t>
  </si>
  <si>
    <t xml:space="preserve">Reza </t>
  </si>
  <si>
    <t>Comms</t>
  </si>
  <si>
    <t>HT</t>
  </si>
  <si>
    <t>wlan</t>
  </si>
  <si>
    <t>Clearcom</t>
  </si>
  <si>
    <t>Internet</t>
  </si>
  <si>
    <t>modem orbit</t>
  </si>
  <si>
    <t>Usher Costume</t>
  </si>
  <si>
    <t>Uniform + Hairdo</t>
  </si>
  <si>
    <t>Stationaries</t>
  </si>
  <si>
    <t xml:space="preserve">Printing Signage </t>
  </si>
  <si>
    <t>Fire Extinguisher / APAR</t>
  </si>
  <si>
    <t>Total</t>
  </si>
  <si>
    <t>Operasional</t>
  </si>
  <si>
    <t>Mandiri - 1340007279853 (Eka Marutha Yuswardhana)</t>
  </si>
  <si>
    <t>Manpower</t>
  </si>
  <si>
    <t>Management Fee 10%</t>
  </si>
  <si>
    <t>Om Eka</t>
  </si>
  <si>
    <t>Tegar</t>
  </si>
  <si>
    <t>BCA - 5271396253 (Tegar Dhewandaru)</t>
  </si>
  <si>
    <t>Sindy</t>
  </si>
  <si>
    <t>BCA - 4971334104 (Sindy Praishella Pinontoan)</t>
  </si>
  <si>
    <t>Rama (include 3 security)</t>
  </si>
  <si>
    <t>BCA - 1809999449 (Prastyo Cahya Ramadan)</t>
  </si>
  <si>
    <t>Fina</t>
  </si>
  <si>
    <t>BCA - 2740430575 (Serafina Nolani)</t>
  </si>
  <si>
    <t xml:space="preserve">Citra </t>
  </si>
  <si>
    <t>BCA - 6290508108 (Citra Engla Vasella)</t>
  </si>
  <si>
    <t>Widya</t>
  </si>
  <si>
    <t>BCA - 80304027999 (Widya Paramudhita)</t>
  </si>
  <si>
    <t xml:space="preserve">Akbar </t>
  </si>
  <si>
    <t>BCA - 2720351369 (Mochamad Akbar Gumelar)</t>
  </si>
  <si>
    <t>Om eka</t>
  </si>
  <si>
    <t>Subtotal</t>
  </si>
  <si>
    <t>Rama</t>
  </si>
  <si>
    <t>Tax Base</t>
  </si>
  <si>
    <t>Tax 12%</t>
  </si>
  <si>
    <t>Citra</t>
  </si>
  <si>
    <t>Grand Total</t>
  </si>
  <si>
    <t>SELISIH CE &amp; MAIN AC</t>
  </si>
  <si>
    <t>Additional</t>
  </si>
  <si>
    <t>Add Choir</t>
  </si>
  <si>
    <t>Ustad</t>
  </si>
  <si>
    <t>BNI - 2012952033  a.n Ilham</t>
  </si>
  <si>
    <t>Riders Ustad</t>
  </si>
  <si>
    <t>Riders Pendeta</t>
  </si>
  <si>
    <t>TOTAL MAIN AC + ADDCOST</t>
  </si>
  <si>
    <t>Jakarta, 25 March 2026</t>
  </si>
  <si>
    <t>Created by,</t>
  </si>
  <si>
    <t>Approved by,</t>
  </si>
  <si>
    <t>Eka Marutha Yuswardana</t>
  </si>
  <si>
    <t>Chief Operating Officer</t>
  </si>
  <si>
    <t>TOTAL QUOT + ADDCOST</t>
  </si>
  <si>
    <t>TOTAL PRODUCTION</t>
  </si>
  <si>
    <t>MARGIN</t>
  </si>
  <si>
    <t>PROCENTAGE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</si>
</sst>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Rp&quot;* #,##0_);_(&quot;Rp&quot;* \(#,##0\);_(&quot;Rp&quot;* &quot;-&quot;_);_(@_)"/>
    <numFmt numFmtId="164" formatCode="d\ mmm"/>
    <numFmt numFmtId="165" formatCode="_-* #,##0_-;\-* #,##0_-;_-* &quot;-&quot;??_-;_-@"/>
    <numFmt numFmtId="166" formatCode="[$Rp]#,##0"/>
    <numFmt numFmtId="167" formatCode="#,##0.0"/>
    <numFmt numFmtId="168" formatCode="0.0"/>
  </numFmts>
  <fonts count="17" x14ac:knownFonts="1">
    <font>
      <sz val="10"/>
      <color rgb="FF000000"/>
      <name val="Arial"/>
      <family val="2"/>
      <scheme val="minor"/>
    </font>
    <font>
      <b/>
      <sz val="11"/>
      <color rgb="FFFFFFFF"/>
      <name val="Roboto"/>
    </font>
    <font>
      <sz val="10"/>
      <name val="Arial"/>
      <family val="2"/>
    </font>
    <font>
      <b/>
      <sz val="11"/>
      <color rgb="FF000000"/>
      <name val="Roboto"/>
    </font>
    <font>
      <b/>
      <sz val="11"/>
      <color theme="1"/>
      <name val="Roboto"/>
    </font>
    <font>
      <sz val="10"/>
      <color theme="1"/>
      <name val="Roboto"/>
    </font>
    <font>
      <sz val="11"/>
      <color theme="1"/>
      <name val="Roboto"/>
    </font>
    <font>
      <sz val="11"/>
      <color rgb="FF000000"/>
      <name val="Roboto"/>
    </font>
    <font>
      <sz val="11"/>
      <color rgb="FFFF0000"/>
      <name val="Roboto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b/>
      <sz val="10"/>
      <color theme="1"/>
      <name val="Roboto"/>
    </font>
    <font>
      <sz val="10"/>
      <color rgb="FF000000"/>
      <name val="Roboto"/>
    </font>
    <font>
      <b/>
      <sz val="12"/>
      <color theme="1"/>
      <name val="Roboto"/>
    </font>
    <font>
      <i/>
      <sz val="12"/>
      <color theme="1"/>
      <name val="Roboto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FFFFFF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FFFFFF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0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3" fontId="1" fillId="2" borderId="2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1" fillId="2" borderId="5" xfId="0" applyNumberFormat="1" applyFont="1" applyFill="1" applyBorder="1" applyAlignment="1">
      <alignment horizontal="center" vertical="center" wrapText="1"/>
    </xf>
    <xf numFmtId="3" fontId="1" fillId="2" borderId="5" xfId="0" applyNumberFormat="1" applyFont="1" applyFill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3" fontId="1" fillId="2" borderId="9" xfId="0" applyNumberFormat="1" applyFont="1" applyFill="1" applyBorder="1" applyAlignment="1">
      <alignment horizontal="center" vertical="center"/>
    </xf>
    <xf numFmtId="0" fontId="2" fillId="0" borderId="10" xfId="0" applyFont="1" applyBorder="1"/>
    <xf numFmtId="0" fontId="1" fillId="2" borderId="9" xfId="0" applyFont="1" applyFill="1" applyBorder="1" applyAlignment="1">
      <alignment horizontal="center" vertical="center"/>
    </xf>
    <xf numFmtId="3" fontId="1" fillId="2" borderId="11" xfId="0" applyNumberFormat="1" applyFont="1" applyFill="1" applyBorder="1" applyAlignment="1">
      <alignment horizontal="center" vertical="center" wrapText="1"/>
    </xf>
    <xf numFmtId="3" fontId="1" fillId="2" borderId="1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3" fontId="5" fillId="3" borderId="16" xfId="0" applyNumberFormat="1" applyFont="1" applyFill="1" applyBorder="1" applyAlignment="1">
      <alignment vertical="center" wrapText="1"/>
    </xf>
    <xf numFmtId="3" fontId="5" fillId="3" borderId="17" xfId="0" applyNumberFormat="1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42" fontId="3" fillId="3" borderId="17" xfId="0" applyNumberFormat="1" applyFont="1" applyFill="1" applyBorder="1" applyAlignment="1">
      <alignment horizontal="right" vertical="center"/>
    </xf>
    <xf numFmtId="3" fontId="3" fillId="3" borderId="18" xfId="0" applyNumberFormat="1" applyFont="1" applyFill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42" fontId="3" fillId="3" borderId="19" xfId="0" applyNumberFormat="1" applyFont="1" applyFill="1" applyBorder="1" applyAlignment="1">
      <alignment horizontal="center" vertical="center"/>
    </xf>
    <xf numFmtId="164" fontId="6" fillId="3" borderId="19" xfId="0" applyNumberFormat="1" applyFont="1" applyFill="1" applyBorder="1" applyAlignment="1">
      <alignment horizontal="center" vertical="center"/>
    </xf>
    <xf numFmtId="3" fontId="4" fillId="3" borderId="19" xfId="0" applyNumberFormat="1" applyFont="1" applyFill="1" applyBorder="1" applyAlignment="1">
      <alignment horizontal="center" vertical="center"/>
    </xf>
    <xf numFmtId="164" fontId="4" fillId="3" borderId="19" xfId="0" applyNumberFormat="1" applyFont="1" applyFill="1" applyBorder="1" applyAlignment="1">
      <alignment horizontal="center" vertical="center"/>
    </xf>
    <xf numFmtId="3" fontId="6" fillId="3" borderId="19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3" fontId="5" fillId="3" borderId="5" xfId="0" applyNumberFormat="1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42" fontId="5" fillId="3" borderId="5" xfId="0" applyNumberFormat="1" applyFont="1" applyFill="1" applyBorder="1" applyAlignment="1">
      <alignment vertical="center"/>
    </xf>
    <xf numFmtId="3" fontId="5" fillId="3" borderId="20" xfId="0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3" fontId="5" fillId="0" borderId="16" xfId="0" applyNumberFormat="1" applyFont="1" applyBorder="1" applyAlignment="1">
      <alignment vertical="center" wrapText="1"/>
    </xf>
    <xf numFmtId="3" fontId="5" fillId="4" borderId="5" xfId="0" applyNumberFormat="1" applyFont="1" applyFill="1" applyBorder="1" applyAlignment="1">
      <alignment vertical="center"/>
    </xf>
    <xf numFmtId="49" fontId="5" fillId="4" borderId="8" xfId="0" applyNumberFormat="1" applyFont="1" applyFill="1" applyBorder="1" applyAlignment="1">
      <alignment vertical="center"/>
    </xf>
    <xf numFmtId="49" fontId="5" fillId="4" borderId="5" xfId="0" applyNumberFormat="1" applyFont="1" applyFill="1" applyBorder="1" applyAlignment="1">
      <alignment vertical="center"/>
    </xf>
    <xf numFmtId="42" fontId="6" fillId="0" borderId="5" xfId="0" applyNumberFormat="1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165" fontId="6" fillId="0" borderId="0" xfId="0" applyNumberFormat="1" applyFont="1" applyAlignment="1">
      <alignment horizontal="right" vertical="center"/>
    </xf>
    <xf numFmtId="42" fontId="7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42" fontId="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42" fontId="5" fillId="0" borderId="5" xfId="0" applyNumberFormat="1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3" fontId="6" fillId="0" borderId="5" xfId="0" applyNumberFormat="1" applyFont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42" fontId="7" fillId="0" borderId="19" xfId="0" applyNumberFormat="1" applyFont="1" applyBorder="1" applyAlignment="1">
      <alignment horizontal="right" vertical="center"/>
    </xf>
    <xf numFmtId="42" fontId="7" fillId="0" borderId="23" xfId="0" applyNumberFormat="1" applyFont="1" applyBorder="1" applyAlignment="1">
      <alignment horizontal="right" vertical="center"/>
    </xf>
    <xf numFmtId="42" fontId="7" fillId="0" borderId="5" xfId="0" applyNumberFormat="1" applyFont="1" applyBorder="1" applyAlignment="1">
      <alignment horizontal="right" vertical="center"/>
    </xf>
    <xf numFmtId="42" fontId="7" fillId="0" borderId="0" xfId="0" applyNumberFormat="1" applyFont="1" applyAlignment="1">
      <alignment horizontal="center" vertical="center"/>
    </xf>
    <xf numFmtId="42" fontId="7" fillId="0" borderId="0" xfId="0" applyNumberFormat="1" applyFont="1" applyAlignment="1">
      <alignment horizontal="right" vertical="center"/>
    </xf>
    <xf numFmtId="42" fontId="6" fillId="0" borderId="19" xfId="0" applyNumberFormat="1" applyFont="1" applyBorder="1" applyAlignment="1">
      <alignment horizontal="right" vertical="center"/>
    </xf>
    <xf numFmtId="42" fontId="6" fillId="0" borderId="23" xfId="0" applyNumberFormat="1" applyFont="1" applyBorder="1" applyAlignment="1">
      <alignment horizontal="right" vertical="center"/>
    </xf>
    <xf numFmtId="0" fontId="6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 wrapText="1"/>
    </xf>
    <xf numFmtId="3" fontId="6" fillId="0" borderId="17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vertical="center"/>
    </xf>
    <xf numFmtId="3" fontId="5" fillId="0" borderId="16" xfId="0" applyNumberFormat="1" applyFont="1" applyBorder="1" applyAlignment="1">
      <alignment vertical="center"/>
    </xf>
    <xf numFmtId="42" fontId="5" fillId="0" borderId="19" xfId="0" applyNumberFormat="1" applyFont="1" applyBorder="1" applyAlignment="1">
      <alignment vertical="center"/>
    </xf>
    <xf numFmtId="42" fontId="5" fillId="0" borderId="23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42" fontId="7" fillId="0" borderId="19" xfId="0" applyNumberFormat="1" applyFont="1" applyBorder="1" applyAlignment="1">
      <alignment horizontal="right" vertical="center"/>
    </xf>
    <xf numFmtId="42" fontId="7" fillId="0" borderId="23" xfId="0" applyNumberFormat="1" applyFont="1" applyBorder="1" applyAlignment="1">
      <alignment horizontal="right" vertical="center"/>
    </xf>
    <xf numFmtId="42" fontId="7" fillId="5" borderId="5" xfId="0" applyNumberFormat="1" applyFont="1" applyFill="1" applyBorder="1" applyAlignment="1">
      <alignment horizontal="right" vertical="center"/>
    </xf>
    <xf numFmtId="42" fontId="6" fillId="0" borderId="19" xfId="0" applyNumberFormat="1" applyFont="1" applyBorder="1" applyAlignment="1">
      <alignment horizontal="right" vertical="center"/>
    </xf>
    <xf numFmtId="42" fontId="6" fillId="0" borderId="23" xfId="0" applyNumberFormat="1" applyFont="1" applyBorder="1" applyAlignment="1">
      <alignment horizontal="right" vertical="center"/>
    </xf>
    <xf numFmtId="3" fontId="5" fillId="0" borderId="15" xfId="0" applyNumberFormat="1" applyFont="1" applyBorder="1" applyAlignment="1">
      <alignment vertical="center" wrapText="1"/>
    </xf>
    <xf numFmtId="0" fontId="2" fillId="0" borderId="24" xfId="0" applyFont="1" applyBorder="1"/>
    <xf numFmtId="0" fontId="2" fillId="0" borderId="25" xfId="0" applyFont="1" applyBorder="1"/>
    <xf numFmtId="49" fontId="5" fillId="4" borderId="16" xfId="0" applyNumberFormat="1" applyFont="1" applyFill="1" applyBorder="1" applyAlignment="1">
      <alignment vertical="center"/>
    </xf>
    <xf numFmtId="42" fontId="6" fillId="0" borderId="19" xfId="0" applyNumberFormat="1" applyFont="1" applyBorder="1" applyAlignment="1">
      <alignment vertical="center"/>
    </xf>
    <xf numFmtId="3" fontId="6" fillId="4" borderId="5" xfId="0" applyNumberFormat="1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49" fontId="6" fillId="0" borderId="8" xfId="0" applyNumberFormat="1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42" fontId="7" fillId="0" borderId="20" xfId="0" applyNumberFormat="1" applyFont="1" applyBorder="1" applyAlignment="1">
      <alignment horizontal="right" vertical="center"/>
    </xf>
    <xf numFmtId="3" fontId="6" fillId="6" borderId="5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  <xf numFmtId="49" fontId="6" fillId="6" borderId="16" xfId="0" applyNumberFormat="1" applyFont="1" applyFill="1" applyBorder="1" applyAlignment="1">
      <alignment horizontal="center" vertical="center"/>
    </xf>
    <xf numFmtId="42" fontId="7" fillId="6" borderId="5" xfId="0" applyNumberFormat="1" applyFont="1" applyFill="1" applyBorder="1" applyAlignment="1">
      <alignment horizontal="right" vertical="center"/>
    </xf>
    <xf numFmtId="0" fontId="6" fillId="0" borderId="23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3" fillId="3" borderId="21" xfId="0" applyFont="1" applyFill="1" applyBorder="1" applyAlignment="1">
      <alignment horizontal="center" vertical="center"/>
    </xf>
    <xf numFmtId="3" fontId="5" fillId="3" borderId="8" xfId="0" applyNumberFormat="1" applyFont="1" applyFill="1" applyBorder="1" applyAlignment="1">
      <alignment vertical="center" wrapText="1"/>
    </xf>
    <xf numFmtId="42" fontId="3" fillId="3" borderId="26" xfId="0" applyNumberFormat="1" applyFont="1" applyFill="1" applyBorder="1" applyAlignment="1">
      <alignment horizontal="right" vertical="center"/>
    </xf>
    <xf numFmtId="3" fontId="3" fillId="3" borderId="27" xfId="0" applyNumberFormat="1" applyFont="1" applyFill="1" applyBorder="1" applyAlignment="1">
      <alignment horizontal="right" vertical="center"/>
    </xf>
    <xf numFmtId="42" fontId="3" fillId="3" borderId="5" xfId="0" applyNumberFormat="1" applyFont="1" applyFill="1" applyBorder="1" applyAlignment="1">
      <alignment horizontal="right" vertical="center"/>
    </xf>
    <xf numFmtId="42" fontId="5" fillId="3" borderId="17" xfId="0" applyNumberFormat="1" applyFont="1" applyFill="1" applyBorder="1" applyAlignment="1">
      <alignment vertical="center"/>
    </xf>
    <xf numFmtId="3" fontId="5" fillId="3" borderId="18" xfId="0" applyNumberFormat="1" applyFont="1" applyFill="1" applyBorder="1" applyAlignment="1">
      <alignment vertical="center"/>
    </xf>
    <xf numFmtId="0" fontId="6" fillId="0" borderId="14" xfId="0" applyFont="1" applyBorder="1" applyAlignment="1">
      <alignment vertical="center"/>
    </xf>
    <xf numFmtId="3" fontId="5" fillId="0" borderId="8" xfId="0" applyNumberFormat="1" applyFont="1" applyBorder="1" applyAlignment="1">
      <alignment vertical="center" wrapText="1"/>
    </xf>
    <xf numFmtId="1" fontId="5" fillId="0" borderId="5" xfId="0" applyNumberFormat="1" applyFont="1" applyBorder="1" applyAlignment="1">
      <alignment vertical="center"/>
    </xf>
    <xf numFmtId="0" fontId="5" fillId="0" borderId="5" xfId="0" applyFont="1" applyBorder="1" applyAlignment="1">
      <alignment vertical="center"/>
    </xf>
    <xf numFmtId="42" fontId="7" fillId="0" borderId="17" xfId="0" applyNumberFormat="1" applyFont="1" applyBorder="1" applyAlignment="1">
      <alignment horizontal="right" vertical="center"/>
    </xf>
    <xf numFmtId="3" fontId="7" fillId="0" borderId="18" xfId="0" applyNumberFormat="1" applyFont="1" applyBorder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3" fontId="7" fillId="0" borderId="5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right" vertical="center"/>
    </xf>
    <xf numFmtId="3" fontId="7" fillId="0" borderId="0" xfId="0" applyNumberFormat="1" applyFont="1" applyAlignment="1">
      <alignment horizontal="center" vertical="center"/>
    </xf>
    <xf numFmtId="1" fontId="5" fillId="6" borderId="5" xfId="0" applyNumberFormat="1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42" fontId="5" fillId="6" borderId="17" xfId="0" applyNumberFormat="1" applyFont="1" applyFill="1" applyBorder="1" applyAlignment="1">
      <alignment vertical="center"/>
    </xf>
    <xf numFmtId="3" fontId="5" fillId="6" borderId="18" xfId="0" applyNumberFormat="1" applyFont="1" applyFill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1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1" fontId="8" fillId="6" borderId="5" xfId="0" applyNumberFormat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 wrapText="1"/>
    </xf>
    <xf numFmtId="42" fontId="8" fillId="6" borderId="19" xfId="0" applyNumberFormat="1" applyFont="1" applyFill="1" applyBorder="1" applyAlignment="1">
      <alignment horizontal="right" vertical="center"/>
    </xf>
    <xf numFmtId="42" fontId="8" fillId="6" borderId="23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2" fillId="0" borderId="17" xfId="0" applyFont="1" applyBorder="1"/>
    <xf numFmtId="0" fontId="2" fillId="0" borderId="18" xfId="0" applyFont="1" applyBorder="1"/>
    <xf numFmtId="42" fontId="8" fillId="6" borderId="5" xfId="0" applyNumberFormat="1" applyFont="1" applyFill="1" applyBorder="1" applyAlignment="1">
      <alignment horizontal="right" vertical="center"/>
    </xf>
    <xf numFmtId="42" fontId="8" fillId="6" borderId="20" xfId="0" applyNumberFormat="1" applyFont="1" applyFill="1" applyBorder="1" applyAlignment="1">
      <alignment horizontal="right" vertical="center"/>
    </xf>
    <xf numFmtId="3" fontId="7" fillId="0" borderId="20" xfId="0" applyNumberFormat="1" applyFont="1" applyBorder="1" applyAlignment="1">
      <alignment horizontal="right" vertical="center"/>
    </xf>
    <xf numFmtId="3" fontId="5" fillId="0" borderId="20" xfId="0" applyNumberFormat="1" applyFont="1" applyBorder="1" applyAlignment="1">
      <alignment vertical="center"/>
    </xf>
    <xf numFmtId="3" fontId="6" fillId="0" borderId="16" xfId="0" applyNumberFormat="1" applyFont="1" applyBorder="1" applyAlignment="1">
      <alignment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3" fontId="5" fillId="3" borderId="6" xfId="0" applyNumberFormat="1" applyFont="1" applyFill="1" applyBorder="1" applyAlignment="1">
      <alignment vertical="center"/>
    </xf>
    <xf numFmtId="3" fontId="5" fillId="0" borderId="5" xfId="0" applyNumberFormat="1" applyFont="1" applyBorder="1" applyAlignment="1">
      <alignment vertical="center"/>
    </xf>
    <xf numFmtId="42" fontId="5" fillId="0" borderId="17" xfId="0" applyNumberFormat="1" applyFont="1" applyBorder="1" applyAlignment="1">
      <alignment vertical="center"/>
    </xf>
    <xf numFmtId="3" fontId="5" fillId="0" borderId="18" xfId="0" applyNumberFormat="1" applyFont="1" applyBorder="1" applyAlignment="1">
      <alignment vertical="center"/>
    </xf>
    <xf numFmtId="3" fontId="6" fillId="0" borderId="8" xfId="0" applyNumberFormat="1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/>
    </xf>
    <xf numFmtId="166" fontId="7" fillId="0" borderId="5" xfId="0" applyNumberFormat="1" applyFont="1" applyBorder="1" applyAlignment="1">
      <alignment horizontal="right" vertical="center"/>
    </xf>
    <xf numFmtId="0" fontId="9" fillId="0" borderId="5" xfId="0" applyFont="1" applyBorder="1"/>
    <xf numFmtId="42" fontId="6" fillId="0" borderId="20" xfId="0" applyNumberFormat="1" applyFont="1" applyBorder="1" applyAlignment="1">
      <alignment horizontal="right" vertical="center"/>
    </xf>
    <xf numFmtId="3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2" fontId="8" fillId="0" borderId="19" xfId="0" applyNumberFormat="1" applyFont="1" applyBorder="1" applyAlignment="1">
      <alignment horizontal="right" vertical="center"/>
    </xf>
    <xf numFmtId="42" fontId="8" fillId="0" borderId="23" xfId="0" applyNumberFormat="1" applyFont="1" applyBorder="1" applyAlignment="1">
      <alignment horizontal="right" vertical="center"/>
    </xf>
    <xf numFmtId="0" fontId="5" fillId="6" borderId="6" xfId="0" applyFont="1" applyFill="1" applyBorder="1" applyAlignment="1">
      <alignment vertical="center"/>
    </xf>
    <xf numFmtId="3" fontId="8" fillId="6" borderId="5" xfId="0" applyNumberFormat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42" fontId="8" fillId="6" borderId="19" xfId="0" applyNumberFormat="1" applyFont="1" applyFill="1" applyBorder="1" applyAlignment="1">
      <alignment horizontal="right" vertical="center"/>
    </xf>
    <xf numFmtId="42" fontId="8" fillId="6" borderId="23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3" fontId="8" fillId="0" borderId="8" xfId="0" applyNumberFormat="1" applyFont="1" applyBorder="1" applyAlignment="1">
      <alignment vertical="center" wrapText="1"/>
    </xf>
    <xf numFmtId="42" fontId="8" fillId="0" borderId="5" xfId="0" applyNumberFormat="1" applyFont="1" applyBorder="1" applyAlignment="1">
      <alignment horizontal="center" vertical="center"/>
    </xf>
    <xf numFmtId="42" fontId="8" fillId="0" borderId="5" xfId="0" applyNumberFormat="1" applyFont="1" applyBorder="1" applyAlignment="1">
      <alignment horizontal="right" vertical="center"/>
    </xf>
    <xf numFmtId="42" fontId="8" fillId="0" borderId="0" xfId="0" applyNumberFormat="1" applyFont="1" applyAlignment="1">
      <alignment horizontal="center" vertical="center"/>
    </xf>
    <xf numFmtId="42" fontId="8" fillId="0" borderId="0" xfId="0" applyNumberFormat="1" applyFont="1" applyAlignment="1">
      <alignment horizontal="right" vertical="center"/>
    </xf>
    <xf numFmtId="42" fontId="8" fillId="0" borderId="28" xfId="0" applyNumberFormat="1" applyFont="1" applyBorder="1" applyAlignment="1">
      <alignment horizontal="right" vertical="center"/>
    </xf>
    <xf numFmtId="42" fontId="8" fillId="6" borderId="28" xfId="0" applyNumberFormat="1" applyFont="1" applyFill="1" applyBorder="1" applyAlignment="1">
      <alignment horizontal="right" vertical="center"/>
    </xf>
    <xf numFmtId="42" fontId="6" fillId="0" borderId="5" xfId="0" applyNumberFormat="1" applyFont="1" applyBorder="1" applyAlignment="1">
      <alignment horizontal="right" vertical="center"/>
    </xf>
    <xf numFmtId="1" fontId="5" fillId="0" borderId="16" xfId="0" applyNumberFormat="1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1" fontId="6" fillId="0" borderId="16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3" fontId="6" fillId="7" borderId="16" xfId="0" applyNumberFormat="1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 wrapText="1"/>
    </xf>
    <xf numFmtId="1" fontId="6" fillId="7" borderId="16" xfId="0" applyNumberFormat="1" applyFont="1" applyFill="1" applyBorder="1" applyAlignment="1">
      <alignment horizontal="center" vertical="center"/>
    </xf>
    <xf numFmtId="42" fontId="7" fillId="7" borderId="5" xfId="0" applyNumberFormat="1" applyFont="1" applyFill="1" applyBorder="1" applyAlignment="1">
      <alignment horizontal="right" vertical="center"/>
    </xf>
    <xf numFmtId="42" fontId="7" fillId="7" borderId="20" xfId="0" applyNumberFormat="1" applyFont="1" applyFill="1" applyBorder="1" applyAlignment="1">
      <alignment horizontal="right" vertical="center"/>
    </xf>
    <xf numFmtId="3" fontId="3" fillId="0" borderId="5" xfId="0" applyNumberFormat="1" applyFont="1" applyBorder="1" applyAlignment="1">
      <alignment horizontal="center" vertical="center"/>
    </xf>
    <xf numFmtId="3" fontId="6" fillId="8" borderId="16" xfId="0" applyNumberFormat="1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 wrapText="1"/>
    </xf>
    <xf numFmtId="167" fontId="6" fillId="8" borderId="16" xfId="0" applyNumberFormat="1" applyFont="1" applyFill="1" applyBorder="1" applyAlignment="1">
      <alignment horizontal="center" vertical="center"/>
    </xf>
    <xf numFmtId="42" fontId="7" fillId="8" borderId="5" xfId="0" applyNumberFormat="1" applyFont="1" applyFill="1" applyBorder="1" applyAlignment="1">
      <alignment horizontal="right" vertical="center"/>
    </xf>
    <xf numFmtId="42" fontId="7" fillId="8" borderId="23" xfId="0" applyNumberFormat="1" applyFont="1" applyFill="1" applyBorder="1" applyAlignment="1">
      <alignment horizontal="right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 wrapText="1"/>
    </xf>
    <xf numFmtId="1" fontId="6" fillId="6" borderId="16" xfId="0" applyNumberFormat="1" applyFont="1" applyFill="1" applyBorder="1" applyAlignment="1">
      <alignment horizontal="center" vertical="center"/>
    </xf>
    <xf numFmtId="42" fontId="6" fillId="6" borderId="5" xfId="0" applyNumberFormat="1" applyFont="1" applyFill="1" applyBorder="1" applyAlignment="1">
      <alignment horizontal="right" vertical="center"/>
    </xf>
    <xf numFmtId="42" fontId="6" fillId="6" borderId="23" xfId="0" applyNumberFormat="1" applyFont="1" applyFill="1" applyBorder="1" applyAlignment="1">
      <alignment horizontal="right" vertical="center"/>
    </xf>
    <xf numFmtId="1" fontId="6" fillId="8" borderId="16" xfId="0" applyNumberFormat="1" applyFont="1" applyFill="1" applyBorder="1" applyAlignment="1">
      <alignment horizontal="center" vertical="center"/>
    </xf>
    <xf numFmtId="168" fontId="6" fillId="8" borderId="16" xfId="0" applyNumberFormat="1" applyFont="1" applyFill="1" applyBorder="1" applyAlignment="1">
      <alignment horizontal="center" vertical="center"/>
    </xf>
    <xf numFmtId="168" fontId="6" fillId="6" borderId="16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vertical="center"/>
    </xf>
    <xf numFmtId="0" fontId="5" fillId="6" borderId="8" xfId="0" applyFont="1" applyFill="1" applyBorder="1" applyAlignment="1">
      <alignment vertical="center" wrapText="1"/>
    </xf>
    <xf numFmtId="3" fontId="6" fillId="6" borderId="16" xfId="0" applyNumberFormat="1" applyFont="1" applyFill="1" applyBorder="1" applyAlignment="1">
      <alignment vertical="center" wrapText="1"/>
    </xf>
    <xf numFmtId="42" fontId="7" fillId="6" borderId="23" xfId="0" applyNumberFormat="1" applyFont="1" applyFill="1" applyBorder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3" fontId="6" fillId="0" borderId="29" xfId="0" applyNumberFormat="1" applyFont="1" applyBorder="1" applyAlignment="1">
      <alignment vertical="center" wrapText="1"/>
    </xf>
    <xf numFmtId="1" fontId="6" fillId="0" borderId="19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1" fontId="6" fillId="6" borderId="19" xfId="0" applyNumberFormat="1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 wrapText="1"/>
    </xf>
    <xf numFmtId="42" fontId="6" fillId="6" borderId="19" xfId="0" applyNumberFormat="1" applyFont="1" applyFill="1" applyBorder="1" applyAlignment="1">
      <alignment horizontal="right" vertical="center"/>
    </xf>
    <xf numFmtId="42" fontId="7" fillId="6" borderId="19" xfId="0" applyNumberFormat="1" applyFont="1" applyFill="1" applyBorder="1" applyAlignment="1">
      <alignment horizontal="right" vertical="center"/>
    </xf>
    <xf numFmtId="0" fontId="2" fillId="0" borderId="29" xfId="0" applyFont="1" applyBorder="1"/>
    <xf numFmtId="0" fontId="2" fillId="0" borderId="16" xfId="0" applyFont="1" applyBorder="1"/>
    <xf numFmtId="0" fontId="5" fillId="0" borderId="0" xfId="0" applyFont="1" applyAlignment="1">
      <alignment vertical="center"/>
    </xf>
    <xf numFmtId="3" fontId="5" fillId="0" borderId="29" xfId="0" applyNumberFormat="1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42" fontId="8" fillId="0" borderId="17" xfId="0" applyNumberFormat="1" applyFont="1" applyBorder="1" applyAlignment="1">
      <alignment horizontal="right" vertical="center"/>
    </xf>
    <xf numFmtId="3" fontId="6" fillId="0" borderId="15" xfId="0" applyNumberFormat="1" applyFont="1" applyBorder="1" applyAlignment="1">
      <alignment vertical="center" wrapText="1"/>
    </xf>
    <xf numFmtId="0" fontId="6" fillId="0" borderId="16" xfId="0" applyFont="1" applyBorder="1" applyAlignment="1">
      <alignment horizontal="center" vertical="center"/>
    </xf>
    <xf numFmtId="42" fontId="6" fillId="0" borderId="17" xfId="0" applyNumberFormat="1" applyFont="1" applyBorder="1" applyAlignment="1">
      <alignment horizontal="right" vertical="center"/>
    </xf>
    <xf numFmtId="3" fontId="6" fillId="0" borderId="0" xfId="0" applyNumberFormat="1" applyFont="1" applyAlignment="1">
      <alignment vertical="center" wrapText="1"/>
    </xf>
    <xf numFmtId="3" fontId="7" fillId="0" borderId="0" xfId="0" applyNumberFormat="1" applyFont="1" applyAlignment="1">
      <alignment horizontal="left" vertical="center" wrapText="1"/>
    </xf>
    <xf numFmtId="0" fontId="8" fillId="0" borderId="15" xfId="0" applyFont="1" applyBorder="1" applyAlignment="1">
      <alignment horizontal="left" vertical="center"/>
    </xf>
    <xf numFmtId="3" fontId="8" fillId="0" borderId="8" xfId="0" applyNumberFormat="1" applyFont="1" applyBorder="1" applyAlignment="1">
      <alignment horizontal="left" vertical="center"/>
    </xf>
    <xf numFmtId="3" fontId="8" fillId="0" borderId="5" xfId="0" applyNumberFormat="1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3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2" fontId="8" fillId="0" borderId="20" xfId="0" applyNumberFormat="1" applyFont="1" applyBorder="1" applyAlignment="1">
      <alignment horizontal="right" vertical="center"/>
    </xf>
    <xf numFmtId="0" fontId="8" fillId="6" borderId="14" xfId="0" applyFont="1" applyFill="1" applyBorder="1" applyAlignment="1">
      <alignment horizontal="center" vertical="center"/>
    </xf>
    <xf numFmtId="3" fontId="8" fillId="6" borderId="17" xfId="0" applyNumberFormat="1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42" fontId="8" fillId="6" borderId="17" xfId="0" applyNumberFormat="1" applyFont="1" applyFill="1" applyBorder="1" applyAlignment="1">
      <alignment horizontal="right" vertical="center"/>
    </xf>
    <xf numFmtId="42" fontId="8" fillId="6" borderId="18" xfId="0" applyNumberFormat="1" applyFont="1" applyFill="1" applyBorder="1" applyAlignment="1">
      <alignment horizontal="right" vertical="center"/>
    </xf>
    <xf numFmtId="42" fontId="8" fillId="0" borderId="18" xfId="0" applyNumberFormat="1" applyFont="1" applyBorder="1" applyAlignment="1">
      <alignment horizontal="right" vertical="center"/>
    </xf>
    <xf numFmtId="0" fontId="4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1" fontId="5" fillId="3" borderId="5" xfId="0" applyNumberFormat="1" applyFont="1" applyFill="1" applyBorder="1" applyAlignment="1">
      <alignment vertical="center"/>
    </xf>
    <xf numFmtId="3" fontId="3" fillId="3" borderId="20" xfId="0" applyNumberFormat="1" applyFont="1" applyFill="1" applyBorder="1" applyAlignment="1">
      <alignment horizontal="right" vertical="center"/>
    </xf>
    <xf numFmtId="0" fontId="7" fillId="0" borderId="13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3" fontId="8" fillId="0" borderId="16" xfId="0" applyNumberFormat="1" applyFont="1" applyBorder="1" applyAlignment="1">
      <alignment vertical="center" wrapText="1"/>
    </xf>
    <xf numFmtId="1" fontId="5" fillId="8" borderId="5" xfId="0" applyNumberFormat="1" applyFont="1" applyFill="1" applyBorder="1" applyAlignment="1">
      <alignment vertical="center"/>
    </xf>
    <xf numFmtId="0" fontId="5" fillId="8" borderId="5" xfId="0" applyFont="1" applyFill="1" applyBorder="1" applyAlignment="1">
      <alignment vertical="center"/>
    </xf>
    <xf numFmtId="1" fontId="6" fillId="8" borderId="5" xfId="0" applyNumberFormat="1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 wrapText="1"/>
    </xf>
    <xf numFmtId="3" fontId="7" fillId="5" borderId="5" xfId="0" applyNumberFormat="1" applyFont="1" applyFill="1" applyBorder="1" applyAlignment="1">
      <alignment horizontal="right" vertical="center"/>
    </xf>
    <xf numFmtId="3" fontId="5" fillId="0" borderId="23" xfId="0" applyNumberFormat="1" applyFont="1" applyBorder="1" applyAlignment="1">
      <alignment vertical="center"/>
    </xf>
    <xf numFmtId="166" fontId="7" fillId="5" borderId="5" xfId="0" applyNumberFormat="1" applyFont="1" applyFill="1" applyBorder="1" applyAlignment="1">
      <alignment horizontal="right" vertical="center"/>
    </xf>
    <xf numFmtId="0" fontId="6" fillId="9" borderId="6" xfId="0" applyFont="1" applyFill="1" applyBorder="1" applyAlignment="1">
      <alignment vertical="center"/>
    </xf>
    <xf numFmtId="0" fontId="5" fillId="9" borderId="7" xfId="0" applyFont="1" applyFill="1" applyBorder="1" applyAlignment="1">
      <alignment vertical="center"/>
    </xf>
    <xf numFmtId="3" fontId="5" fillId="9" borderId="8" xfId="0" applyNumberFormat="1" applyFont="1" applyFill="1" applyBorder="1" applyAlignment="1">
      <alignment vertical="center" wrapText="1"/>
    </xf>
    <xf numFmtId="3" fontId="5" fillId="9" borderId="16" xfId="0" applyNumberFormat="1" applyFont="1" applyFill="1" applyBorder="1" applyAlignment="1">
      <alignment vertical="center" wrapText="1"/>
    </xf>
    <xf numFmtId="1" fontId="6" fillId="9" borderId="5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42" fontId="7" fillId="9" borderId="5" xfId="0" applyNumberFormat="1" applyFont="1" applyFill="1" applyBorder="1" applyAlignment="1">
      <alignment horizontal="right" vertical="center"/>
    </xf>
    <xf numFmtId="42" fontId="7" fillId="9" borderId="23" xfId="0" applyNumberFormat="1" applyFont="1" applyFill="1" applyBorder="1" applyAlignment="1">
      <alignment horizontal="right" vertical="center"/>
    </xf>
    <xf numFmtId="0" fontId="5" fillId="9" borderId="6" xfId="0" applyFont="1" applyFill="1" applyBorder="1" applyAlignment="1">
      <alignment vertical="center"/>
    </xf>
    <xf numFmtId="1" fontId="5" fillId="9" borderId="5" xfId="0" applyNumberFormat="1" applyFont="1" applyFill="1" applyBorder="1" applyAlignment="1">
      <alignment vertical="center"/>
    </xf>
    <xf numFmtId="0" fontId="5" fillId="9" borderId="5" xfId="0" applyFont="1" applyFill="1" applyBorder="1" applyAlignment="1">
      <alignment vertical="center"/>
    </xf>
    <xf numFmtId="0" fontId="3" fillId="3" borderId="30" xfId="0" applyFont="1" applyFill="1" applyBorder="1" applyAlignment="1">
      <alignment horizontal="center" vertical="center"/>
    </xf>
    <xf numFmtId="3" fontId="5" fillId="3" borderId="29" xfId="0" applyNumberFormat="1" applyFont="1" applyFill="1" applyBorder="1" applyAlignment="1">
      <alignment vertical="center" wrapText="1"/>
    </xf>
    <xf numFmtId="3" fontId="5" fillId="3" borderId="29" xfId="0" applyNumberFormat="1" applyFont="1" applyFill="1" applyBorder="1" applyAlignment="1">
      <alignment vertical="center"/>
    </xf>
    <xf numFmtId="0" fontId="5" fillId="3" borderId="29" xfId="0" applyFont="1" applyFill="1" applyBorder="1" applyAlignment="1">
      <alignment vertical="center"/>
    </xf>
    <xf numFmtId="42" fontId="7" fillId="3" borderId="19" xfId="0" applyNumberFormat="1" applyFont="1" applyFill="1" applyBorder="1" applyAlignment="1">
      <alignment horizontal="right" vertical="center"/>
    </xf>
    <xf numFmtId="3" fontId="7" fillId="3" borderId="20" xfId="0" applyNumberFormat="1" applyFont="1" applyFill="1" applyBorder="1" applyAlignment="1">
      <alignment horizontal="right" vertical="center"/>
    </xf>
    <xf numFmtId="42" fontId="5" fillId="3" borderId="19" xfId="0" applyNumberFormat="1" applyFont="1" applyFill="1" applyBorder="1" applyAlignment="1">
      <alignment vertical="center"/>
    </xf>
    <xf numFmtId="42" fontId="7" fillId="8" borderId="20" xfId="0" applyNumberFormat="1" applyFont="1" applyFill="1" applyBorder="1" applyAlignment="1">
      <alignment horizontal="right" vertical="center"/>
    </xf>
    <xf numFmtId="3" fontId="8" fillId="0" borderId="31" xfId="0" applyNumberFormat="1" applyFont="1" applyBorder="1" applyAlignment="1">
      <alignment vertical="center" wrapText="1"/>
    </xf>
    <xf numFmtId="166" fontId="7" fillId="0" borderId="5" xfId="0" applyNumberFormat="1" applyFont="1" applyBorder="1" applyAlignment="1">
      <alignment horizontal="left" vertical="center"/>
    </xf>
    <xf numFmtId="42" fontId="6" fillId="0" borderId="5" xfId="0" applyNumberFormat="1" applyFont="1" applyBorder="1" applyAlignment="1">
      <alignment horizontal="center"/>
    </xf>
    <xf numFmtId="42" fontId="6" fillId="0" borderId="5" xfId="0" quotePrefix="1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 wrapText="1"/>
    </xf>
    <xf numFmtId="1" fontId="6" fillId="6" borderId="5" xfId="0" applyNumberFormat="1" applyFont="1" applyFill="1" applyBorder="1" applyAlignment="1">
      <alignment horizontal="center" vertical="center"/>
    </xf>
    <xf numFmtId="42" fontId="10" fillId="0" borderId="5" xfId="0" applyNumberFormat="1" applyFont="1" applyBorder="1" applyAlignment="1">
      <alignment horizontal="center"/>
    </xf>
    <xf numFmtId="42" fontId="11" fillId="0" borderId="5" xfId="0" applyNumberFormat="1" applyFont="1" applyBorder="1"/>
    <xf numFmtId="3" fontId="10" fillId="0" borderId="5" xfId="0" applyNumberFormat="1" applyFont="1" applyBorder="1" applyAlignment="1">
      <alignment horizontal="center"/>
    </xf>
    <xf numFmtId="42" fontId="6" fillId="0" borderId="5" xfId="0" applyNumberFormat="1" applyFont="1" applyBorder="1" applyAlignment="1">
      <alignment horizontal="center" vertical="center"/>
    </xf>
    <xf numFmtId="42" fontId="12" fillId="0" borderId="5" xfId="0" applyNumberFormat="1" applyFont="1" applyBorder="1" applyAlignment="1">
      <alignment horizontal="center"/>
    </xf>
    <xf numFmtId="165" fontId="7" fillId="0" borderId="5" xfId="0" applyNumberFormat="1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right" vertical="center"/>
    </xf>
    <xf numFmtId="165" fontId="7" fillId="0" borderId="0" xfId="0" applyNumberFormat="1" applyFont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6" borderId="17" xfId="0" applyNumberFormat="1" applyFont="1" applyFill="1" applyBorder="1" applyAlignment="1">
      <alignment horizontal="center" vertical="center"/>
    </xf>
    <xf numFmtId="49" fontId="6" fillId="6" borderId="5" xfId="0" applyNumberFormat="1" applyFont="1" applyFill="1" applyBorder="1" applyAlignment="1">
      <alignment horizontal="center" vertical="center"/>
    </xf>
    <xf numFmtId="3" fontId="7" fillId="0" borderId="23" xfId="0" applyNumberFormat="1" applyFont="1" applyBorder="1" applyAlignment="1">
      <alignment horizontal="right" vertical="center"/>
    </xf>
    <xf numFmtId="166" fontId="3" fillId="0" borderId="5" xfId="0" applyNumberFormat="1" applyFont="1" applyBorder="1" applyAlignment="1">
      <alignment horizontal="right" vertical="center"/>
    </xf>
    <xf numFmtId="3" fontId="3" fillId="0" borderId="5" xfId="0" applyNumberFormat="1" applyFont="1" applyBorder="1" applyAlignment="1">
      <alignment horizontal="right" vertical="center"/>
    </xf>
    <xf numFmtId="0" fontId="5" fillId="3" borderId="8" xfId="0" applyFont="1" applyFill="1" applyBorder="1" applyAlignment="1">
      <alignment vertical="center" wrapText="1"/>
    </xf>
    <xf numFmtId="42" fontId="7" fillId="0" borderId="19" xfId="0" applyNumberFormat="1" applyFont="1" applyBorder="1" applyAlignment="1">
      <alignment horizontal="center" vertical="center"/>
    </xf>
    <xf numFmtId="3" fontId="7" fillId="0" borderId="19" xfId="0" applyNumberFormat="1" applyFont="1" applyBorder="1" applyAlignment="1">
      <alignment horizontal="center" vertical="center"/>
    </xf>
    <xf numFmtId="42" fontId="7" fillId="0" borderId="29" xfId="0" applyNumberFormat="1" applyFont="1" applyBorder="1" applyAlignment="1">
      <alignment horizontal="center" vertical="center"/>
    </xf>
    <xf numFmtId="42" fontId="7" fillId="5" borderId="19" xfId="0" applyNumberFormat="1" applyFont="1" applyFill="1" applyBorder="1" applyAlignment="1">
      <alignment horizontal="right" vertical="center"/>
    </xf>
    <xf numFmtId="42" fontId="7" fillId="0" borderId="16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3" fontId="5" fillId="0" borderId="35" xfId="0" applyNumberFormat="1" applyFont="1" applyBorder="1" applyAlignment="1">
      <alignment vertical="center" wrapText="1"/>
    </xf>
    <xf numFmtId="3" fontId="5" fillId="0" borderId="36" xfId="0" applyNumberFormat="1" applyFont="1" applyBorder="1" applyAlignment="1">
      <alignment vertical="center" wrapText="1"/>
    </xf>
    <xf numFmtId="3" fontId="5" fillId="0" borderId="36" xfId="0" applyNumberFormat="1" applyFont="1" applyBorder="1" applyAlignment="1">
      <alignment vertical="center"/>
    </xf>
    <xf numFmtId="49" fontId="5" fillId="0" borderId="36" xfId="0" applyNumberFormat="1" applyFont="1" applyBorder="1" applyAlignment="1">
      <alignment vertical="center"/>
    </xf>
    <xf numFmtId="49" fontId="5" fillId="0" borderId="19" xfId="0" applyNumberFormat="1" applyFont="1" applyBorder="1" applyAlignment="1">
      <alignment vertical="center"/>
    </xf>
    <xf numFmtId="3" fontId="7" fillId="0" borderId="19" xfId="0" applyNumberFormat="1" applyFont="1" applyBorder="1" applyAlignment="1">
      <alignment horizontal="right" vertical="center"/>
    </xf>
    <xf numFmtId="165" fontId="7" fillId="0" borderId="23" xfId="0" applyNumberFormat="1" applyFont="1" applyBorder="1" applyAlignment="1">
      <alignment horizontal="right" vertical="center"/>
    </xf>
    <xf numFmtId="3" fontId="5" fillId="0" borderId="19" xfId="0" applyNumberFormat="1" applyFont="1" applyBorder="1" applyAlignment="1">
      <alignment vertical="center"/>
    </xf>
    <xf numFmtId="165" fontId="5" fillId="0" borderId="37" xfId="0" applyNumberFormat="1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3" fontId="5" fillId="0" borderId="0" xfId="0" applyNumberFormat="1" applyFont="1" applyAlignment="1">
      <alignment vertical="center" wrapText="1"/>
    </xf>
    <xf numFmtId="0" fontId="5" fillId="10" borderId="13" xfId="0" applyFont="1" applyFill="1" applyBorder="1" applyAlignment="1">
      <alignment vertical="center"/>
    </xf>
    <xf numFmtId="0" fontId="5" fillId="10" borderId="15" xfId="0" applyFont="1" applyFill="1" applyBorder="1" applyAlignment="1">
      <alignment vertical="center"/>
    </xf>
    <xf numFmtId="0" fontId="6" fillId="10" borderId="10" xfId="0" applyFont="1" applyFill="1" applyBorder="1" applyAlignment="1">
      <alignment horizontal="right" vertical="center"/>
    </xf>
    <xf numFmtId="3" fontId="6" fillId="10" borderId="38" xfId="0" applyNumberFormat="1" applyFont="1" applyFill="1" applyBorder="1" applyAlignment="1">
      <alignment horizontal="right" vertical="center"/>
    </xf>
    <xf numFmtId="0" fontId="2" fillId="0" borderId="39" xfId="0" applyFont="1" applyBorder="1"/>
    <xf numFmtId="3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0" fontId="4" fillId="11" borderId="14" xfId="0" applyFont="1" applyFill="1" applyBorder="1" applyAlignment="1">
      <alignment horizontal="center" vertical="center"/>
    </xf>
    <xf numFmtId="3" fontId="4" fillId="10" borderId="17" xfId="0" applyNumberFormat="1" applyFont="1" applyFill="1" applyBorder="1" applyAlignment="1">
      <alignment horizontal="right" vertical="center"/>
    </xf>
    <xf numFmtId="0" fontId="5" fillId="10" borderId="21" xfId="0" applyFont="1" applyFill="1" applyBorder="1" applyAlignment="1">
      <alignment vertical="center"/>
    </xf>
    <xf numFmtId="0" fontId="5" fillId="10" borderId="7" xfId="0" applyFont="1" applyFill="1" applyBorder="1" applyAlignment="1">
      <alignment vertical="center"/>
    </xf>
    <xf numFmtId="0" fontId="13" fillId="10" borderId="7" xfId="0" applyFont="1" applyFill="1" applyBorder="1" applyAlignment="1">
      <alignment vertical="center"/>
    </xf>
    <xf numFmtId="0" fontId="6" fillId="10" borderId="15" xfId="0" applyFont="1" applyFill="1" applyBorder="1" applyAlignment="1">
      <alignment horizontal="right" vertical="center"/>
    </xf>
    <xf numFmtId="3" fontId="6" fillId="10" borderId="40" xfId="0" applyNumberFormat="1" applyFont="1" applyFill="1" applyBorder="1" applyAlignment="1">
      <alignment horizontal="right" vertical="center"/>
    </xf>
    <xf numFmtId="0" fontId="2" fillId="0" borderId="41" xfId="0" applyFont="1" applyBorder="1"/>
    <xf numFmtId="0" fontId="4" fillId="11" borderId="17" xfId="0" applyFont="1" applyFill="1" applyBorder="1" applyAlignment="1">
      <alignment horizontal="center" vertical="center"/>
    </xf>
    <xf numFmtId="0" fontId="2" fillId="0" borderId="40" xfId="0" applyFont="1" applyBorder="1"/>
    <xf numFmtId="0" fontId="2" fillId="0" borderId="14" xfId="0" applyFont="1" applyBorder="1"/>
    <xf numFmtId="0" fontId="2" fillId="0" borderId="31" xfId="0" applyFont="1" applyBorder="1"/>
    <xf numFmtId="0" fontId="6" fillId="10" borderId="7" xfId="0" applyFont="1" applyFill="1" applyBorder="1" applyAlignment="1">
      <alignment horizontal="right" vertical="center"/>
    </xf>
    <xf numFmtId="3" fontId="6" fillId="10" borderId="14" xfId="0" applyNumberFormat="1" applyFont="1" applyFill="1" applyBorder="1" applyAlignment="1">
      <alignment horizontal="right" vertical="center"/>
    </xf>
    <xf numFmtId="0" fontId="4" fillId="11" borderId="6" xfId="0" applyFont="1" applyFill="1" applyBorder="1" applyAlignment="1">
      <alignment horizontal="center" vertical="center"/>
    </xf>
    <xf numFmtId="3" fontId="4" fillId="10" borderId="5" xfId="0" applyNumberFormat="1" applyFont="1" applyFill="1" applyBorder="1" applyAlignment="1">
      <alignment horizontal="right" vertical="center"/>
    </xf>
    <xf numFmtId="166" fontId="6" fillId="0" borderId="5" xfId="0" applyNumberFormat="1" applyFont="1" applyBorder="1" applyAlignment="1">
      <alignment horizontal="left" vertical="center"/>
    </xf>
    <xf numFmtId="3" fontId="7" fillId="6" borderId="5" xfId="0" applyNumberFormat="1" applyFont="1" applyFill="1" applyBorder="1" applyAlignment="1">
      <alignment horizontal="right" vertical="center"/>
    </xf>
    <xf numFmtId="0" fontId="4" fillId="11" borderId="5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3" fontId="4" fillId="10" borderId="14" xfId="0" applyNumberFormat="1" applyFont="1" applyFill="1" applyBorder="1" applyAlignment="1">
      <alignment horizontal="right" vertical="center"/>
    </xf>
    <xf numFmtId="0" fontId="4" fillId="12" borderId="6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3" fontId="4" fillId="13" borderId="5" xfId="0" applyNumberFormat="1" applyFont="1" applyFill="1" applyBorder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3" fontId="4" fillId="10" borderId="21" xfId="0" applyNumberFormat="1" applyFont="1" applyFill="1" applyBorder="1" applyAlignment="1">
      <alignment horizontal="right" vertical="center"/>
    </xf>
    <xf numFmtId="3" fontId="4" fillId="10" borderId="7" xfId="0" applyNumberFormat="1" applyFont="1" applyFill="1" applyBorder="1" applyAlignment="1">
      <alignment horizontal="right" vertical="center"/>
    </xf>
    <xf numFmtId="3" fontId="4" fillId="10" borderId="30" xfId="0" applyNumberFormat="1" applyFont="1" applyFill="1" applyBorder="1" applyAlignment="1">
      <alignment horizontal="right" vertical="center"/>
    </xf>
    <xf numFmtId="3" fontId="4" fillId="10" borderId="42" xfId="0" applyNumberFormat="1" applyFont="1" applyFill="1" applyBorder="1" applyAlignment="1">
      <alignment horizontal="right" vertical="center"/>
    </xf>
    <xf numFmtId="3" fontId="4" fillId="10" borderId="32" xfId="0" applyNumberFormat="1" applyFont="1" applyFill="1" applyBorder="1" applyAlignment="1">
      <alignment horizontal="right" vertical="center"/>
    </xf>
    <xf numFmtId="3" fontId="4" fillId="10" borderId="34" xfId="0" applyNumberFormat="1" applyFont="1" applyFill="1" applyBorder="1" applyAlignment="1">
      <alignment horizontal="right" vertical="center"/>
    </xf>
    <xf numFmtId="3" fontId="4" fillId="10" borderId="43" xfId="0" applyNumberFormat="1" applyFont="1" applyFill="1" applyBorder="1" applyAlignment="1">
      <alignment horizontal="right" vertical="center"/>
    </xf>
    <xf numFmtId="0" fontId="2" fillId="0" borderId="44" xfId="0" applyFont="1" applyBorder="1"/>
    <xf numFmtId="3" fontId="4" fillId="5" borderId="0" xfId="0" applyNumberFormat="1" applyFont="1" applyFill="1" applyAlignment="1">
      <alignment horizontal="right" vertical="center"/>
    </xf>
    <xf numFmtId="3" fontId="4" fillId="0" borderId="0" xfId="0" applyNumberFormat="1" applyFont="1" applyAlignment="1">
      <alignment vertical="center"/>
    </xf>
    <xf numFmtId="3" fontId="3" fillId="5" borderId="0" xfId="0" applyNumberFormat="1" applyFont="1" applyFill="1" applyAlignment="1">
      <alignment vertical="center"/>
    </xf>
    <xf numFmtId="3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10" fontId="7" fillId="0" borderId="0" xfId="0" applyNumberFormat="1" applyFont="1" applyAlignment="1">
      <alignment vertical="center"/>
    </xf>
    <xf numFmtId="42" fontId="6" fillId="0" borderId="5" xfId="0" applyNumberFormat="1" applyFont="1" applyBorder="1"/>
    <xf numFmtId="0" fontId="7" fillId="0" borderId="45" xfId="0" applyFont="1" applyBorder="1" applyAlignment="1">
      <alignment horizontal="center" vertical="center"/>
    </xf>
    <xf numFmtId="0" fontId="7" fillId="0" borderId="6" xfId="0" applyFont="1" applyBorder="1"/>
    <xf numFmtId="0" fontId="14" fillId="0" borderId="7" xfId="0" applyFont="1" applyBorder="1"/>
    <xf numFmtId="3" fontId="14" fillId="0" borderId="8" xfId="0" applyNumberFormat="1" applyFont="1" applyBorder="1" applyAlignment="1">
      <alignment wrapText="1"/>
    </xf>
    <xf numFmtId="3" fontId="7" fillId="0" borderId="16" xfId="0" applyNumberFormat="1" applyFont="1" applyBorder="1" applyAlignment="1">
      <alignment wrapText="1"/>
    </xf>
    <xf numFmtId="1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42" fontId="7" fillId="0" borderId="17" xfId="0" applyNumberFormat="1" applyFont="1" applyBorder="1" applyAlignment="1">
      <alignment horizontal="right"/>
    </xf>
    <xf numFmtId="42" fontId="7" fillId="0" borderId="20" xfId="0" applyNumberFormat="1" applyFont="1" applyBorder="1" applyAlignment="1">
      <alignment horizontal="right"/>
    </xf>
    <xf numFmtId="10" fontId="7" fillId="0" borderId="5" xfId="0" applyNumberFormat="1" applyFont="1" applyBorder="1" applyAlignment="1">
      <alignment vertical="center"/>
    </xf>
    <xf numFmtId="0" fontId="14" fillId="0" borderId="6" xfId="0" applyFont="1" applyBorder="1"/>
    <xf numFmtId="0" fontId="7" fillId="0" borderId="7" xfId="0" applyFont="1" applyBorder="1"/>
    <xf numFmtId="3" fontId="14" fillId="0" borderId="16" xfId="0" applyNumberFormat="1" applyFont="1" applyBorder="1" applyAlignment="1">
      <alignment wrapText="1"/>
    </xf>
    <xf numFmtId="0" fontId="7" fillId="0" borderId="46" xfId="0" applyFont="1" applyBorder="1" applyAlignment="1">
      <alignment horizontal="center" vertical="center"/>
    </xf>
    <xf numFmtId="0" fontId="5" fillId="0" borderId="22" xfId="0" applyFont="1" applyBorder="1"/>
    <xf numFmtId="0" fontId="6" fillId="0" borderId="42" xfId="0" applyFont="1" applyBorder="1"/>
    <xf numFmtId="0" fontId="5" fillId="0" borderId="42" xfId="0" applyFont="1" applyBorder="1"/>
    <xf numFmtId="3" fontId="5" fillId="0" borderId="47" xfId="0" applyNumberFormat="1" applyFont="1" applyBorder="1" applyAlignment="1">
      <alignment wrapText="1"/>
    </xf>
    <xf numFmtId="3" fontId="5" fillId="0" borderId="29" xfId="0" applyNumberFormat="1" applyFont="1" applyBorder="1" applyAlignment="1">
      <alignment wrapText="1"/>
    </xf>
    <xf numFmtId="1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42" fontId="5" fillId="0" borderId="19" xfId="0" applyNumberFormat="1" applyFont="1" applyBorder="1"/>
    <xf numFmtId="0" fontId="5" fillId="0" borderId="33" xfId="0" applyFont="1" applyBorder="1"/>
    <xf numFmtId="0" fontId="6" fillId="0" borderId="34" xfId="0" applyFont="1" applyBorder="1"/>
    <xf numFmtId="0" fontId="5" fillId="0" borderId="34" xfId="0" applyFont="1" applyBorder="1"/>
    <xf numFmtId="3" fontId="5" fillId="0" borderId="35" xfId="0" applyNumberFormat="1" applyFont="1" applyBorder="1" applyAlignment="1">
      <alignment wrapText="1"/>
    </xf>
    <xf numFmtId="3" fontId="5" fillId="0" borderId="36" xfId="0" applyNumberFormat="1" applyFont="1" applyBorder="1" applyAlignment="1">
      <alignment wrapText="1"/>
    </xf>
    <xf numFmtId="1" fontId="6" fillId="0" borderId="36" xfId="0" applyNumberFormat="1" applyFont="1" applyBorder="1" applyAlignment="1">
      <alignment horizontal="center"/>
    </xf>
    <xf numFmtId="49" fontId="6" fillId="0" borderId="36" xfId="0" applyNumberFormat="1" applyFont="1" applyBorder="1" applyAlignment="1">
      <alignment horizontal="center" wrapText="1"/>
    </xf>
    <xf numFmtId="3" fontId="5" fillId="0" borderId="36" xfId="0" applyNumberFormat="1" applyFont="1" applyBorder="1"/>
    <xf numFmtId="165" fontId="7" fillId="0" borderId="37" xfId="0" applyNumberFormat="1" applyFont="1" applyBorder="1" applyAlignment="1">
      <alignment horizontal="right" vertical="center"/>
    </xf>
    <xf numFmtId="0" fontId="15" fillId="0" borderId="0" xfId="0" applyFont="1" applyAlignment="1">
      <alignment vertical="center"/>
    </xf>
    <xf numFmtId="3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8" borderId="0" xfId="0" applyFont="1" applyFill="1" applyAlignment="1">
      <alignment horizontal="center" vertical="center"/>
    </xf>
    <xf numFmtId="3" fontId="4" fillId="8" borderId="0" xfId="0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3" fontId="15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0" fontId="0" fillId="0" borderId="0" xfId="0"/>
    <xf numFmtId="3" fontId="11" fillId="4" borderId="0" xfId="0" applyNumberFormat="1" applyFont="1" applyFill="1" applyAlignment="1">
      <alignment vertical="center"/>
    </xf>
    <xf numFmtId="3" fontId="16" fillId="0" borderId="0" xfId="0" applyNumberFormat="1" applyFont="1" applyAlignment="1">
      <alignment vertical="center"/>
    </xf>
    <xf numFmtId="3" fontId="16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3" fontId="6" fillId="5" borderId="0" xfId="0" applyNumberFormat="1" applyFont="1" applyFill="1" applyAlignment="1">
      <alignment vertical="center"/>
    </xf>
    <xf numFmtId="2" fontId="4" fillId="5" borderId="0" xfId="0" applyNumberFormat="1" applyFont="1" applyFill="1" applyAlignment="1">
      <alignment vertical="center"/>
    </xf>
    <xf numFmtId="10" fontId="3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666750</xdr:colOff>
      <xdr:row>0</xdr:row>
      <xdr:rowOff>95250</xdr:rowOff>
    </xdr:from>
    <xdr:ext cx="1790700" cy="542925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F8B199C4-A655-634F-BF29-55C5FCC8EA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09750" y="95250"/>
          <a:ext cx="1790700" cy="5429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yudiqitrick/Downloads/Copy%20of%20CE%20GAPEMPI.xlsx" TargetMode="External"/><Relationship Id="rId1" Type="http://schemas.openxmlformats.org/officeDocument/2006/relationships/externalLinkPath" Target="Copy%20of%20CE%20GAPEMP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"/>
      <sheetName val="Quote (Awal- Disregard)"/>
      <sheetName val="HPP + Quote"/>
      <sheetName val="Quote (RI1)"/>
      <sheetName val="HPP + Quote (Tanpa RI1)"/>
      <sheetName val="Quote (Tanpa RI1)"/>
      <sheetName val="Quote Feedback (RI1)"/>
      <sheetName val="Quote Feedback (Tanpa RI1)"/>
      <sheetName val="HPP + Quote + Feedback Client ("/>
      <sheetName val="Quotation Best Price"/>
      <sheetName val="Quotation - Feedback II"/>
      <sheetName val="HPP + Feedback Client V2"/>
      <sheetName val="HPP + Feedback Client V3_Update"/>
      <sheetName val="CE Approval-24032026"/>
      <sheetName val="ID CARD"/>
      <sheetName val="CE -27032026"/>
      <sheetName val="FINAL QUOT + ADDITIONAL_2403202"/>
      <sheetName val="CE ADDITIONAL_31Januari2026"/>
      <sheetName val="CE &amp; QUOT ADDITIONAL_29032026"/>
      <sheetName val="FINAL QUOT + ADDITIONAL_2703202"/>
      <sheetName val="Sheet3"/>
      <sheetName val="Quotation Juara V4"/>
      <sheetName val="Feedback Quot V3"/>
      <sheetName val="T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6">
          <cell r="U56">
            <v>26223750</v>
          </cell>
        </row>
      </sheetData>
      <sheetData sheetId="19">
        <row r="195">
          <cell r="M195">
            <v>364612500</v>
          </cell>
        </row>
      </sheetData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1414-59F5-824D-B384-E646B531F323}">
  <sheetPr>
    <tabColor rgb="FF00FF00"/>
    <pageSetUpPr fitToPage="1"/>
  </sheetPr>
  <dimension ref="A1:AW1188"/>
  <sheetViews>
    <sheetView tabSelected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baseColWidth="10" defaultColWidth="12.6640625" defaultRowHeight="15.75" customHeight="1" x14ac:dyDescent="0.15"/>
  <cols>
    <col min="1" max="1" width="5.6640625" customWidth="1"/>
    <col min="2" max="2" width="12" customWidth="1"/>
    <col min="3" max="3" width="27.6640625" customWidth="1"/>
    <col min="4" max="4" width="23.83203125" customWidth="1"/>
    <col min="5" max="5" width="26.6640625" customWidth="1"/>
    <col min="6" max="6" width="25.33203125" customWidth="1"/>
    <col min="7" max="7" width="41.5" customWidth="1"/>
    <col min="8" max="8" width="3.83203125" customWidth="1"/>
    <col min="9" max="9" width="5.1640625" customWidth="1"/>
    <col min="10" max="10" width="3.83203125" customWidth="1"/>
    <col min="11" max="11" width="6.1640625" customWidth="1"/>
    <col min="12" max="12" width="18.1640625" customWidth="1"/>
    <col min="13" max="13" width="18.83203125" customWidth="1"/>
    <col min="14" max="14" width="6.33203125" customWidth="1"/>
    <col min="15" max="15" width="23.83203125" customWidth="1"/>
    <col min="16" max="16" width="7.1640625" customWidth="1"/>
    <col min="17" max="17" width="38.83203125" customWidth="1"/>
    <col min="18" max="18" width="46.1640625" customWidth="1"/>
    <col min="19" max="28" width="15.6640625" customWidth="1"/>
    <col min="29" max="43" width="7.1640625" customWidth="1"/>
    <col min="44" max="44" width="3.83203125" hidden="1" customWidth="1"/>
    <col min="45" max="45" width="4.83203125" hidden="1" customWidth="1"/>
    <col min="46" max="46" width="3.83203125" hidden="1" customWidth="1"/>
    <col min="47" max="47" width="8" hidden="1" customWidth="1"/>
    <col min="48" max="49" width="15.1640625" hidden="1" customWidth="1"/>
  </cols>
  <sheetData>
    <row r="1" spans="1:49" ht="42" customHeight="1" thickBot="1" x14ac:dyDescent="0.2">
      <c r="A1" s="1"/>
      <c r="B1" s="2" t="s">
        <v>0</v>
      </c>
      <c r="C1" s="3" t="s">
        <v>1</v>
      </c>
      <c r="D1" s="4"/>
      <c r="E1" s="4"/>
      <c r="F1" s="5"/>
      <c r="G1" s="2" t="s">
        <v>2</v>
      </c>
      <c r="H1" s="6" t="s">
        <v>3</v>
      </c>
      <c r="I1" s="5"/>
      <c r="J1" s="3" t="s">
        <v>4</v>
      </c>
      <c r="K1" s="5"/>
      <c r="L1" s="7" t="s">
        <v>5</v>
      </c>
      <c r="M1" s="7" t="s">
        <v>6</v>
      </c>
      <c r="N1" s="8"/>
      <c r="O1" s="9" t="s">
        <v>7</v>
      </c>
      <c r="P1" s="9" t="s">
        <v>8</v>
      </c>
      <c r="Q1" s="10" t="s">
        <v>9</v>
      </c>
      <c r="R1" s="10" t="s">
        <v>10</v>
      </c>
      <c r="S1" s="11" t="s">
        <v>11</v>
      </c>
      <c r="T1" s="12"/>
      <c r="U1" s="12"/>
      <c r="V1" s="12"/>
      <c r="W1" s="12"/>
      <c r="X1" s="12"/>
      <c r="Y1" s="12"/>
      <c r="Z1" s="13"/>
      <c r="AA1" s="9"/>
      <c r="AB1" s="9" t="s">
        <v>12</v>
      </c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14" t="s">
        <v>3</v>
      </c>
      <c r="AS1" s="15"/>
      <c r="AT1" s="16" t="s">
        <v>4</v>
      </c>
      <c r="AU1" s="15"/>
      <c r="AV1" s="17" t="s">
        <v>5</v>
      </c>
      <c r="AW1" s="18" t="s">
        <v>6</v>
      </c>
    </row>
    <row r="2" spans="1:49" ht="15" x14ac:dyDescent="0.15">
      <c r="A2" s="19"/>
      <c r="B2" s="20" t="s">
        <v>13</v>
      </c>
      <c r="C2" s="21" t="s">
        <v>14</v>
      </c>
      <c r="D2" s="22"/>
      <c r="E2" s="22"/>
      <c r="F2" s="23"/>
      <c r="G2" s="23"/>
      <c r="H2" s="24"/>
      <c r="I2" s="24"/>
      <c r="J2" s="24"/>
      <c r="K2" s="25"/>
      <c r="L2" s="26"/>
      <c r="M2" s="27"/>
      <c r="N2" s="28"/>
      <c r="O2" s="29"/>
      <c r="P2" s="30"/>
      <c r="Q2" s="31"/>
      <c r="R2" s="31"/>
      <c r="S2" s="32">
        <v>46107</v>
      </c>
      <c r="T2" s="32">
        <v>46108</v>
      </c>
      <c r="U2" s="32">
        <v>46109</v>
      </c>
      <c r="V2" s="32">
        <v>46111</v>
      </c>
      <c r="W2" s="32">
        <v>46112</v>
      </c>
      <c r="X2" s="32">
        <v>46114</v>
      </c>
      <c r="Y2" s="32">
        <v>46119</v>
      </c>
      <c r="Z2" s="32">
        <v>46125</v>
      </c>
      <c r="AA2" s="32">
        <v>46132</v>
      </c>
      <c r="AB2" s="33"/>
      <c r="AC2" s="34" t="s">
        <v>15</v>
      </c>
      <c r="AD2" s="34" t="s">
        <v>16</v>
      </c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35"/>
      <c r="AS2" s="35"/>
      <c r="AT2" s="35"/>
      <c r="AU2" s="36"/>
      <c r="AV2" s="37"/>
      <c r="AW2" s="38"/>
    </row>
    <row r="3" spans="1:49" ht="15" x14ac:dyDescent="0.15">
      <c r="A3" s="39"/>
      <c r="B3" s="40"/>
      <c r="C3" s="41" t="s">
        <v>17</v>
      </c>
      <c r="D3" s="42"/>
      <c r="E3" s="42"/>
      <c r="F3" s="43"/>
      <c r="G3" s="44"/>
      <c r="H3" s="45"/>
      <c r="I3" s="46"/>
      <c r="J3" s="47"/>
      <c r="K3" s="46"/>
      <c r="L3" s="48"/>
      <c r="M3" s="49"/>
      <c r="N3" s="50"/>
      <c r="O3" s="51"/>
      <c r="P3" s="52"/>
      <c r="Q3" s="53"/>
      <c r="R3" s="52"/>
      <c r="S3" s="54"/>
      <c r="T3" s="54"/>
      <c r="U3" s="54"/>
      <c r="V3" s="54"/>
      <c r="W3" s="54"/>
      <c r="X3" s="54"/>
      <c r="Y3" s="54"/>
      <c r="Z3" s="54"/>
      <c r="AA3" s="54"/>
      <c r="AB3" s="54"/>
      <c r="AC3" s="55"/>
      <c r="AD3" s="55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45"/>
      <c r="AS3" s="46"/>
      <c r="AT3" s="47"/>
      <c r="AU3" s="46"/>
      <c r="AV3" s="57"/>
      <c r="AW3" s="58"/>
    </row>
    <row r="4" spans="1:49" ht="15" x14ac:dyDescent="0.15">
      <c r="A4" s="39"/>
      <c r="B4" s="40"/>
      <c r="C4" s="59"/>
      <c r="D4" s="60" t="s">
        <v>18</v>
      </c>
      <c r="E4" s="42"/>
      <c r="F4" s="43"/>
      <c r="G4" s="61"/>
      <c r="H4" s="62">
        <v>1</v>
      </c>
      <c r="I4" s="63" t="s">
        <v>19</v>
      </c>
      <c r="J4" s="64">
        <v>1</v>
      </c>
      <c r="K4" s="63" t="s">
        <v>20</v>
      </c>
      <c r="L4" s="65">
        <v>0</v>
      </c>
      <c r="M4" s="66">
        <f t="shared" ref="M4:M5" si="0">L4*J4*H4</f>
        <v>0</v>
      </c>
      <c r="N4" s="28"/>
      <c r="O4" s="67"/>
      <c r="P4" s="53"/>
      <c r="Q4" s="53"/>
      <c r="R4" s="53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68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2">
        <v>1</v>
      </c>
      <c r="AS4" s="63" t="s">
        <v>19</v>
      </c>
      <c r="AT4" s="64">
        <v>1</v>
      </c>
      <c r="AU4" s="63" t="s">
        <v>20</v>
      </c>
      <c r="AV4" s="70">
        <v>10000000</v>
      </c>
      <c r="AW4" s="71">
        <f t="shared" ref="AW4:AW5" si="1">AV4*AT4*AR4</f>
        <v>10000000</v>
      </c>
    </row>
    <row r="5" spans="1:49" ht="15" x14ac:dyDescent="0.15">
      <c r="A5" s="39"/>
      <c r="B5" s="40"/>
      <c r="C5" s="59"/>
      <c r="D5" s="72" t="s">
        <v>21</v>
      </c>
      <c r="E5" s="73"/>
      <c r="F5" s="43"/>
      <c r="G5" s="74"/>
      <c r="H5" s="75">
        <v>1</v>
      </c>
      <c r="I5" s="63" t="s">
        <v>19</v>
      </c>
      <c r="J5" s="64">
        <v>1</v>
      </c>
      <c r="K5" s="63" t="s">
        <v>20</v>
      </c>
      <c r="L5" s="65">
        <v>0</v>
      </c>
      <c r="M5" s="66">
        <f t="shared" si="0"/>
        <v>0</v>
      </c>
      <c r="N5" s="28"/>
      <c r="O5" s="67"/>
      <c r="P5" s="53"/>
      <c r="Q5" s="53"/>
      <c r="R5" s="53"/>
      <c r="S5" s="67"/>
      <c r="T5" s="67"/>
      <c r="U5" s="67"/>
      <c r="V5" s="67"/>
      <c r="W5" s="67"/>
      <c r="X5" s="67"/>
      <c r="Y5" s="67"/>
      <c r="Z5" s="67"/>
      <c r="AA5" s="67"/>
      <c r="AB5" s="67"/>
      <c r="AC5" s="68"/>
      <c r="AD5" s="68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75">
        <v>1</v>
      </c>
      <c r="AS5" s="63" t="s">
        <v>19</v>
      </c>
      <c r="AT5" s="64">
        <v>1</v>
      </c>
      <c r="AU5" s="63" t="s">
        <v>20</v>
      </c>
      <c r="AV5" s="70">
        <v>0</v>
      </c>
      <c r="AW5" s="71">
        <f t="shared" si="1"/>
        <v>0</v>
      </c>
    </row>
    <row r="6" spans="1:49" ht="15" x14ac:dyDescent="0.15">
      <c r="A6" s="39"/>
      <c r="B6" s="40"/>
      <c r="C6" s="59"/>
      <c r="D6" s="72" t="s">
        <v>22</v>
      </c>
      <c r="E6" s="73"/>
      <c r="F6" s="43"/>
      <c r="G6" s="74"/>
      <c r="H6" s="76"/>
      <c r="I6" s="46"/>
      <c r="J6" s="77"/>
      <c r="K6" s="46"/>
      <c r="L6" s="65"/>
      <c r="M6" s="66"/>
      <c r="N6" s="28"/>
      <c r="O6" s="67"/>
      <c r="P6" s="53"/>
      <c r="Q6" s="53"/>
      <c r="R6" s="53"/>
      <c r="S6" s="67"/>
      <c r="T6" s="67"/>
      <c r="U6" s="67"/>
      <c r="V6" s="67"/>
      <c r="W6" s="67"/>
      <c r="X6" s="67"/>
      <c r="Y6" s="67"/>
      <c r="Z6" s="67"/>
      <c r="AA6" s="67"/>
      <c r="AB6" s="67"/>
      <c r="AC6" s="68"/>
      <c r="AD6" s="68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76"/>
      <c r="AS6" s="46"/>
      <c r="AT6" s="77"/>
      <c r="AU6" s="46"/>
      <c r="AV6" s="78"/>
      <c r="AW6" s="79"/>
    </row>
    <row r="7" spans="1:49" ht="15" x14ac:dyDescent="0.15">
      <c r="A7" s="39"/>
      <c r="B7" s="40"/>
      <c r="C7" s="80"/>
      <c r="D7" s="73"/>
      <c r="E7" s="72" t="s">
        <v>23</v>
      </c>
      <c r="F7" s="43"/>
      <c r="G7" s="74"/>
      <c r="H7" s="75">
        <v>1</v>
      </c>
      <c r="I7" s="63" t="s">
        <v>19</v>
      </c>
      <c r="J7" s="64">
        <v>1</v>
      </c>
      <c r="K7" s="63" t="s">
        <v>20</v>
      </c>
      <c r="L7" s="81">
        <v>5000000</v>
      </c>
      <c r="M7" s="82">
        <f>L7*J7*H7</f>
        <v>5000000</v>
      </c>
      <c r="N7" s="28"/>
      <c r="O7" s="67">
        <f>M7</f>
        <v>5000000</v>
      </c>
      <c r="P7" s="53" t="b">
        <v>1</v>
      </c>
      <c r="Q7" s="53" t="s">
        <v>24</v>
      </c>
      <c r="R7" s="53"/>
      <c r="S7" s="67"/>
      <c r="T7" s="67"/>
      <c r="V7" s="67"/>
      <c r="W7" s="67"/>
      <c r="X7" s="83">
        <f>O7</f>
        <v>5000000</v>
      </c>
      <c r="Y7" s="67"/>
      <c r="Z7" s="67"/>
      <c r="AA7" s="67"/>
      <c r="AB7" s="67">
        <f>O7-(SUM(S7:Z7))</f>
        <v>0</v>
      </c>
      <c r="AC7" s="68"/>
      <c r="AD7" s="68" t="s">
        <v>25</v>
      </c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75">
        <v>1</v>
      </c>
      <c r="AS7" s="63" t="s">
        <v>19</v>
      </c>
      <c r="AT7" s="64">
        <v>1</v>
      </c>
      <c r="AU7" s="63" t="s">
        <v>20</v>
      </c>
      <c r="AV7" s="84">
        <v>7500000</v>
      </c>
      <c r="AW7" s="85">
        <f>AV7*AT7*AR7</f>
        <v>7500000</v>
      </c>
    </row>
    <row r="8" spans="1:49" ht="15" x14ac:dyDescent="0.15">
      <c r="A8" s="39"/>
      <c r="B8" s="40"/>
      <c r="C8" s="80"/>
      <c r="D8" s="42"/>
      <c r="E8" s="60" t="s">
        <v>26</v>
      </c>
      <c r="F8" s="43"/>
      <c r="G8" s="86"/>
      <c r="H8" s="52">
        <v>1</v>
      </c>
      <c r="I8" s="63" t="s">
        <v>19</v>
      </c>
      <c r="J8" s="64">
        <v>1</v>
      </c>
      <c r="K8" s="63" t="s">
        <v>20</v>
      </c>
      <c r="L8" s="87"/>
      <c r="M8" s="88"/>
      <c r="N8" s="28"/>
      <c r="O8" s="67"/>
      <c r="P8" s="53"/>
      <c r="Q8" s="53"/>
      <c r="R8" s="53"/>
      <c r="S8" s="67"/>
      <c r="T8" s="67"/>
      <c r="U8" s="67"/>
      <c r="V8" s="67"/>
      <c r="W8" s="67"/>
      <c r="X8" s="67"/>
      <c r="Y8" s="67"/>
      <c r="Z8" s="67"/>
      <c r="AA8" s="67"/>
      <c r="AB8" s="67"/>
      <c r="AC8" s="68"/>
      <c r="AD8" s="68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52">
        <v>1</v>
      </c>
      <c r="AS8" s="63" t="s">
        <v>19</v>
      </c>
      <c r="AT8" s="64">
        <v>1</v>
      </c>
      <c r="AU8" s="63" t="s">
        <v>20</v>
      </c>
      <c r="AV8" s="87"/>
      <c r="AW8" s="88"/>
    </row>
    <row r="9" spans="1:49" ht="15" x14ac:dyDescent="0.15">
      <c r="A9" s="39"/>
      <c r="B9" s="40"/>
      <c r="C9" s="80"/>
      <c r="D9" s="60" t="s">
        <v>27</v>
      </c>
      <c r="E9" s="42"/>
      <c r="F9" s="43"/>
      <c r="G9" s="86"/>
      <c r="H9" s="45"/>
      <c r="I9" s="46"/>
      <c r="J9" s="89"/>
      <c r="K9" s="46"/>
      <c r="L9" s="90"/>
      <c r="M9" s="66"/>
      <c r="N9" s="50"/>
      <c r="O9" s="67"/>
      <c r="P9" s="53"/>
      <c r="Q9" s="53"/>
      <c r="R9" s="53"/>
      <c r="S9" s="67"/>
      <c r="T9" s="67"/>
      <c r="U9" s="67"/>
      <c r="V9" s="67"/>
      <c r="W9" s="67"/>
      <c r="X9" s="67"/>
      <c r="Y9" s="67"/>
      <c r="Z9" s="67"/>
      <c r="AA9" s="67"/>
      <c r="AB9" s="67"/>
      <c r="AC9" s="68"/>
      <c r="AD9" s="68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45"/>
      <c r="AS9" s="46"/>
      <c r="AT9" s="89"/>
      <c r="AU9" s="46"/>
      <c r="AV9" s="78"/>
      <c r="AW9" s="79"/>
    </row>
    <row r="10" spans="1:49" ht="18.75" customHeight="1" x14ac:dyDescent="0.15">
      <c r="A10" s="39"/>
      <c r="B10" s="40"/>
      <c r="C10" s="80"/>
      <c r="D10" s="42"/>
      <c r="E10" s="60" t="s">
        <v>28</v>
      </c>
      <c r="F10" s="43"/>
      <c r="G10" s="86"/>
      <c r="H10" s="91">
        <v>1</v>
      </c>
      <c r="I10" s="63" t="s">
        <v>19</v>
      </c>
      <c r="J10" s="92" t="s">
        <v>29</v>
      </c>
      <c r="K10" s="63" t="s">
        <v>20</v>
      </c>
      <c r="L10" s="90">
        <v>15000000</v>
      </c>
      <c r="M10" s="66">
        <f>L10*J10*H10</f>
        <v>15000000</v>
      </c>
      <c r="N10" s="50"/>
      <c r="O10" s="67">
        <f>M10</f>
        <v>15000000</v>
      </c>
      <c r="P10" s="53" t="b">
        <v>1</v>
      </c>
      <c r="Q10" s="53" t="s">
        <v>30</v>
      </c>
      <c r="R10" s="53" t="s">
        <v>31</v>
      </c>
      <c r="S10" s="83">
        <f>O10*50%</f>
        <v>7500000</v>
      </c>
      <c r="T10" s="67"/>
      <c r="U10" s="67"/>
      <c r="V10" s="67"/>
      <c r="W10" s="67"/>
      <c r="X10" s="67"/>
      <c r="Y10" s="83">
        <f>O10-S10</f>
        <v>7500000</v>
      </c>
      <c r="Z10" s="67"/>
      <c r="AA10" s="67"/>
      <c r="AB10" s="67">
        <f>O10-(SUM(S10:Z10))</f>
        <v>0</v>
      </c>
      <c r="AC10" s="68" t="s">
        <v>25</v>
      </c>
      <c r="AD10" s="68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91">
        <v>1</v>
      </c>
      <c r="AS10" s="63" t="s">
        <v>19</v>
      </c>
      <c r="AT10" s="92" t="s">
        <v>29</v>
      </c>
      <c r="AU10" s="63" t="s">
        <v>20</v>
      </c>
      <c r="AV10" s="70">
        <v>25000000</v>
      </c>
      <c r="AW10" s="71">
        <f>AV10*AT10*AR10</f>
        <v>25000000</v>
      </c>
    </row>
    <row r="11" spans="1:49" ht="18.75" customHeight="1" x14ac:dyDescent="0.15">
      <c r="A11" s="39"/>
      <c r="B11" s="40"/>
      <c r="C11" s="80"/>
      <c r="D11" s="42"/>
      <c r="E11" s="42"/>
      <c r="F11" s="93" t="s">
        <v>32</v>
      </c>
      <c r="G11" s="86"/>
      <c r="H11" s="45"/>
      <c r="I11" s="46"/>
      <c r="J11" s="89"/>
      <c r="K11" s="46"/>
      <c r="L11" s="90"/>
      <c r="M11" s="66"/>
      <c r="N11" s="50"/>
      <c r="O11" s="67"/>
      <c r="P11" s="53"/>
      <c r="Q11" s="53"/>
      <c r="R11" s="53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8"/>
      <c r="AD11" s="68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45"/>
      <c r="AS11" s="46"/>
      <c r="AT11" s="89"/>
      <c r="AU11" s="46"/>
      <c r="AV11" s="78"/>
      <c r="AW11" s="79"/>
    </row>
    <row r="12" spans="1:49" ht="18.75" customHeight="1" x14ac:dyDescent="0.15">
      <c r="A12" s="39"/>
      <c r="B12" s="40"/>
      <c r="C12" s="80"/>
      <c r="D12" s="42"/>
      <c r="E12" s="42"/>
      <c r="F12" s="93" t="s">
        <v>33</v>
      </c>
      <c r="G12" s="86"/>
      <c r="H12" s="45"/>
      <c r="I12" s="46"/>
      <c r="J12" s="89"/>
      <c r="K12" s="46"/>
      <c r="L12" s="90"/>
      <c r="M12" s="66"/>
      <c r="N12" s="50"/>
      <c r="O12" s="67"/>
      <c r="P12" s="53"/>
      <c r="Q12" s="53"/>
      <c r="R12" s="53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8"/>
      <c r="AD12" s="68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45"/>
      <c r="AS12" s="46"/>
      <c r="AT12" s="89"/>
      <c r="AU12" s="46"/>
      <c r="AV12" s="78"/>
      <c r="AW12" s="79"/>
    </row>
    <row r="13" spans="1:49" ht="18.75" customHeight="1" x14ac:dyDescent="0.15">
      <c r="A13" s="39"/>
      <c r="B13" s="40"/>
      <c r="C13" s="80"/>
      <c r="D13" s="42"/>
      <c r="E13" s="42"/>
      <c r="F13" s="93" t="s">
        <v>34</v>
      </c>
      <c r="G13" s="86"/>
      <c r="H13" s="45"/>
      <c r="I13" s="46"/>
      <c r="J13" s="89"/>
      <c r="K13" s="46"/>
      <c r="L13" s="90"/>
      <c r="M13" s="66"/>
      <c r="N13" s="50"/>
      <c r="O13" s="67"/>
      <c r="P13" s="53"/>
      <c r="Q13" s="53"/>
      <c r="R13" s="53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8"/>
      <c r="AD13" s="68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45"/>
      <c r="AS13" s="46"/>
      <c r="AT13" s="89"/>
      <c r="AU13" s="46"/>
      <c r="AV13" s="78"/>
      <c r="AW13" s="79"/>
    </row>
    <row r="14" spans="1:49" ht="18.75" customHeight="1" x14ac:dyDescent="0.15">
      <c r="A14" s="39"/>
      <c r="B14" s="40"/>
      <c r="C14" s="80"/>
      <c r="D14" s="42"/>
      <c r="E14" s="42"/>
      <c r="F14" s="93" t="s">
        <v>35</v>
      </c>
      <c r="G14" s="86"/>
      <c r="H14" s="45"/>
      <c r="I14" s="46"/>
      <c r="J14" s="89"/>
      <c r="K14" s="46"/>
      <c r="L14" s="90"/>
      <c r="M14" s="66"/>
      <c r="N14" s="50"/>
      <c r="O14" s="67"/>
      <c r="P14" s="53"/>
      <c r="Q14" s="53"/>
      <c r="R14" s="53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8"/>
      <c r="AD14" s="68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45"/>
      <c r="AS14" s="46"/>
      <c r="AT14" s="89"/>
      <c r="AU14" s="46"/>
      <c r="AV14" s="78"/>
      <c r="AW14" s="79"/>
    </row>
    <row r="15" spans="1:49" ht="18.75" customHeight="1" x14ac:dyDescent="0.15">
      <c r="A15" s="39"/>
      <c r="B15" s="40"/>
      <c r="C15" s="80"/>
      <c r="D15" s="42"/>
      <c r="E15" s="42"/>
      <c r="F15" s="93" t="s">
        <v>36</v>
      </c>
      <c r="G15" s="86"/>
      <c r="H15" s="45"/>
      <c r="I15" s="46"/>
      <c r="J15" s="89"/>
      <c r="K15" s="46"/>
      <c r="L15" s="90"/>
      <c r="M15" s="66"/>
      <c r="N15" s="50"/>
      <c r="O15" s="67"/>
      <c r="P15" s="53"/>
      <c r="Q15" s="53"/>
      <c r="R15" s="53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8"/>
      <c r="AD15" s="68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45"/>
      <c r="AS15" s="46"/>
      <c r="AT15" s="89"/>
      <c r="AU15" s="46"/>
      <c r="AV15" s="78"/>
      <c r="AW15" s="79"/>
    </row>
    <row r="16" spans="1:49" ht="18.75" customHeight="1" x14ac:dyDescent="0.15">
      <c r="A16" s="39"/>
      <c r="B16" s="40"/>
      <c r="C16" s="80"/>
      <c r="D16" s="42"/>
      <c r="E16" s="60" t="s">
        <v>37</v>
      </c>
      <c r="F16" s="43"/>
      <c r="G16" s="86"/>
      <c r="H16" s="62">
        <v>0</v>
      </c>
      <c r="I16" s="94" t="s">
        <v>19</v>
      </c>
      <c r="J16" s="95" t="s">
        <v>29</v>
      </c>
      <c r="K16" s="94" t="s">
        <v>20</v>
      </c>
      <c r="L16" s="67" t="s">
        <v>38</v>
      </c>
      <c r="M16" s="96" t="s">
        <v>38</v>
      </c>
      <c r="N16" s="50"/>
      <c r="O16" s="67"/>
      <c r="P16" s="53"/>
      <c r="Q16" s="53"/>
      <c r="R16" s="53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8"/>
      <c r="AD16" s="68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97">
        <v>0</v>
      </c>
      <c r="AS16" s="98" t="s">
        <v>19</v>
      </c>
      <c r="AT16" s="99" t="s">
        <v>29</v>
      </c>
      <c r="AU16" s="98" t="s">
        <v>20</v>
      </c>
      <c r="AV16" s="100" t="s">
        <v>38</v>
      </c>
      <c r="AW16" s="100" t="s">
        <v>38</v>
      </c>
    </row>
    <row r="17" spans="1:49" ht="18.75" customHeight="1" thickBot="1" x14ac:dyDescent="0.2">
      <c r="A17" s="39"/>
      <c r="B17" s="40"/>
      <c r="C17" s="80"/>
      <c r="D17" s="42"/>
      <c r="E17" s="42"/>
      <c r="F17" s="43"/>
      <c r="G17" s="86"/>
      <c r="H17" s="45"/>
      <c r="I17" s="46"/>
      <c r="J17" s="89"/>
      <c r="K17" s="46"/>
      <c r="L17" s="90"/>
      <c r="M17" s="101"/>
      <c r="N17" s="50"/>
      <c r="O17" s="51"/>
      <c r="P17" s="52"/>
      <c r="Q17" s="53"/>
      <c r="R17" s="52"/>
      <c r="S17" s="54"/>
      <c r="T17" s="54"/>
      <c r="U17" s="54"/>
      <c r="V17" s="54"/>
      <c r="W17" s="54"/>
      <c r="X17" s="54"/>
      <c r="Y17" s="54"/>
      <c r="Z17" s="54"/>
      <c r="AA17" s="54"/>
      <c r="AB17" s="67"/>
      <c r="AC17" s="55"/>
      <c r="AD17" s="55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45"/>
      <c r="AS17" s="46"/>
      <c r="AT17" s="89"/>
      <c r="AU17" s="46"/>
      <c r="AV17" s="78"/>
      <c r="AW17" s="102"/>
    </row>
    <row r="18" spans="1:49" ht="18.75" customHeight="1" x14ac:dyDescent="0.15">
      <c r="A18" s="19"/>
      <c r="B18" s="103" t="s">
        <v>39</v>
      </c>
      <c r="C18" s="21" t="s">
        <v>40</v>
      </c>
      <c r="D18" s="22"/>
      <c r="E18" s="22"/>
      <c r="F18" s="104"/>
      <c r="G18" s="104"/>
      <c r="H18" s="35"/>
      <c r="I18" s="35"/>
      <c r="J18" s="35"/>
      <c r="K18" s="36"/>
      <c r="L18" s="105"/>
      <c r="M18" s="106"/>
      <c r="N18" s="28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34"/>
      <c r="AD18" s="34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35"/>
      <c r="AS18" s="35"/>
      <c r="AT18" s="35"/>
      <c r="AU18" s="36"/>
      <c r="AV18" s="108"/>
      <c r="AW18" s="109"/>
    </row>
    <row r="19" spans="1:49" ht="18.75" customHeight="1" x14ac:dyDescent="0.15">
      <c r="A19" s="39"/>
      <c r="B19" s="40"/>
      <c r="C19" s="110" t="s">
        <v>41</v>
      </c>
      <c r="D19" s="73"/>
      <c r="E19" s="73"/>
      <c r="F19" s="111"/>
      <c r="G19" s="44"/>
      <c r="H19" s="112"/>
      <c r="I19" s="113"/>
      <c r="J19" s="112"/>
      <c r="K19" s="113"/>
      <c r="L19" s="114"/>
      <c r="M19" s="115"/>
      <c r="N19" s="116"/>
      <c r="O19" s="67"/>
      <c r="P19" s="117"/>
      <c r="Q19" s="53"/>
      <c r="R19" s="117"/>
      <c r="S19" s="118"/>
      <c r="T19" s="118"/>
      <c r="U19" s="118"/>
      <c r="V19" s="118"/>
      <c r="W19" s="118"/>
      <c r="X19" s="118"/>
      <c r="Y19" s="118"/>
      <c r="Z19" s="118"/>
      <c r="AA19" s="118"/>
      <c r="AB19" s="67"/>
      <c r="AC19" s="119"/>
      <c r="AD19" s="119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20"/>
      <c r="AS19" s="121"/>
      <c r="AT19" s="120"/>
      <c r="AU19" s="121"/>
      <c r="AV19" s="122"/>
      <c r="AW19" s="123"/>
    </row>
    <row r="20" spans="1:49" ht="18.75" customHeight="1" x14ac:dyDescent="0.15">
      <c r="A20" s="39"/>
      <c r="B20" s="40"/>
      <c r="C20" s="124"/>
      <c r="D20" s="125" t="s">
        <v>42</v>
      </c>
      <c r="E20" s="73"/>
      <c r="F20" s="111"/>
      <c r="G20" s="44"/>
      <c r="H20" s="126">
        <v>0</v>
      </c>
      <c r="I20" s="127" t="s">
        <v>19</v>
      </c>
      <c r="J20" s="126">
        <v>1</v>
      </c>
      <c r="K20" s="127" t="s">
        <v>20</v>
      </c>
      <c r="L20" s="81" t="s">
        <v>43</v>
      </c>
      <c r="M20" s="82" t="s">
        <v>43</v>
      </c>
      <c r="N20" s="116"/>
      <c r="O20" s="67"/>
      <c r="P20" s="53"/>
      <c r="Q20" s="53"/>
      <c r="R20" s="53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8"/>
      <c r="AD20" s="68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128">
        <v>0</v>
      </c>
      <c r="AS20" s="129" t="s">
        <v>19</v>
      </c>
      <c r="AT20" s="128">
        <v>1</v>
      </c>
      <c r="AU20" s="129" t="s">
        <v>20</v>
      </c>
      <c r="AV20" s="130" t="s">
        <v>44</v>
      </c>
      <c r="AW20" s="131" t="s">
        <v>44</v>
      </c>
    </row>
    <row r="21" spans="1:49" ht="18.75" customHeight="1" x14ac:dyDescent="0.15">
      <c r="A21" s="39"/>
      <c r="B21" s="40"/>
      <c r="C21" s="80"/>
      <c r="D21" s="132" t="s">
        <v>45</v>
      </c>
      <c r="E21" s="42"/>
      <c r="F21" s="111"/>
      <c r="G21" s="44"/>
      <c r="H21" s="126">
        <v>0</v>
      </c>
      <c r="I21" s="127" t="s">
        <v>19</v>
      </c>
      <c r="J21" s="126">
        <v>1</v>
      </c>
      <c r="K21" s="127" t="s">
        <v>20</v>
      </c>
      <c r="L21" s="87"/>
      <c r="M21" s="88"/>
      <c r="N21" s="116"/>
      <c r="O21" s="67"/>
      <c r="P21" s="53"/>
      <c r="Q21" s="53"/>
      <c r="R21" s="53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8"/>
      <c r="AD21" s="68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128">
        <v>0</v>
      </c>
      <c r="AS21" s="129" t="s">
        <v>19</v>
      </c>
      <c r="AT21" s="128">
        <v>1</v>
      </c>
      <c r="AU21" s="129" t="s">
        <v>20</v>
      </c>
      <c r="AV21" s="87"/>
      <c r="AW21" s="88"/>
    </row>
    <row r="22" spans="1:49" ht="18.75" customHeight="1" x14ac:dyDescent="0.15">
      <c r="A22" s="39"/>
      <c r="B22" s="40"/>
      <c r="C22" s="80"/>
      <c r="D22" s="132" t="s">
        <v>46</v>
      </c>
      <c r="E22" s="42"/>
      <c r="F22" s="111"/>
      <c r="G22" s="44"/>
      <c r="H22" s="126">
        <v>0</v>
      </c>
      <c r="I22" s="127" t="s">
        <v>19</v>
      </c>
      <c r="J22" s="126">
        <v>1</v>
      </c>
      <c r="K22" s="127" t="s">
        <v>20</v>
      </c>
      <c r="L22" s="133"/>
      <c r="M22" s="134"/>
      <c r="N22" s="116"/>
      <c r="O22" s="67"/>
      <c r="P22" s="53"/>
      <c r="Q22" s="53"/>
      <c r="R22" s="53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8"/>
      <c r="AD22" s="68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128">
        <v>0</v>
      </c>
      <c r="AS22" s="129" t="s">
        <v>19</v>
      </c>
      <c r="AT22" s="128">
        <v>1</v>
      </c>
      <c r="AU22" s="129" t="s">
        <v>20</v>
      </c>
      <c r="AV22" s="133"/>
      <c r="AW22" s="134"/>
    </row>
    <row r="23" spans="1:49" ht="18.75" customHeight="1" x14ac:dyDescent="0.15">
      <c r="A23" s="39"/>
      <c r="B23" s="40"/>
      <c r="C23" s="124"/>
      <c r="D23" s="125" t="s">
        <v>47</v>
      </c>
      <c r="E23" s="73"/>
      <c r="F23" s="111"/>
      <c r="G23" s="44"/>
      <c r="H23" s="126">
        <v>0</v>
      </c>
      <c r="I23" s="127" t="s">
        <v>19</v>
      </c>
      <c r="J23" s="126">
        <v>1</v>
      </c>
      <c r="K23" s="127" t="s">
        <v>20</v>
      </c>
      <c r="L23" s="67" t="s">
        <v>44</v>
      </c>
      <c r="M23" s="96" t="s">
        <v>44</v>
      </c>
      <c r="N23" s="116"/>
      <c r="O23" s="67"/>
      <c r="P23" s="53"/>
      <c r="Q23" s="53"/>
      <c r="R23" s="53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8"/>
      <c r="AD23" s="68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128">
        <v>0</v>
      </c>
      <c r="AS23" s="129" t="s">
        <v>19</v>
      </c>
      <c r="AT23" s="128">
        <v>1</v>
      </c>
      <c r="AU23" s="129" t="s">
        <v>20</v>
      </c>
      <c r="AV23" s="135" t="s">
        <v>44</v>
      </c>
      <c r="AW23" s="136" t="s">
        <v>44</v>
      </c>
    </row>
    <row r="24" spans="1:49" ht="18.75" customHeight="1" x14ac:dyDescent="0.15">
      <c r="A24" s="39"/>
      <c r="B24" s="40"/>
      <c r="C24" s="80"/>
      <c r="D24" s="132" t="s">
        <v>48</v>
      </c>
      <c r="E24" s="42"/>
      <c r="F24" s="111"/>
      <c r="G24" s="44"/>
      <c r="H24" s="126">
        <v>0</v>
      </c>
      <c r="I24" s="127" t="s">
        <v>49</v>
      </c>
      <c r="J24" s="126">
        <v>1</v>
      </c>
      <c r="K24" s="127" t="s">
        <v>20</v>
      </c>
      <c r="L24" s="67" t="s">
        <v>44</v>
      </c>
      <c r="M24" s="96" t="s">
        <v>44</v>
      </c>
      <c r="N24" s="116"/>
      <c r="O24" s="67"/>
      <c r="P24" s="53"/>
      <c r="Q24" s="53"/>
      <c r="R24" s="53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8"/>
      <c r="AD24" s="68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128">
        <v>0</v>
      </c>
      <c r="AS24" s="129" t="s">
        <v>49</v>
      </c>
      <c r="AT24" s="128">
        <v>1</v>
      </c>
      <c r="AU24" s="129" t="s">
        <v>20</v>
      </c>
      <c r="AV24" s="135" t="s">
        <v>44</v>
      </c>
      <c r="AW24" s="136" t="s">
        <v>44</v>
      </c>
    </row>
    <row r="25" spans="1:49" ht="18.75" customHeight="1" x14ac:dyDescent="0.15">
      <c r="A25" s="39"/>
      <c r="B25" s="40"/>
      <c r="C25" s="80"/>
      <c r="D25" s="132" t="s">
        <v>50</v>
      </c>
      <c r="E25" s="42"/>
      <c r="F25" s="111"/>
      <c r="G25" s="44"/>
      <c r="H25" s="126">
        <v>0</v>
      </c>
      <c r="I25" s="127" t="s">
        <v>19</v>
      </c>
      <c r="J25" s="126">
        <v>1</v>
      </c>
      <c r="K25" s="127" t="s">
        <v>20</v>
      </c>
      <c r="L25" s="67" t="s">
        <v>44</v>
      </c>
      <c r="M25" s="96" t="s">
        <v>44</v>
      </c>
      <c r="N25" s="116"/>
      <c r="O25" s="67"/>
      <c r="P25" s="53"/>
      <c r="Q25" s="53"/>
      <c r="R25" s="53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8"/>
      <c r="AD25" s="68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128">
        <v>0</v>
      </c>
      <c r="AS25" s="129" t="s">
        <v>19</v>
      </c>
      <c r="AT25" s="128">
        <v>1</v>
      </c>
      <c r="AU25" s="129" t="s">
        <v>20</v>
      </c>
      <c r="AV25" s="135" t="s">
        <v>44</v>
      </c>
      <c r="AW25" s="136" t="s">
        <v>44</v>
      </c>
    </row>
    <row r="26" spans="1:49" ht="18.75" customHeight="1" x14ac:dyDescent="0.15">
      <c r="A26" s="39"/>
      <c r="B26" s="40"/>
      <c r="C26" s="80"/>
      <c r="D26" s="42"/>
      <c r="E26" s="42"/>
      <c r="F26" s="111"/>
      <c r="G26" s="44"/>
      <c r="H26" s="112"/>
      <c r="I26" s="113"/>
      <c r="J26" s="112"/>
      <c r="K26" s="113"/>
      <c r="L26" s="67"/>
      <c r="M26" s="137"/>
      <c r="N26" s="116"/>
      <c r="O26" s="67"/>
      <c r="P26" s="117"/>
      <c r="Q26" s="53"/>
      <c r="R26" s="117"/>
      <c r="S26" s="118"/>
      <c r="T26" s="118"/>
      <c r="U26" s="118"/>
      <c r="V26" s="118"/>
      <c r="W26" s="118"/>
      <c r="X26" s="118"/>
      <c r="Y26" s="118"/>
      <c r="Z26" s="118"/>
      <c r="AA26" s="118"/>
      <c r="AB26" s="67"/>
      <c r="AC26" s="119"/>
      <c r="AD26" s="119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2"/>
      <c r="AS26" s="113"/>
      <c r="AT26" s="112"/>
      <c r="AU26" s="113"/>
      <c r="AV26" s="57"/>
      <c r="AW26" s="138"/>
    </row>
    <row r="27" spans="1:49" ht="18.75" customHeight="1" x14ac:dyDescent="0.15">
      <c r="A27" s="39"/>
      <c r="B27" s="40"/>
      <c r="C27" s="41" t="s">
        <v>51</v>
      </c>
      <c r="D27" s="42"/>
      <c r="E27" s="42"/>
      <c r="F27" s="111"/>
      <c r="G27" s="44"/>
      <c r="H27" s="112"/>
      <c r="I27" s="113"/>
      <c r="J27" s="112"/>
      <c r="K27" s="113"/>
      <c r="L27" s="67"/>
      <c r="M27" s="137"/>
      <c r="N27" s="116"/>
      <c r="O27" s="67"/>
      <c r="P27" s="117"/>
      <c r="Q27" s="53"/>
      <c r="R27" s="117"/>
      <c r="S27" s="118"/>
      <c r="T27" s="118"/>
      <c r="U27" s="118"/>
      <c r="V27" s="118"/>
      <c r="W27" s="118"/>
      <c r="X27" s="118"/>
      <c r="Y27" s="118"/>
      <c r="Z27" s="118"/>
      <c r="AA27" s="118"/>
      <c r="AB27" s="67"/>
      <c r="AC27" s="119"/>
      <c r="AD27" s="119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2"/>
      <c r="AS27" s="113"/>
      <c r="AT27" s="112"/>
      <c r="AU27" s="113"/>
      <c r="AV27" s="57"/>
      <c r="AW27" s="138"/>
    </row>
    <row r="28" spans="1:49" ht="18.75" customHeight="1" x14ac:dyDescent="0.15">
      <c r="A28" s="39"/>
      <c r="B28" s="40"/>
      <c r="C28" s="80"/>
      <c r="D28" s="60" t="s">
        <v>52</v>
      </c>
      <c r="E28" s="42"/>
      <c r="F28" s="111"/>
      <c r="G28" s="139" t="s">
        <v>53</v>
      </c>
      <c r="H28" s="140">
        <v>1</v>
      </c>
      <c r="I28" s="141" t="s">
        <v>54</v>
      </c>
      <c r="J28" s="140">
        <v>1</v>
      </c>
      <c r="K28" s="141" t="s">
        <v>20</v>
      </c>
      <c r="L28" s="67">
        <v>2500000</v>
      </c>
      <c r="M28" s="66">
        <f>L28*J28*H28</f>
        <v>2500000</v>
      </c>
      <c r="N28" s="116"/>
      <c r="O28" s="67">
        <v>1652500</v>
      </c>
      <c r="P28" s="53" t="b">
        <v>0</v>
      </c>
      <c r="Q28" s="53"/>
      <c r="R28" s="53"/>
      <c r="S28" s="67"/>
      <c r="T28" s="67"/>
      <c r="U28" s="83">
        <f>O28</f>
        <v>1652500</v>
      </c>
      <c r="V28" s="67"/>
      <c r="W28" s="67"/>
      <c r="X28" s="67"/>
      <c r="Y28" s="67"/>
      <c r="Z28" s="67"/>
      <c r="AA28" s="67"/>
      <c r="AB28" s="67">
        <f>O28-(SUM(S28:Z28))</f>
        <v>0</v>
      </c>
      <c r="AC28" s="68"/>
      <c r="AD28" s="68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140">
        <v>1</v>
      </c>
      <c r="AS28" s="141" t="s">
        <v>54</v>
      </c>
      <c r="AT28" s="140">
        <v>1</v>
      </c>
      <c r="AU28" s="141" t="s">
        <v>20</v>
      </c>
      <c r="AV28" s="70">
        <v>5000000</v>
      </c>
      <c r="AW28" s="71">
        <f>AV28*AT28*AR28</f>
        <v>5000000</v>
      </c>
    </row>
    <row r="29" spans="1:49" ht="18.75" customHeight="1" x14ac:dyDescent="0.15">
      <c r="A29" s="39"/>
      <c r="B29" s="40"/>
      <c r="C29" s="80"/>
      <c r="D29" s="42"/>
      <c r="E29" s="42"/>
      <c r="F29" s="111"/>
      <c r="G29" s="44"/>
      <c r="H29" s="112"/>
      <c r="I29" s="113"/>
      <c r="J29" s="112"/>
      <c r="K29" s="113"/>
      <c r="L29" s="67"/>
      <c r="M29" s="137"/>
      <c r="N29" s="116"/>
      <c r="O29" s="67"/>
      <c r="P29" s="117"/>
      <c r="Q29" s="53"/>
      <c r="R29" s="117"/>
      <c r="S29" s="118"/>
      <c r="T29" s="118"/>
      <c r="U29" s="118"/>
      <c r="V29" s="118"/>
      <c r="W29" s="118"/>
      <c r="X29" s="118"/>
      <c r="Y29" s="118"/>
      <c r="Z29" s="118"/>
      <c r="AA29" s="118"/>
      <c r="AB29" s="67"/>
      <c r="AC29" s="119"/>
      <c r="AD29" s="119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2"/>
      <c r="AS29" s="113"/>
      <c r="AT29" s="112"/>
      <c r="AU29" s="113"/>
      <c r="AV29" s="57"/>
      <c r="AW29" s="138"/>
    </row>
    <row r="30" spans="1:49" ht="18.75" customHeight="1" x14ac:dyDescent="0.15">
      <c r="A30" s="39"/>
      <c r="B30" s="40"/>
      <c r="C30" s="80"/>
      <c r="D30" s="42"/>
      <c r="E30" s="42"/>
      <c r="F30" s="111"/>
      <c r="G30" s="44"/>
      <c r="H30" s="112"/>
      <c r="I30" s="113"/>
      <c r="J30" s="112"/>
      <c r="K30" s="113"/>
      <c r="L30" s="67"/>
      <c r="M30" s="137"/>
      <c r="N30" s="116"/>
      <c r="O30" s="67"/>
      <c r="P30" s="117"/>
      <c r="Q30" s="53"/>
      <c r="R30" s="117"/>
      <c r="S30" s="118"/>
      <c r="T30" s="118"/>
      <c r="U30" s="118"/>
      <c r="V30" s="118"/>
      <c r="W30" s="118"/>
      <c r="X30" s="118"/>
      <c r="Y30" s="118"/>
      <c r="Z30" s="118"/>
      <c r="AA30" s="118"/>
      <c r="AB30" s="67"/>
      <c r="AC30" s="119"/>
      <c r="AD30" s="119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2"/>
      <c r="AS30" s="113"/>
      <c r="AT30" s="112"/>
      <c r="AU30" s="113"/>
      <c r="AV30" s="57"/>
      <c r="AW30" s="138"/>
    </row>
    <row r="31" spans="1:49" ht="18.75" customHeight="1" x14ac:dyDescent="0.15">
      <c r="A31" s="19"/>
      <c r="B31" s="103" t="s">
        <v>55</v>
      </c>
      <c r="C31" s="21" t="s">
        <v>56</v>
      </c>
      <c r="D31" s="22"/>
      <c r="E31" s="22"/>
      <c r="F31" s="104"/>
      <c r="G31" s="104"/>
      <c r="H31" s="142"/>
      <c r="I31" s="35"/>
      <c r="J31" s="35"/>
      <c r="K31" s="36"/>
      <c r="L31" s="26"/>
      <c r="M31" s="27"/>
      <c r="N31" s="28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34"/>
      <c r="AD31" s="34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142"/>
      <c r="AS31" s="35"/>
      <c r="AT31" s="35"/>
      <c r="AU31" s="36"/>
      <c r="AV31" s="108"/>
      <c r="AW31" s="109"/>
    </row>
    <row r="32" spans="1:49" ht="18.75" customHeight="1" x14ac:dyDescent="0.15">
      <c r="A32" s="39"/>
      <c r="B32" s="40"/>
      <c r="C32" s="110" t="s">
        <v>57</v>
      </c>
      <c r="D32" s="73"/>
      <c r="E32" s="73"/>
      <c r="F32" s="111"/>
      <c r="G32" s="111"/>
      <c r="H32" s="80"/>
      <c r="I32" s="143"/>
      <c r="J32" s="113"/>
      <c r="K32" s="113"/>
      <c r="L32" s="114"/>
      <c r="M32" s="115"/>
      <c r="N32" s="116"/>
      <c r="O32" s="67"/>
      <c r="P32" s="117"/>
      <c r="Q32" s="53"/>
      <c r="R32" s="117"/>
      <c r="S32" s="118"/>
      <c r="T32" s="118"/>
      <c r="U32" s="118"/>
      <c r="V32" s="118"/>
      <c r="W32" s="118"/>
      <c r="X32" s="118"/>
      <c r="Y32" s="118"/>
      <c r="Z32" s="118"/>
      <c r="AA32" s="118"/>
      <c r="AB32" s="67"/>
      <c r="AC32" s="119"/>
      <c r="AD32" s="119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80"/>
      <c r="AS32" s="143"/>
      <c r="AT32" s="113"/>
      <c r="AU32" s="113"/>
      <c r="AV32" s="144"/>
      <c r="AW32" s="145"/>
    </row>
    <row r="33" spans="1:49" ht="18.75" customHeight="1" x14ac:dyDescent="0.15">
      <c r="A33" s="39"/>
      <c r="B33" s="40"/>
      <c r="C33" s="124"/>
      <c r="D33" s="72" t="s">
        <v>58</v>
      </c>
      <c r="E33" s="73"/>
      <c r="F33" s="111"/>
      <c r="G33" s="146" t="s">
        <v>59</v>
      </c>
      <c r="H33" s="147">
        <v>2</v>
      </c>
      <c r="I33" s="62" t="s">
        <v>54</v>
      </c>
      <c r="J33" s="52">
        <v>1</v>
      </c>
      <c r="K33" s="52" t="s">
        <v>20</v>
      </c>
      <c r="L33" s="114">
        <v>250000</v>
      </c>
      <c r="M33" s="66">
        <f>L33*J33*H33</f>
        <v>500000</v>
      </c>
      <c r="N33" s="116"/>
      <c r="O33" s="148">
        <v>260000</v>
      </c>
      <c r="P33" s="53" t="b">
        <v>0</v>
      </c>
      <c r="Q33" s="53" t="s">
        <v>60</v>
      </c>
      <c r="R33" s="53"/>
      <c r="S33" s="67"/>
      <c r="T33" s="67"/>
      <c r="U33" s="149"/>
      <c r="V33" s="67"/>
      <c r="W33" s="67"/>
      <c r="X33" s="83">
        <f t="shared" ref="X33:X34" si="2">O33</f>
        <v>260000</v>
      </c>
      <c r="Y33" s="67"/>
      <c r="Z33" s="67"/>
      <c r="AA33" s="67"/>
      <c r="AB33" s="67">
        <f>O33-(SUM(S33:Z33))</f>
        <v>0</v>
      </c>
      <c r="AC33" s="68"/>
      <c r="AD33" s="68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147">
        <v>2</v>
      </c>
      <c r="AS33" s="62" t="s">
        <v>54</v>
      </c>
      <c r="AT33" s="52">
        <v>1</v>
      </c>
      <c r="AU33" s="52" t="s">
        <v>20</v>
      </c>
      <c r="AV33" s="70">
        <v>350000</v>
      </c>
      <c r="AW33" s="71">
        <f>AV33*AT33*AR33</f>
        <v>700000</v>
      </c>
    </row>
    <row r="34" spans="1:49" ht="18.75" customHeight="1" x14ac:dyDescent="0.15">
      <c r="A34" s="39"/>
      <c r="B34" s="40"/>
      <c r="C34" s="124"/>
      <c r="D34" s="72" t="s">
        <v>61</v>
      </c>
      <c r="E34" s="73"/>
      <c r="F34" s="111"/>
      <c r="G34" s="146"/>
      <c r="H34" s="147"/>
      <c r="I34" s="62"/>
      <c r="J34" s="52"/>
      <c r="K34" s="52"/>
      <c r="L34" s="114"/>
      <c r="M34" s="66"/>
      <c r="N34" s="116"/>
      <c r="O34" s="67">
        <v>150000</v>
      </c>
      <c r="P34" s="53" t="b">
        <v>0</v>
      </c>
      <c r="Q34" s="53" t="s">
        <v>62</v>
      </c>
      <c r="R34" s="53"/>
      <c r="S34" s="67"/>
      <c r="T34" s="67"/>
      <c r="U34" s="67"/>
      <c r="V34" s="67"/>
      <c r="W34" s="67"/>
      <c r="X34" s="83">
        <f t="shared" si="2"/>
        <v>150000</v>
      </c>
      <c r="Y34" s="67"/>
      <c r="Z34" s="67"/>
      <c r="AA34" s="67"/>
      <c r="AB34" s="67"/>
      <c r="AC34" s="68"/>
      <c r="AD34" s="68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147"/>
      <c r="AS34" s="62"/>
      <c r="AT34" s="52"/>
      <c r="AU34" s="52"/>
      <c r="AV34" s="70"/>
      <c r="AW34" s="71"/>
    </row>
    <row r="35" spans="1:49" ht="18.75" customHeight="1" x14ac:dyDescent="0.15">
      <c r="A35" s="39"/>
      <c r="B35" s="40"/>
      <c r="C35" s="124"/>
      <c r="D35" s="72" t="s">
        <v>63</v>
      </c>
      <c r="E35" s="73"/>
      <c r="F35" s="111"/>
      <c r="G35" s="146" t="s">
        <v>64</v>
      </c>
      <c r="H35" s="147">
        <v>10</v>
      </c>
      <c r="I35" s="62" t="s">
        <v>54</v>
      </c>
      <c r="J35" s="52">
        <v>1</v>
      </c>
      <c r="K35" s="52" t="s">
        <v>20</v>
      </c>
      <c r="L35" s="114">
        <v>275000</v>
      </c>
      <c r="M35" s="96">
        <f>L35*J35*H35</f>
        <v>2750000</v>
      </c>
      <c r="N35" s="116"/>
      <c r="O35" s="67">
        <f>M35</f>
        <v>2750000</v>
      </c>
      <c r="P35" s="53" t="b">
        <v>1</v>
      </c>
      <c r="Q35" s="53" t="s">
        <v>62</v>
      </c>
      <c r="R35" s="53" t="s">
        <v>65</v>
      </c>
      <c r="S35" s="67"/>
      <c r="T35" s="83">
        <f>O35*50%</f>
        <v>1375000</v>
      </c>
      <c r="U35" s="67"/>
      <c r="V35" s="67"/>
      <c r="W35" s="83">
        <f>O35-T35</f>
        <v>1375000</v>
      </c>
      <c r="X35" s="67"/>
      <c r="Y35" s="67"/>
      <c r="Z35" s="67"/>
      <c r="AA35" s="67"/>
      <c r="AB35" s="67">
        <f>O35-(SUM(S35:Z35))</f>
        <v>0</v>
      </c>
      <c r="AC35" s="68" t="s">
        <v>25</v>
      </c>
      <c r="AD35" s="68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147">
        <v>10</v>
      </c>
      <c r="AS35" s="62" t="s">
        <v>54</v>
      </c>
      <c r="AT35" s="52">
        <v>1</v>
      </c>
      <c r="AU35" s="52" t="s">
        <v>20</v>
      </c>
      <c r="AV35" s="70">
        <v>375000</v>
      </c>
      <c r="AW35" s="150">
        <f>AV35*AT35*AR35</f>
        <v>3750000</v>
      </c>
    </row>
    <row r="36" spans="1:49" ht="18.75" customHeight="1" x14ac:dyDescent="0.15">
      <c r="A36" s="39"/>
      <c r="B36" s="40"/>
      <c r="C36" s="124"/>
      <c r="D36" s="73"/>
      <c r="E36" s="73"/>
      <c r="F36" s="111"/>
      <c r="G36" s="111"/>
      <c r="H36" s="80"/>
      <c r="I36" s="143"/>
      <c r="J36" s="113"/>
      <c r="K36" s="113"/>
      <c r="L36" s="114"/>
      <c r="M36" s="115"/>
      <c r="N36" s="116"/>
      <c r="O36" s="67"/>
      <c r="P36" s="117"/>
      <c r="Q36" s="53"/>
      <c r="R36" s="117"/>
      <c r="S36" s="118"/>
      <c r="T36" s="118"/>
      <c r="U36" s="118"/>
      <c r="V36" s="118"/>
      <c r="W36" s="118"/>
      <c r="X36" s="118"/>
      <c r="Y36" s="118"/>
      <c r="Z36" s="118"/>
      <c r="AA36" s="118"/>
      <c r="AB36" s="67"/>
      <c r="AC36" s="119"/>
      <c r="AD36" s="119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80"/>
      <c r="AS36" s="143"/>
      <c r="AT36" s="113"/>
      <c r="AU36" s="113"/>
      <c r="AV36" s="57"/>
      <c r="AW36" s="145"/>
    </row>
    <row r="37" spans="1:49" ht="18.75" customHeight="1" x14ac:dyDescent="0.15">
      <c r="A37" s="39"/>
      <c r="B37" s="40"/>
      <c r="C37" s="110" t="s">
        <v>66</v>
      </c>
      <c r="D37" s="73"/>
      <c r="E37" s="73"/>
      <c r="F37" s="111"/>
      <c r="G37" s="111"/>
      <c r="H37" s="80"/>
      <c r="I37" s="143"/>
      <c r="J37" s="113"/>
      <c r="K37" s="113"/>
      <c r="L37" s="114"/>
      <c r="M37" s="115"/>
      <c r="N37" s="116"/>
      <c r="O37" s="67"/>
      <c r="P37" s="117"/>
      <c r="Q37" s="53"/>
      <c r="R37" s="117"/>
      <c r="S37" s="118"/>
      <c r="T37" s="118"/>
      <c r="U37" s="118"/>
      <c r="V37" s="118"/>
      <c r="W37" s="118"/>
      <c r="X37" s="118"/>
      <c r="Y37" s="118"/>
      <c r="Z37" s="118"/>
      <c r="AA37" s="118"/>
      <c r="AB37" s="67"/>
      <c r="AC37" s="119"/>
      <c r="AD37" s="119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80"/>
      <c r="AS37" s="143"/>
      <c r="AT37" s="113"/>
      <c r="AU37" s="113"/>
      <c r="AV37" s="144"/>
      <c r="AW37" s="145"/>
    </row>
    <row r="38" spans="1:49" ht="18.75" customHeight="1" x14ac:dyDescent="0.15">
      <c r="A38" s="39"/>
      <c r="B38" s="40"/>
      <c r="C38" s="124"/>
      <c r="D38" s="72" t="s">
        <v>67</v>
      </c>
      <c r="E38" s="73"/>
      <c r="F38" s="111"/>
      <c r="G38" s="111"/>
      <c r="H38" s="147">
        <v>1</v>
      </c>
      <c r="I38" s="62" t="s">
        <v>19</v>
      </c>
      <c r="J38" s="52">
        <v>1</v>
      </c>
      <c r="K38" s="52" t="s">
        <v>20</v>
      </c>
      <c r="L38" s="114">
        <v>0</v>
      </c>
      <c r="M38" s="66">
        <f t="shared" ref="M38:M40" si="3">L38*J38*H38</f>
        <v>0</v>
      </c>
      <c r="N38" s="116"/>
      <c r="O38" s="67"/>
      <c r="P38" s="53"/>
      <c r="Q38" s="53"/>
      <c r="R38" s="53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8"/>
      <c r="AD38" s="68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147">
        <v>1</v>
      </c>
      <c r="AS38" s="62" t="s">
        <v>19</v>
      </c>
      <c r="AT38" s="52">
        <v>1</v>
      </c>
      <c r="AU38" s="52" t="s">
        <v>20</v>
      </c>
      <c r="AV38" s="78"/>
      <c r="AW38" s="71">
        <f t="shared" ref="AW38:AW40" si="4">AV38*AT38*AR38</f>
        <v>0</v>
      </c>
    </row>
    <row r="39" spans="1:49" ht="18.75" customHeight="1" x14ac:dyDescent="0.15">
      <c r="A39" s="39"/>
      <c r="B39" s="40"/>
      <c r="C39" s="124"/>
      <c r="D39" s="72" t="s">
        <v>68</v>
      </c>
      <c r="E39" s="73"/>
      <c r="F39" s="111"/>
      <c r="G39" s="146" t="s">
        <v>69</v>
      </c>
      <c r="H39" s="147">
        <v>4</v>
      </c>
      <c r="I39" s="62" t="s">
        <v>54</v>
      </c>
      <c r="J39" s="52">
        <v>1</v>
      </c>
      <c r="K39" s="52" t="s">
        <v>20</v>
      </c>
      <c r="L39" s="114">
        <v>0</v>
      </c>
      <c r="M39" s="66">
        <f t="shared" si="3"/>
        <v>0</v>
      </c>
      <c r="N39" s="116"/>
      <c r="O39" s="67"/>
      <c r="P39" s="53"/>
      <c r="Q39" s="53"/>
      <c r="R39" s="53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8"/>
      <c r="AD39" s="68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147">
        <v>4</v>
      </c>
      <c r="AS39" s="62" t="s">
        <v>54</v>
      </c>
      <c r="AT39" s="52">
        <v>1</v>
      </c>
      <c r="AU39" s="52" t="s">
        <v>20</v>
      </c>
      <c r="AV39" s="78"/>
      <c r="AW39" s="71">
        <f t="shared" si="4"/>
        <v>0</v>
      </c>
    </row>
    <row r="40" spans="1:49" ht="18.75" customHeight="1" x14ac:dyDescent="0.15">
      <c r="A40" s="39"/>
      <c r="B40" s="40"/>
      <c r="C40" s="124"/>
      <c r="D40" s="72" t="s">
        <v>70</v>
      </c>
      <c r="E40" s="73"/>
      <c r="F40" s="111"/>
      <c r="G40" s="146" t="s">
        <v>71</v>
      </c>
      <c r="H40" s="147">
        <v>1</v>
      </c>
      <c r="I40" s="62" t="s">
        <v>72</v>
      </c>
      <c r="J40" s="52">
        <v>1</v>
      </c>
      <c r="K40" s="52" t="s">
        <v>20</v>
      </c>
      <c r="L40" s="114">
        <v>3500000</v>
      </c>
      <c r="M40" s="66">
        <f t="shared" si="3"/>
        <v>3500000</v>
      </c>
      <c r="N40" s="116"/>
      <c r="O40" s="148">
        <v>3435185.1851851852</v>
      </c>
      <c r="P40" s="53"/>
      <c r="Q40" s="53" t="s">
        <v>73</v>
      </c>
      <c r="R40" s="53" t="s">
        <v>74</v>
      </c>
      <c r="S40" s="83">
        <f>O40*30%</f>
        <v>1030555.5555555555</v>
      </c>
      <c r="T40" s="149"/>
      <c r="U40" s="67"/>
      <c r="V40" s="67"/>
      <c r="W40" s="67"/>
      <c r="X40" s="67"/>
      <c r="Y40" s="67"/>
      <c r="Z40" s="83">
        <f>O40-S40</f>
        <v>2404629.6296296297</v>
      </c>
      <c r="AA40" s="67"/>
      <c r="AB40" s="67">
        <f>O40-(SUM(S40:Z40))</f>
        <v>0</v>
      </c>
      <c r="AC40" s="68" t="s">
        <v>25</v>
      </c>
      <c r="AD40" s="68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147">
        <v>1</v>
      </c>
      <c r="AS40" s="62" t="s">
        <v>72</v>
      </c>
      <c r="AT40" s="52">
        <v>1</v>
      </c>
      <c r="AU40" s="52" t="s">
        <v>20</v>
      </c>
      <c r="AV40" s="70">
        <v>5000000</v>
      </c>
      <c r="AW40" s="71">
        <f t="shared" si="4"/>
        <v>5000000</v>
      </c>
    </row>
    <row r="41" spans="1:49" ht="18.75" customHeight="1" x14ac:dyDescent="0.15">
      <c r="A41" s="39"/>
      <c r="B41" s="40"/>
      <c r="C41" s="124"/>
      <c r="D41" s="125" t="s">
        <v>75</v>
      </c>
      <c r="E41" s="73"/>
      <c r="F41" s="111"/>
      <c r="G41" s="111"/>
      <c r="H41" s="80"/>
      <c r="I41" s="151" t="s">
        <v>54</v>
      </c>
      <c r="J41" s="152">
        <v>1</v>
      </c>
      <c r="K41" s="152" t="s">
        <v>20</v>
      </c>
      <c r="L41" s="153" t="s">
        <v>43</v>
      </c>
      <c r="M41" s="154" t="s">
        <v>43</v>
      </c>
      <c r="N41" s="116"/>
      <c r="O41" s="67"/>
      <c r="P41" s="53"/>
      <c r="Q41" s="53"/>
      <c r="R41" s="53"/>
      <c r="S41" s="67"/>
      <c r="T41" s="149"/>
      <c r="U41" s="67"/>
      <c r="V41" s="67"/>
      <c r="W41" s="67"/>
      <c r="X41" s="67"/>
      <c r="Y41" s="67"/>
      <c r="Z41" s="67"/>
      <c r="AA41" s="67"/>
      <c r="AB41" s="67"/>
      <c r="AC41" s="68"/>
      <c r="AD41" s="68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155"/>
      <c r="AS41" s="156" t="s">
        <v>54</v>
      </c>
      <c r="AT41" s="157">
        <v>1</v>
      </c>
      <c r="AU41" s="157" t="s">
        <v>20</v>
      </c>
      <c r="AV41" s="158" t="s">
        <v>43</v>
      </c>
      <c r="AW41" s="159" t="s">
        <v>43</v>
      </c>
    </row>
    <row r="42" spans="1:49" ht="18.75" customHeight="1" x14ac:dyDescent="0.15">
      <c r="A42" s="39"/>
      <c r="B42" s="40"/>
      <c r="C42" s="124"/>
      <c r="D42" s="125" t="s">
        <v>76</v>
      </c>
      <c r="E42" s="73"/>
      <c r="F42" s="111"/>
      <c r="G42" s="111"/>
      <c r="H42" s="160">
        <v>1</v>
      </c>
      <c r="I42" s="151" t="s">
        <v>54</v>
      </c>
      <c r="J42" s="152">
        <v>1</v>
      </c>
      <c r="K42" s="152" t="s">
        <v>20</v>
      </c>
      <c r="L42" s="153" t="s">
        <v>43</v>
      </c>
      <c r="M42" s="154" t="s">
        <v>43</v>
      </c>
      <c r="N42" s="116"/>
      <c r="O42" s="67"/>
      <c r="P42" s="53"/>
      <c r="Q42" s="53"/>
      <c r="R42" s="53"/>
      <c r="S42" s="67"/>
      <c r="T42" s="149"/>
      <c r="U42" s="67"/>
      <c r="V42" s="67"/>
      <c r="W42" s="67"/>
      <c r="X42" s="67"/>
      <c r="Y42" s="67"/>
      <c r="Z42" s="67"/>
      <c r="AA42" s="67"/>
      <c r="AB42" s="67"/>
      <c r="AC42" s="68"/>
      <c r="AD42" s="68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161">
        <v>1</v>
      </c>
      <c r="AS42" s="156" t="s">
        <v>54</v>
      </c>
      <c r="AT42" s="157">
        <v>1</v>
      </c>
      <c r="AU42" s="157" t="s">
        <v>20</v>
      </c>
      <c r="AV42" s="158" t="s">
        <v>43</v>
      </c>
      <c r="AW42" s="159" t="s">
        <v>43</v>
      </c>
    </row>
    <row r="43" spans="1:49" ht="18.75" customHeight="1" x14ac:dyDescent="0.15">
      <c r="A43" s="39"/>
      <c r="B43" s="40"/>
      <c r="C43" s="124"/>
      <c r="D43" s="125" t="s">
        <v>77</v>
      </c>
      <c r="E43" s="73"/>
      <c r="F43" s="111"/>
      <c r="G43" s="162" t="s">
        <v>78</v>
      </c>
      <c r="H43" s="160">
        <v>2</v>
      </c>
      <c r="I43" s="151" t="s">
        <v>54</v>
      </c>
      <c r="J43" s="152">
        <v>1</v>
      </c>
      <c r="K43" s="152" t="s">
        <v>20</v>
      </c>
      <c r="L43" s="153" t="s">
        <v>43</v>
      </c>
      <c r="M43" s="154" t="s">
        <v>43</v>
      </c>
      <c r="N43" s="116"/>
      <c r="O43" s="67"/>
      <c r="P43" s="163"/>
      <c r="Q43" s="53"/>
      <c r="R43" s="163"/>
      <c r="S43" s="164"/>
      <c r="T43" s="149"/>
      <c r="U43" s="164"/>
      <c r="V43" s="164"/>
      <c r="W43" s="164"/>
      <c r="X43" s="164"/>
      <c r="Y43" s="164"/>
      <c r="Z43" s="164"/>
      <c r="AA43" s="164"/>
      <c r="AB43" s="67"/>
      <c r="AC43" s="165"/>
      <c r="AD43" s="165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1">
        <v>2</v>
      </c>
      <c r="AS43" s="156" t="s">
        <v>54</v>
      </c>
      <c r="AT43" s="157">
        <v>1</v>
      </c>
      <c r="AU43" s="157" t="s">
        <v>20</v>
      </c>
      <c r="AV43" s="158" t="s">
        <v>43</v>
      </c>
      <c r="AW43" s="159" t="s">
        <v>43</v>
      </c>
    </row>
    <row r="44" spans="1:49" ht="18.75" customHeight="1" x14ac:dyDescent="0.15">
      <c r="A44" s="39"/>
      <c r="B44" s="40"/>
      <c r="C44" s="124"/>
      <c r="D44" s="125" t="s">
        <v>79</v>
      </c>
      <c r="E44" s="73"/>
      <c r="F44" s="111"/>
      <c r="G44" s="162" t="s">
        <v>78</v>
      </c>
      <c r="H44" s="160">
        <v>4</v>
      </c>
      <c r="I44" s="151" t="s">
        <v>54</v>
      </c>
      <c r="J44" s="152">
        <v>1</v>
      </c>
      <c r="K44" s="160" t="s">
        <v>20</v>
      </c>
      <c r="L44" s="164" t="s">
        <v>43</v>
      </c>
      <c r="M44" s="167" t="s">
        <v>43</v>
      </c>
      <c r="N44" s="116"/>
      <c r="O44" s="67"/>
      <c r="P44" s="163"/>
      <c r="Q44" s="53"/>
      <c r="R44" s="163"/>
      <c r="S44" s="164"/>
      <c r="T44" s="149"/>
      <c r="U44" s="164"/>
      <c r="V44" s="164"/>
      <c r="W44" s="164"/>
      <c r="X44" s="164"/>
      <c r="Y44" s="164"/>
      <c r="Z44" s="164"/>
      <c r="AA44" s="164"/>
      <c r="AB44" s="67"/>
      <c r="AC44" s="165"/>
      <c r="AD44" s="165"/>
      <c r="AE44" s="166"/>
      <c r="AF44" s="166"/>
      <c r="AG44" s="166"/>
      <c r="AH44" s="166"/>
      <c r="AI44" s="166"/>
      <c r="AJ44" s="166"/>
      <c r="AK44" s="166"/>
      <c r="AL44" s="166"/>
      <c r="AM44" s="166"/>
      <c r="AN44" s="166"/>
      <c r="AO44" s="166"/>
      <c r="AP44" s="166"/>
      <c r="AQ44" s="166"/>
      <c r="AR44" s="161">
        <v>4</v>
      </c>
      <c r="AS44" s="156" t="s">
        <v>54</v>
      </c>
      <c r="AT44" s="157">
        <v>1</v>
      </c>
      <c r="AU44" s="161" t="s">
        <v>20</v>
      </c>
      <c r="AV44" s="135" t="s">
        <v>43</v>
      </c>
      <c r="AW44" s="168" t="s">
        <v>43</v>
      </c>
    </row>
    <row r="45" spans="1:49" ht="18.75" customHeight="1" x14ac:dyDescent="0.15">
      <c r="A45" s="39"/>
      <c r="B45" s="40"/>
      <c r="C45" s="124"/>
      <c r="D45" s="73"/>
      <c r="E45" s="73"/>
      <c r="F45" s="111"/>
      <c r="G45" s="111"/>
      <c r="H45" s="80"/>
      <c r="I45" s="143"/>
      <c r="J45" s="113"/>
      <c r="K45" s="113"/>
      <c r="L45" s="114"/>
      <c r="M45" s="66"/>
      <c r="N45" s="116"/>
      <c r="O45" s="67"/>
      <c r="P45" s="53"/>
      <c r="Q45" s="53"/>
      <c r="R45" s="53"/>
      <c r="S45" s="67"/>
      <c r="T45" s="149"/>
      <c r="U45" s="67"/>
      <c r="V45" s="67"/>
      <c r="W45" s="67"/>
      <c r="X45" s="67"/>
      <c r="Y45" s="67"/>
      <c r="Z45" s="67"/>
      <c r="AA45" s="67"/>
      <c r="AB45" s="67"/>
      <c r="AC45" s="68"/>
      <c r="AD45" s="68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80"/>
      <c r="AS45" s="143"/>
      <c r="AT45" s="113"/>
      <c r="AU45" s="113"/>
      <c r="AV45" s="144"/>
      <c r="AW45" s="79"/>
    </row>
    <row r="46" spans="1:49" ht="18.75" customHeight="1" x14ac:dyDescent="0.15">
      <c r="A46" s="39"/>
      <c r="B46" s="40"/>
      <c r="C46" s="110" t="s">
        <v>80</v>
      </c>
      <c r="D46" s="73"/>
      <c r="E46" s="73"/>
      <c r="F46" s="111"/>
      <c r="G46" s="111"/>
      <c r="H46" s="80"/>
      <c r="I46" s="143"/>
      <c r="J46" s="113"/>
      <c r="K46" s="113"/>
      <c r="L46" s="114"/>
      <c r="M46" s="66"/>
      <c r="N46" s="116"/>
      <c r="O46" s="67"/>
      <c r="P46" s="53"/>
      <c r="Q46" s="53"/>
      <c r="R46" s="53"/>
      <c r="S46" s="67"/>
      <c r="T46" s="149"/>
      <c r="U46" s="67"/>
      <c r="V46" s="67"/>
      <c r="W46" s="67"/>
      <c r="X46" s="67"/>
      <c r="Y46" s="67"/>
      <c r="Z46" s="67"/>
      <c r="AA46" s="67"/>
      <c r="AB46" s="67"/>
      <c r="AC46" s="68"/>
      <c r="AD46" s="68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80"/>
      <c r="AS46" s="143"/>
      <c r="AT46" s="113"/>
      <c r="AU46" s="113"/>
      <c r="AV46" s="144"/>
      <c r="AW46" s="79"/>
    </row>
    <row r="47" spans="1:49" ht="18.75" customHeight="1" x14ac:dyDescent="0.15">
      <c r="A47" s="39"/>
      <c r="B47" s="40"/>
      <c r="C47" s="124"/>
      <c r="D47" s="72" t="s">
        <v>81</v>
      </c>
      <c r="E47" s="73"/>
      <c r="F47" s="111"/>
      <c r="G47" s="111"/>
      <c r="H47" s="147"/>
      <c r="I47" s="62" t="s">
        <v>54</v>
      </c>
      <c r="J47" s="52">
        <v>1</v>
      </c>
      <c r="K47" s="52" t="s">
        <v>20</v>
      </c>
      <c r="L47" s="114"/>
      <c r="M47" s="66">
        <f>L47*J47*H47</f>
        <v>0</v>
      </c>
      <c r="N47" s="116"/>
      <c r="O47" s="67"/>
      <c r="P47" s="53"/>
      <c r="Q47" s="53"/>
      <c r="R47" s="53"/>
      <c r="S47" s="67"/>
      <c r="T47" s="149"/>
      <c r="U47" s="67"/>
      <c r="V47" s="67"/>
      <c r="W47" s="67"/>
      <c r="X47" s="67"/>
      <c r="Y47" s="67"/>
      <c r="Z47" s="67"/>
      <c r="AA47" s="67"/>
      <c r="AB47" s="67"/>
      <c r="AC47" s="68"/>
      <c r="AD47" s="68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147">
        <v>2</v>
      </c>
      <c r="AS47" s="62" t="s">
        <v>54</v>
      </c>
      <c r="AT47" s="52">
        <v>1</v>
      </c>
      <c r="AU47" s="52" t="s">
        <v>20</v>
      </c>
      <c r="AV47" s="169">
        <v>275000</v>
      </c>
      <c r="AW47" s="71">
        <f>AV47*AT47*AR47</f>
        <v>550000</v>
      </c>
    </row>
    <row r="48" spans="1:49" ht="18.75" customHeight="1" x14ac:dyDescent="0.15">
      <c r="A48" s="39"/>
      <c r="B48" s="40"/>
      <c r="C48" s="124"/>
      <c r="D48" s="125" t="s">
        <v>77</v>
      </c>
      <c r="E48" s="73"/>
      <c r="F48" s="111"/>
      <c r="G48" s="162" t="s">
        <v>78</v>
      </c>
      <c r="H48" s="160">
        <v>8</v>
      </c>
      <c r="I48" s="151" t="s">
        <v>54</v>
      </c>
      <c r="J48" s="152">
        <v>1</v>
      </c>
      <c r="K48" s="152" t="s">
        <v>20</v>
      </c>
      <c r="L48" s="153" t="s">
        <v>43</v>
      </c>
      <c r="M48" s="154" t="s">
        <v>43</v>
      </c>
      <c r="N48" s="116"/>
      <c r="O48" s="67"/>
      <c r="P48" s="163"/>
      <c r="Q48" s="53"/>
      <c r="R48" s="163"/>
      <c r="S48" s="164"/>
      <c r="T48" s="149"/>
      <c r="U48" s="164"/>
      <c r="V48" s="164"/>
      <c r="W48" s="164"/>
      <c r="X48" s="164"/>
      <c r="Y48" s="164"/>
      <c r="Z48" s="164"/>
      <c r="AA48" s="164"/>
      <c r="AB48" s="67"/>
      <c r="AC48" s="165"/>
      <c r="AD48" s="165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6"/>
      <c r="AQ48" s="166"/>
      <c r="AR48" s="161">
        <v>8</v>
      </c>
      <c r="AS48" s="156" t="s">
        <v>54</v>
      </c>
      <c r="AT48" s="157">
        <v>1</v>
      </c>
      <c r="AU48" s="157" t="s">
        <v>20</v>
      </c>
      <c r="AV48" s="158" t="s">
        <v>43</v>
      </c>
      <c r="AW48" s="159" t="s">
        <v>43</v>
      </c>
    </row>
    <row r="49" spans="1:49" ht="18.75" customHeight="1" x14ac:dyDescent="0.15">
      <c r="A49" s="39"/>
      <c r="B49" s="40"/>
      <c r="C49" s="124"/>
      <c r="D49" s="125" t="s">
        <v>82</v>
      </c>
      <c r="E49" s="73"/>
      <c r="F49" s="111"/>
      <c r="G49" s="162" t="s">
        <v>78</v>
      </c>
      <c r="H49" s="160">
        <v>20</v>
      </c>
      <c r="I49" s="151" t="s">
        <v>54</v>
      </c>
      <c r="J49" s="152">
        <v>1</v>
      </c>
      <c r="K49" s="152" t="s">
        <v>20</v>
      </c>
      <c r="L49" s="153" t="s">
        <v>43</v>
      </c>
      <c r="M49" s="154" t="s">
        <v>43</v>
      </c>
      <c r="N49" s="116"/>
      <c r="O49" s="67"/>
      <c r="P49" s="163"/>
      <c r="Q49" s="53"/>
      <c r="R49" s="163"/>
      <c r="S49" s="164"/>
      <c r="T49" s="149"/>
      <c r="U49" s="164"/>
      <c r="V49" s="164"/>
      <c r="W49" s="164"/>
      <c r="X49" s="164"/>
      <c r="Y49" s="164"/>
      <c r="Z49" s="164"/>
      <c r="AA49" s="164"/>
      <c r="AB49" s="67"/>
      <c r="AC49" s="165"/>
      <c r="AD49" s="165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1">
        <v>20</v>
      </c>
      <c r="AS49" s="156" t="s">
        <v>54</v>
      </c>
      <c r="AT49" s="157">
        <v>1</v>
      </c>
      <c r="AU49" s="157" t="s">
        <v>20</v>
      </c>
      <c r="AV49" s="135" t="s">
        <v>43</v>
      </c>
      <c r="AW49" s="168" t="s">
        <v>43</v>
      </c>
    </row>
    <row r="50" spans="1:49" ht="18.75" customHeight="1" x14ac:dyDescent="0.15">
      <c r="A50" s="39"/>
      <c r="B50" s="40"/>
      <c r="C50" s="124"/>
      <c r="D50" s="73"/>
      <c r="E50" s="73"/>
      <c r="F50" s="111"/>
      <c r="G50" s="111"/>
      <c r="H50" s="80"/>
      <c r="I50" s="143"/>
      <c r="J50" s="113"/>
      <c r="K50" s="113"/>
      <c r="L50" s="114"/>
      <c r="M50" s="66"/>
      <c r="N50" s="116"/>
      <c r="O50" s="67"/>
      <c r="P50" s="53"/>
      <c r="Q50" s="53"/>
      <c r="R50" s="53"/>
      <c r="S50" s="67"/>
      <c r="T50" s="149"/>
      <c r="U50" s="67"/>
      <c r="V50" s="67"/>
      <c r="W50" s="67"/>
      <c r="X50" s="67"/>
      <c r="Y50" s="67"/>
      <c r="Z50" s="67"/>
      <c r="AA50" s="67"/>
      <c r="AB50" s="67"/>
      <c r="AC50" s="68"/>
      <c r="AD50" s="68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80"/>
      <c r="AS50" s="143"/>
      <c r="AT50" s="113"/>
      <c r="AU50" s="113"/>
      <c r="AV50" s="144"/>
      <c r="AW50" s="79"/>
    </row>
    <row r="51" spans="1:49" ht="18.75" customHeight="1" x14ac:dyDescent="0.15">
      <c r="A51" s="39"/>
      <c r="B51" s="40"/>
      <c r="C51" s="110" t="s">
        <v>83</v>
      </c>
      <c r="D51" s="73"/>
      <c r="E51" s="73"/>
      <c r="F51" s="111"/>
      <c r="G51" s="111"/>
      <c r="H51" s="80"/>
      <c r="I51" s="143"/>
      <c r="J51" s="113"/>
      <c r="K51" s="113"/>
      <c r="L51" s="114"/>
      <c r="M51" s="66"/>
      <c r="N51" s="116"/>
      <c r="O51" s="67"/>
      <c r="P51" s="53"/>
      <c r="Q51" s="53"/>
      <c r="R51" s="53"/>
      <c r="S51" s="67"/>
      <c r="T51" s="149"/>
      <c r="U51" s="67"/>
      <c r="V51" s="67"/>
      <c r="W51" s="67"/>
      <c r="X51" s="67"/>
      <c r="Y51" s="67"/>
      <c r="Z51" s="67"/>
      <c r="AA51" s="67"/>
      <c r="AB51" s="67"/>
      <c r="AC51" s="68"/>
      <c r="AD51" s="68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80"/>
      <c r="AS51" s="143"/>
      <c r="AT51" s="113"/>
      <c r="AU51" s="113"/>
      <c r="AV51" s="144"/>
      <c r="AW51" s="79"/>
    </row>
    <row r="52" spans="1:49" ht="18.75" customHeight="1" x14ac:dyDescent="0.15">
      <c r="A52" s="39"/>
      <c r="B52" s="40"/>
      <c r="C52" s="124"/>
      <c r="D52" s="125" t="s">
        <v>77</v>
      </c>
      <c r="E52" s="73"/>
      <c r="F52" s="111"/>
      <c r="G52" s="162" t="s">
        <v>78</v>
      </c>
      <c r="H52" s="160">
        <v>8</v>
      </c>
      <c r="I52" s="151" t="s">
        <v>54</v>
      </c>
      <c r="J52" s="152">
        <v>1</v>
      </c>
      <c r="K52" s="152" t="s">
        <v>20</v>
      </c>
      <c r="L52" s="153" t="s">
        <v>43</v>
      </c>
      <c r="M52" s="154" t="s">
        <v>43</v>
      </c>
      <c r="N52" s="116"/>
      <c r="O52" s="67"/>
      <c r="P52" s="163"/>
      <c r="Q52" s="53"/>
      <c r="R52" s="163"/>
      <c r="S52" s="164"/>
      <c r="T52" s="149"/>
      <c r="U52" s="164"/>
      <c r="V52" s="164"/>
      <c r="W52" s="164"/>
      <c r="X52" s="164"/>
      <c r="Y52" s="164"/>
      <c r="Z52" s="164"/>
      <c r="AA52" s="164"/>
      <c r="AB52" s="67"/>
      <c r="AC52" s="165"/>
      <c r="AD52" s="165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1">
        <v>8</v>
      </c>
      <c r="AS52" s="156" t="s">
        <v>54</v>
      </c>
      <c r="AT52" s="157">
        <v>1</v>
      </c>
      <c r="AU52" s="157" t="s">
        <v>20</v>
      </c>
      <c r="AV52" s="158" t="s">
        <v>43</v>
      </c>
      <c r="AW52" s="159" t="s">
        <v>43</v>
      </c>
    </row>
    <row r="53" spans="1:49" ht="18.75" customHeight="1" x14ac:dyDescent="0.15">
      <c r="A53" s="39"/>
      <c r="B53" s="40"/>
      <c r="C53" s="124"/>
      <c r="D53" s="125" t="s">
        <v>82</v>
      </c>
      <c r="E53" s="73"/>
      <c r="F53" s="111"/>
      <c r="G53" s="162" t="s">
        <v>78</v>
      </c>
      <c r="H53" s="160">
        <v>20</v>
      </c>
      <c r="I53" s="151" t="s">
        <v>54</v>
      </c>
      <c r="J53" s="152">
        <v>1</v>
      </c>
      <c r="K53" s="152" t="s">
        <v>20</v>
      </c>
      <c r="L53" s="153" t="s">
        <v>43</v>
      </c>
      <c r="M53" s="154" t="s">
        <v>43</v>
      </c>
      <c r="N53" s="116"/>
      <c r="O53" s="67"/>
      <c r="P53" s="163"/>
      <c r="Q53" s="53"/>
      <c r="R53" s="163"/>
      <c r="S53" s="164"/>
      <c r="T53" s="149"/>
      <c r="U53" s="164"/>
      <c r="V53" s="164"/>
      <c r="W53" s="164"/>
      <c r="X53" s="164"/>
      <c r="Y53" s="164"/>
      <c r="Z53" s="164"/>
      <c r="AA53" s="164"/>
      <c r="AB53" s="67"/>
      <c r="AC53" s="165"/>
      <c r="AD53" s="165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1">
        <v>20</v>
      </c>
      <c r="AS53" s="156" t="s">
        <v>54</v>
      </c>
      <c r="AT53" s="157">
        <v>1</v>
      </c>
      <c r="AU53" s="157" t="s">
        <v>20</v>
      </c>
      <c r="AV53" s="135" t="s">
        <v>43</v>
      </c>
      <c r="AW53" s="168" t="s">
        <v>43</v>
      </c>
    </row>
    <row r="54" spans="1:49" ht="18.75" customHeight="1" x14ac:dyDescent="0.15">
      <c r="A54" s="39"/>
      <c r="B54" s="40"/>
      <c r="C54" s="124"/>
      <c r="D54" s="73"/>
      <c r="E54" s="73"/>
      <c r="F54" s="111"/>
      <c r="G54" s="111"/>
      <c r="H54" s="80"/>
      <c r="I54" s="143"/>
      <c r="J54" s="113"/>
      <c r="K54" s="113"/>
      <c r="L54" s="114"/>
      <c r="M54" s="66"/>
      <c r="N54" s="116"/>
      <c r="O54" s="67"/>
      <c r="P54" s="53"/>
      <c r="Q54" s="53"/>
      <c r="R54" s="53"/>
      <c r="S54" s="67"/>
      <c r="T54" s="149"/>
      <c r="U54" s="67"/>
      <c r="V54" s="67"/>
      <c r="W54" s="67"/>
      <c r="X54" s="67"/>
      <c r="Y54" s="67"/>
      <c r="Z54" s="67"/>
      <c r="AA54" s="67"/>
      <c r="AB54" s="67"/>
      <c r="AC54" s="68"/>
      <c r="AD54" s="68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80"/>
      <c r="AS54" s="143"/>
      <c r="AT54" s="113"/>
      <c r="AU54" s="113"/>
      <c r="AV54" s="144"/>
      <c r="AW54" s="79"/>
    </row>
    <row r="55" spans="1:49" ht="18.75" customHeight="1" x14ac:dyDescent="0.15">
      <c r="A55" s="39"/>
      <c r="B55" s="40"/>
      <c r="C55" s="110" t="s">
        <v>84</v>
      </c>
      <c r="D55" s="73"/>
      <c r="E55" s="73"/>
      <c r="F55" s="111"/>
      <c r="G55" s="111"/>
      <c r="H55" s="80"/>
      <c r="I55" s="143"/>
      <c r="J55" s="113"/>
      <c r="K55" s="113"/>
      <c r="L55" s="114"/>
      <c r="M55" s="66"/>
      <c r="N55" s="116"/>
      <c r="O55" s="67"/>
      <c r="P55" s="53"/>
      <c r="Q55" s="53"/>
      <c r="R55" s="53"/>
      <c r="S55" s="67"/>
      <c r="T55" s="149"/>
      <c r="U55" s="67"/>
      <c r="V55" s="67"/>
      <c r="W55" s="67"/>
      <c r="X55" s="67"/>
      <c r="Y55" s="67"/>
      <c r="Z55" s="67"/>
      <c r="AA55" s="67"/>
      <c r="AB55" s="67"/>
      <c r="AC55" s="68"/>
      <c r="AD55" s="68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80"/>
      <c r="AS55" s="143"/>
      <c r="AT55" s="113"/>
      <c r="AU55" s="113"/>
      <c r="AV55" s="144"/>
      <c r="AW55" s="79"/>
    </row>
    <row r="56" spans="1:49" ht="18.75" customHeight="1" x14ac:dyDescent="0.15">
      <c r="A56" s="39"/>
      <c r="B56" s="40"/>
      <c r="C56" s="124"/>
      <c r="D56" s="125" t="s">
        <v>77</v>
      </c>
      <c r="E56" s="73"/>
      <c r="F56" s="111"/>
      <c r="G56" s="162" t="s">
        <v>78</v>
      </c>
      <c r="H56" s="160">
        <v>8</v>
      </c>
      <c r="I56" s="151" t="s">
        <v>54</v>
      </c>
      <c r="J56" s="152">
        <v>1</v>
      </c>
      <c r="K56" s="152" t="s">
        <v>20</v>
      </c>
      <c r="L56" s="153" t="s">
        <v>43</v>
      </c>
      <c r="M56" s="154" t="s">
        <v>43</v>
      </c>
      <c r="N56" s="116"/>
      <c r="O56" s="67"/>
      <c r="P56" s="163"/>
      <c r="Q56" s="53"/>
      <c r="R56" s="163"/>
      <c r="S56" s="164"/>
      <c r="T56" s="149"/>
      <c r="U56" s="164"/>
      <c r="V56" s="164"/>
      <c r="W56" s="164"/>
      <c r="X56" s="164"/>
      <c r="Y56" s="164"/>
      <c r="Z56" s="164"/>
      <c r="AA56" s="164"/>
      <c r="AB56" s="67"/>
      <c r="AC56" s="165"/>
      <c r="AD56" s="165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1">
        <v>8</v>
      </c>
      <c r="AS56" s="156" t="s">
        <v>54</v>
      </c>
      <c r="AT56" s="157">
        <v>1</v>
      </c>
      <c r="AU56" s="157" t="s">
        <v>20</v>
      </c>
      <c r="AV56" s="158" t="s">
        <v>43</v>
      </c>
      <c r="AW56" s="159" t="s">
        <v>43</v>
      </c>
    </row>
    <row r="57" spans="1:49" ht="18.75" customHeight="1" x14ac:dyDescent="0.15">
      <c r="A57" s="39"/>
      <c r="B57" s="40"/>
      <c r="C57" s="124"/>
      <c r="D57" s="125" t="s">
        <v>82</v>
      </c>
      <c r="E57" s="73"/>
      <c r="F57" s="111"/>
      <c r="G57" s="162" t="s">
        <v>78</v>
      </c>
      <c r="H57" s="160">
        <v>20</v>
      </c>
      <c r="I57" s="151" t="s">
        <v>54</v>
      </c>
      <c r="J57" s="152">
        <v>1</v>
      </c>
      <c r="K57" s="152" t="s">
        <v>20</v>
      </c>
      <c r="L57" s="153" t="s">
        <v>43</v>
      </c>
      <c r="M57" s="154" t="s">
        <v>43</v>
      </c>
      <c r="N57" s="116"/>
      <c r="O57" s="67"/>
      <c r="P57" s="163"/>
      <c r="Q57" s="53"/>
      <c r="R57" s="163"/>
      <c r="S57" s="164"/>
      <c r="T57" s="149"/>
      <c r="U57" s="164"/>
      <c r="V57" s="164"/>
      <c r="W57" s="164"/>
      <c r="X57" s="164"/>
      <c r="Y57" s="164"/>
      <c r="Z57" s="164"/>
      <c r="AA57" s="164"/>
      <c r="AB57" s="67"/>
      <c r="AC57" s="165"/>
      <c r="AD57" s="165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1">
        <v>20</v>
      </c>
      <c r="AS57" s="156" t="s">
        <v>54</v>
      </c>
      <c r="AT57" s="157">
        <v>1</v>
      </c>
      <c r="AU57" s="157" t="s">
        <v>20</v>
      </c>
      <c r="AV57" s="135" t="s">
        <v>43</v>
      </c>
      <c r="AW57" s="168" t="s">
        <v>43</v>
      </c>
    </row>
    <row r="58" spans="1:49" ht="18.75" customHeight="1" x14ac:dyDescent="0.15">
      <c r="A58" s="39"/>
      <c r="B58" s="40"/>
      <c r="C58" s="124"/>
      <c r="D58" s="73"/>
      <c r="E58" s="73"/>
      <c r="F58" s="111"/>
      <c r="G58" s="111"/>
      <c r="H58" s="80"/>
      <c r="I58" s="143"/>
      <c r="J58" s="113"/>
      <c r="K58" s="113"/>
      <c r="L58" s="114"/>
      <c r="M58" s="66"/>
      <c r="N58" s="116"/>
      <c r="O58" s="67"/>
      <c r="P58" s="53"/>
      <c r="Q58" s="53"/>
      <c r="R58" s="53"/>
      <c r="S58" s="67"/>
      <c r="T58" s="149"/>
      <c r="U58" s="67"/>
      <c r="V58" s="67"/>
      <c r="W58" s="67"/>
      <c r="X58" s="67"/>
      <c r="Y58" s="67"/>
      <c r="Z58" s="67"/>
      <c r="AA58" s="67"/>
      <c r="AB58" s="67"/>
      <c r="AC58" s="68"/>
      <c r="AD58" s="68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80"/>
      <c r="AS58" s="143"/>
      <c r="AT58" s="113"/>
      <c r="AU58" s="113"/>
      <c r="AV58" s="144"/>
      <c r="AW58" s="79"/>
    </row>
    <row r="59" spans="1:49" ht="18.75" customHeight="1" x14ac:dyDescent="0.15">
      <c r="A59" s="39"/>
      <c r="B59" s="40"/>
      <c r="C59" s="110" t="s">
        <v>85</v>
      </c>
      <c r="D59" s="73"/>
      <c r="E59" s="73"/>
      <c r="F59" s="111"/>
      <c r="G59" s="111"/>
      <c r="H59" s="80"/>
      <c r="I59" s="143"/>
      <c r="J59" s="113"/>
      <c r="K59" s="113"/>
      <c r="L59" s="114"/>
      <c r="M59" s="66"/>
      <c r="N59" s="116"/>
      <c r="O59" s="67"/>
      <c r="P59" s="53"/>
      <c r="Q59" s="53"/>
      <c r="R59" s="53"/>
      <c r="S59" s="67"/>
      <c r="T59" s="149"/>
      <c r="U59" s="67"/>
      <c r="V59" s="67"/>
      <c r="W59" s="67"/>
      <c r="X59" s="67"/>
      <c r="Y59" s="67"/>
      <c r="Z59" s="67"/>
      <c r="AA59" s="67"/>
      <c r="AB59" s="67"/>
      <c r="AC59" s="68"/>
      <c r="AD59" s="68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80"/>
      <c r="AS59" s="143"/>
      <c r="AT59" s="113"/>
      <c r="AU59" s="113"/>
      <c r="AV59" s="144"/>
      <c r="AW59" s="79"/>
    </row>
    <row r="60" spans="1:49" ht="18.75" customHeight="1" x14ac:dyDescent="0.15">
      <c r="A60" s="39"/>
      <c r="B60" s="40"/>
      <c r="C60" s="124"/>
      <c r="D60" s="125" t="s">
        <v>77</v>
      </c>
      <c r="E60" s="73"/>
      <c r="F60" s="111"/>
      <c r="G60" s="162" t="s">
        <v>78</v>
      </c>
      <c r="H60" s="160">
        <v>8</v>
      </c>
      <c r="I60" s="151" t="s">
        <v>54</v>
      </c>
      <c r="J60" s="152">
        <v>1</v>
      </c>
      <c r="K60" s="152" t="s">
        <v>20</v>
      </c>
      <c r="L60" s="153" t="s">
        <v>43</v>
      </c>
      <c r="M60" s="154" t="s">
        <v>43</v>
      </c>
      <c r="N60" s="116"/>
      <c r="O60" s="67"/>
      <c r="P60" s="163"/>
      <c r="Q60" s="53"/>
      <c r="R60" s="163"/>
      <c r="S60" s="164"/>
      <c r="T60" s="149"/>
      <c r="U60" s="164"/>
      <c r="V60" s="164"/>
      <c r="W60" s="164"/>
      <c r="X60" s="164"/>
      <c r="Y60" s="164"/>
      <c r="Z60" s="164"/>
      <c r="AA60" s="164"/>
      <c r="AB60" s="67"/>
      <c r="AC60" s="165"/>
      <c r="AD60" s="165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1">
        <v>8</v>
      </c>
      <c r="AS60" s="156" t="s">
        <v>54</v>
      </c>
      <c r="AT60" s="157">
        <v>1</v>
      </c>
      <c r="AU60" s="157" t="s">
        <v>20</v>
      </c>
      <c r="AV60" s="158" t="s">
        <v>43</v>
      </c>
      <c r="AW60" s="159" t="s">
        <v>43</v>
      </c>
    </row>
    <row r="61" spans="1:49" ht="18.75" customHeight="1" x14ac:dyDescent="0.15">
      <c r="A61" s="39"/>
      <c r="B61" s="40"/>
      <c r="C61" s="124"/>
      <c r="D61" s="125" t="s">
        <v>82</v>
      </c>
      <c r="E61" s="73"/>
      <c r="F61" s="111"/>
      <c r="G61" s="162" t="s">
        <v>78</v>
      </c>
      <c r="H61" s="160">
        <v>20</v>
      </c>
      <c r="I61" s="151" t="s">
        <v>54</v>
      </c>
      <c r="J61" s="152">
        <v>1</v>
      </c>
      <c r="K61" s="152" t="s">
        <v>20</v>
      </c>
      <c r="L61" s="153" t="s">
        <v>43</v>
      </c>
      <c r="M61" s="154" t="s">
        <v>43</v>
      </c>
      <c r="N61" s="116"/>
      <c r="O61" s="67"/>
      <c r="P61" s="163"/>
      <c r="Q61" s="53"/>
      <c r="R61" s="163"/>
      <c r="S61" s="164"/>
      <c r="T61" s="149"/>
      <c r="U61" s="164"/>
      <c r="V61" s="164"/>
      <c r="W61" s="164"/>
      <c r="X61" s="164"/>
      <c r="Y61" s="164"/>
      <c r="Z61" s="164"/>
      <c r="AA61" s="164"/>
      <c r="AB61" s="67"/>
      <c r="AC61" s="165"/>
      <c r="AD61" s="165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1">
        <v>20</v>
      </c>
      <c r="AS61" s="156" t="s">
        <v>54</v>
      </c>
      <c r="AT61" s="157">
        <v>1</v>
      </c>
      <c r="AU61" s="157" t="s">
        <v>20</v>
      </c>
      <c r="AV61" s="135" t="s">
        <v>43</v>
      </c>
      <c r="AW61" s="168" t="s">
        <v>43</v>
      </c>
    </row>
    <row r="62" spans="1:49" ht="18.75" customHeight="1" x14ac:dyDescent="0.15">
      <c r="A62" s="39"/>
      <c r="B62" s="40"/>
      <c r="C62" s="124"/>
      <c r="D62" s="73"/>
      <c r="E62" s="73"/>
      <c r="F62" s="111"/>
      <c r="G62" s="111"/>
      <c r="H62" s="80"/>
      <c r="I62" s="143"/>
      <c r="J62" s="113"/>
      <c r="K62" s="113"/>
      <c r="L62" s="114"/>
      <c r="M62" s="66"/>
      <c r="N62" s="116"/>
      <c r="O62" s="67"/>
      <c r="P62" s="53"/>
      <c r="Q62" s="53"/>
      <c r="R62" s="53"/>
      <c r="S62" s="67"/>
      <c r="T62" s="149"/>
      <c r="U62" s="67"/>
      <c r="V62" s="67"/>
      <c r="W62" s="67"/>
      <c r="X62" s="67"/>
      <c r="Y62" s="67"/>
      <c r="Z62" s="67"/>
      <c r="AA62" s="67"/>
      <c r="AB62" s="67"/>
      <c r="AC62" s="68"/>
      <c r="AD62" s="68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80"/>
      <c r="AS62" s="143"/>
      <c r="AT62" s="113"/>
      <c r="AU62" s="113"/>
      <c r="AV62" s="144"/>
      <c r="AW62" s="79"/>
    </row>
    <row r="63" spans="1:49" ht="18.75" customHeight="1" x14ac:dyDescent="0.15">
      <c r="A63" s="39"/>
      <c r="B63" s="40"/>
      <c r="C63" s="110" t="s">
        <v>86</v>
      </c>
      <c r="D63" s="73"/>
      <c r="E63" s="73"/>
      <c r="F63" s="111"/>
      <c r="G63" s="111"/>
      <c r="H63" s="80"/>
      <c r="I63" s="143"/>
      <c r="J63" s="113"/>
      <c r="K63" s="113"/>
      <c r="L63" s="114"/>
      <c r="M63" s="66"/>
      <c r="N63" s="116"/>
      <c r="O63" s="67"/>
      <c r="P63" s="53"/>
      <c r="Q63" s="53"/>
      <c r="R63" s="53"/>
      <c r="S63" s="67"/>
      <c r="T63" s="149"/>
      <c r="U63" s="67"/>
      <c r="V63" s="67"/>
      <c r="W63" s="67"/>
      <c r="X63" s="67"/>
      <c r="Y63" s="67"/>
      <c r="Z63" s="67"/>
      <c r="AA63" s="67"/>
      <c r="AB63" s="67"/>
      <c r="AC63" s="68"/>
      <c r="AD63" s="68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80"/>
      <c r="AS63" s="143"/>
      <c r="AT63" s="113"/>
      <c r="AU63" s="113"/>
      <c r="AV63" s="144"/>
      <c r="AW63" s="79"/>
    </row>
    <row r="64" spans="1:49" ht="18.75" customHeight="1" x14ac:dyDescent="0.15">
      <c r="A64" s="39"/>
      <c r="B64" s="40"/>
      <c r="C64" s="80"/>
      <c r="D64" s="60" t="s">
        <v>87</v>
      </c>
      <c r="E64" s="42"/>
      <c r="F64" s="111"/>
      <c r="G64" s="146" t="s">
        <v>71</v>
      </c>
      <c r="H64" s="147">
        <v>1</v>
      </c>
      <c r="I64" s="62" t="s">
        <v>72</v>
      </c>
      <c r="J64" s="52">
        <v>1</v>
      </c>
      <c r="K64" s="52" t="s">
        <v>20</v>
      </c>
      <c r="L64" s="67">
        <v>3500000</v>
      </c>
      <c r="M64" s="66">
        <f>L64*J64*H64</f>
        <v>3500000</v>
      </c>
      <c r="N64" s="116"/>
      <c r="O64" s="148">
        <v>3435185.1851851852</v>
      </c>
      <c r="P64" s="53"/>
      <c r="Q64" s="53" t="s">
        <v>73</v>
      </c>
      <c r="R64" s="53" t="s">
        <v>74</v>
      </c>
      <c r="S64" s="83">
        <f>O64*30%</f>
        <v>1030555.5555555555</v>
      </c>
      <c r="T64" s="149"/>
      <c r="U64" s="67"/>
      <c r="V64" s="67"/>
      <c r="W64" s="67"/>
      <c r="X64" s="67"/>
      <c r="Y64" s="67"/>
      <c r="Z64" s="83">
        <f>O64-S64</f>
        <v>2404629.6296296297</v>
      </c>
      <c r="AA64" s="67"/>
      <c r="AB64" s="67">
        <f>O64-(SUM(S64:Z64))</f>
        <v>0</v>
      </c>
      <c r="AC64" s="68" t="s">
        <v>25</v>
      </c>
      <c r="AD64" s="68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147">
        <v>1</v>
      </c>
      <c r="AS64" s="62" t="s">
        <v>72</v>
      </c>
      <c r="AT64" s="52">
        <v>1</v>
      </c>
      <c r="AU64" s="52" t="s">
        <v>20</v>
      </c>
      <c r="AV64" s="169">
        <v>5000000</v>
      </c>
      <c r="AW64" s="71">
        <f>AV64*AT64*AR64</f>
        <v>5000000</v>
      </c>
    </row>
    <row r="65" spans="1:49" ht="18.75" customHeight="1" x14ac:dyDescent="0.15">
      <c r="A65" s="39"/>
      <c r="B65" s="40"/>
      <c r="C65" s="80"/>
      <c r="D65" s="132" t="s">
        <v>76</v>
      </c>
      <c r="E65" s="42"/>
      <c r="F65" s="111"/>
      <c r="G65" s="44"/>
      <c r="H65" s="80"/>
      <c r="I65" s="151" t="s">
        <v>54</v>
      </c>
      <c r="J65" s="152">
        <v>1</v>
      </c>
      <c r="K65" s="152" t="s">
        <v>20</v>
      </c>
      <c r="L65" s="153" t="s">
        <v>43</v>
      </c>
      <c r="M65" s="154" t="s">
        <v>43</v>
      </c>
      <c r="N65" s="116"/>
      <c r="O65" s="67"/>
      <c r="P65" s="53"/>
      <c r="Q65" s="53"/>
      <c r="R65" s="53"/>
      <c r="S65" s="67"/>
      <c r="T65" s="149"/>
      <c r="U65" s="67"/>
      <c r="V65" s="67"/>
      <c r="W65" s="67"/>
      <c r="X65" s="67"/>
      <c r="Y65" s="67"/>
      <c r="Z65" s="67"/>
      <c r="AA65" s="67"/>
      <c r="AB65" s="67"/>
      <c r="AC65" s="68"/>
      <c r="AD65" s="68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155"/>
      <c r="AS65" s="156" t="s">
        <v>54</v>
      </c>
      <c r="AT65" s="157">
        <v>1</v>
      </c>
      <c r="AU65" s="157" t="s">
        <v>20</v>
      </c>
      <c r="AV65" s="158" t="s">
        <v>43</v>
      </c>
      <c r="AW65" s="159" t="s">
        <v>43</v>
      </c>
    </row>
    <row r="66" spans="1:49" ht="18.75" customHeight="1" x14ac:dyDescent="0.15">
      <c r="A66" s="39"/>
      <c r="B66" s="40"/>
      <c r="C66" s="80"/>
      <c r="D66" s="132" t="s">
        <v>75</v>
      </c>
      <c r="E66" s="42"/>
      <c r="F66" s="111"/>
      <c r="G66" s="44"/>
      <c r="H66" s="80"/>
      <c r="I66" s="151" t="s">
        <v>54</v>
      </c>
      <c r="J66" s="152">
        <v>1</v>
      </c>
      <c r="K66" s="152" t="s">
        <v>20</v>
      </c>
      <c r="L66" s="153" t="s">
        <v>43</v>
      </c>
      <c r="M66" s="154" t="s">
        <v>43</v>
      </c>
      <c r="N66" s="116"/>
      <c r="O66" s="67"/>
      <c r="P66" s="53"/>
      <c r="Q66" s="53"/>
      <c r="R66" s="53"/>
      <c r="S66" s="67"/>
      <c r="T66" s="149"/>
      <c r="U66" s="67"/>
      <c r="V66" s="67"/>
      <c r="W66" s="67"/>
      <c r="X66" s="67"/>
      <c r="Y66" s="67"/>
      <c r="Z66" s="67"/>
      <c r="AA66" s="67"/>
      <c r="AB66" s="67"/>
      <c r="AC66" s="68"/>
      <c r="AD66" s="68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155"/>
      <c r="AS66" s="156" t="s">
        <v>54</v>
      </c>
      <c r="AT66" s="157">
        <v>1</v>
      </c>
      <c r="AU66" s="157" t="s">
        <v>20</v>
      </c>
      <c r="AV66" s="158" t="s">
        <v>43</v>
      </c>
      <c r="AW66" s="159" t="s">
        <v>43</v>
      </c>
    </row>
    <row r="67" spans="1:49" ht="18.75" customHeight="1" x14ac:dyDescent="0.15">
      <c r="A67" s="39"/>
      <c r="B67" s="40"/>
      <c r="C67" s="80"/>
      <c r="D67" s="42"/>
      <c r="E67" s="42"/>
      <c r="F67" s="111"/>
      <c r="G67" s="44"/>
      <c r="H67" s="80"/>
      <c r="I67" s="143"/>
      <c r="J67" s="113"/>
      <c r="K67" s="113"/>
      <c r="L67" s="67"/>
      <c r="M67" s="66"/>
      <c r="N67" s="116"/>
      <c r="O67" s="67"/>
      <c r="P67" s="53"/>
      <c r="Q67" s="53"/>
      <c r="R67" s="53"/>
      <c r="S67" s="67"/>
      <c r="T67" s="149"/>
      <c r="U67" s="67"/>
      <c r="V67" s="67"/>
      <c r="W67" s="67"/>
      <c r="X67" s="67"/>
      <c r="Y67" s="67"/>
      <c r="Z67" s="67"/>
      <c r="AA67" s="67"/>
      <c r="AB67" s="67"/>
      <c r="AC67" s="68"/>
      <c r="AD67" s="68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80"/>
      <c r="AS67" s="143"/>
      <c r="AT67" s="113"/>
      <c r="AU67" s="113"/>
      <c r="AV67" s="57"/>
      <c r="AW67" s="79"/>
    </row>
    <row r="68" spans="1:49" ht="18.75" customHeight="1" x14ac:dyDescent="0.15">
      <c r="A68" s="39"/>
      <c r="B68" s="40"/>
      <c r="C68" s="41" t="s">
        <v>88</v>
      </c>
      <c r="D68" s="42"/>
      <c r="E68" s="42"/>
      <c r="F68" s="111"/>
      <c r="G68" s="44"/>
      <c r="H68" s="80"/>
      <c r="I68" s="143"/>
      <c r="J68" s="113"/>
      <c r="K68" s="113"/>
      <c r="L68" s="67"/>
      <c r="M68" s="66">
        <f t="shared" ref="M68:M73" si="5">L68*J68*H68</f>
        <v>0</v>
      </c>
      <c r="N68" s="116"/>
      <c r="O68" s="67"/>
      <c r="P68" s="53"/>
      <c r="Q68" s="52"/>
      <c r="R68" s="53"/>
      <c r="S68" s="67"/>
      <c r="T68" s="149"/>
      <c r="U68" s="67"/>
      <c r="V68" s="67"/>
      <c r="W68" s="67"/>
      <c r="X68" s="67"/>
      <c r="Y68" s="67"/>
      <c r="Z68" s="67"/>
      <c r="AA68" s="67"/>
      <c r="AB68" s="67"/>
      <c r="AC68" s="68"/>
      <c r="AD68" s="68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80"/>
      <c r="AS68" s="143"/>
      <c r="AT68" s="113"/>
      <c r="AU68" s="113"/>
      <c r="AV68" s="57"/>
      <c r="AW68" s="79"/>
    </row>
    <row r="69" spans="1:49" ht="18.75" customHeight="1" x14ac:dyDescent="0.15">
      <c r="A69" s="39"/>
      <c r="B69" s="40"/>
      <c r="C69" s="80"/>
      <c r="D69" s="60" t="s">
        <v>89</v>
      </c>
      <c r="E69" s="42"/>
      <c r="F69" s="43"/>
      <c r="G69" s="44"/>
      <c r="H69" s="170"/>
      <c r="I69" s="171"/>
      <c r="J69" s="170"/>
      <c r="K69" s="171"/>
      <c r="L69" s="67"/>
      <c r="M69" s="66">
        <f t="shared" si="5"/>
        <v>0</v>
      </c>
      <c r="N69" s="116"/>
      <c r="O69" s="67"/>
      <c r="P69" s="53"/>
      <c r="Q69" s="53"/>
      <c r="R69" s="53"/>
      <c r="S69" s="67"/>
      <c r="T69" s="149"/>
      <c r="U69" s="67"/>
      <c r="V69" s="67"/>
      <c r="W69" s="67"/>
      <c r="X69" s="67"/>
      <c r="Y69" s="67"/>
      <c r="Z69" s="67"/>
      <c r="AA69" s="67"/>
      <c r="AB69" s="67"/>
      <c r="AC69" s="68"/>
      <c r="AD69" s="68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170"/>
      <c r="AS69" s="171"/>
      <c r="AT69" s="170"/>
      <c r="AU69" s="171"/>
      <c r="AV69" s="57"/>
      <c r="AW69" s="79"/>
    </row>
    <row r="70" spans="1:49" ht="18.75" customHeight="1" x14ac:dyDescent="0.15">
      <c r="A70" s="39"/>
      <c r="B70" s="40"/>
      <c r="C70" s="80"/>
      <c r="D70" s="42"/>
      <c r="E70" s="60" t="s">
        <v>90</v>
      </c>
      <c r="F70" s="43"/>
      <c r="G70" s="139" t="s">
        <v>91</v>
      </c>
      <c r="H70" s="172">
        <v>1</v>
      </c>
      <c r="I70" s="173" t="s">
        <v>72</v>
      </c>
      <c r="J70" s="172">
        <v>1</v>
      </c>
      <c r="K70" s="173" t="s">
        <v>20</v>
      </c>
      <c r="L70" s="67">
        <v>6000000</v>
      </c>
      <c r="M70" s="66">
        <f t="shared" si="5"/>
        <v>6000000</v>
      </c>
      <c r="N70" s="116"/>
      <c r="O70" s="148">
        <v>5888888.888888889</v>
      </c>
      <c r="P70" s="53"/>
      <c r="Q70" s="53" t="s">
        <v>73</v>
      </c>
      <c r="R70" s="53" t="s">
        <v>74</v>
      </c>
      <c r="S70" s="83">
        <f t="shared" ref="S70:S73" si="6">O70*30%</f>
        <v>1766666.6666666667</v>
      </c>
      <c r="T70" s="149"/>
      <c r="U70" s="67"/>
      <c r="V70" s="67"/>
      <c r="W70" s="67"/>
      <c r="X70" s="67"/>
      <c r="Y70" s="67"/>
      <c r="Z70" s="83">
        <f t="shared" ref="Z70:Z73" si="7">O70-S70</f>
        <v>4122222.222222222</v>
      </c>
      <c r="AA70" s="67"/>
      <c r="AB70" s="67">
        <f t="shared" ref="AB70:AB78" si="8">O70-(SUM(S70:Z70))</f>
        <v>0</v>
      </c>
      <c r="AC70" s="68" t="s">
        <v>25</v>
      </c>
      <c r="AD70" s="68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172">
        <v>1</v>
      </c>
      <c r="AS70" s="173" t="s">
        <v>72</v>
      </c>
      <c r="AT70" s="172">
        <v>1</v>
      </c>
      <c r="AU70" s="173" t="s">
        <v>20</v>
      </c>
      <c r="AV70" s="169">
        <v>9000000</v>
      </c>
      <c r="AW70" s="71">
        <f t="shared" ref="AW70:AW73" si="9">AV70*AT70*AR70</f>
        <v>9000000</v>
      </c>
    </row>
    <row r="71" spans="1:49" ht="18.75" customHeight="1" x14ac:dyDescent="0.15">
      <c r="A71" s="39"/>
      <c r="B71" s="40"/>
      <c r="C71" s="80"/>
      <c r="D71" s="42"/>
      <c r="E71" s="60" t="s">
        <v>92</v>
      </c>
      <c r="F71" s="43"/>
      <c r="G71" s="139" t="s">
        <v>93</v>
      </c>
      <c r="H71" s="64">
        <v>1</v>
      </c>
      <c r="I71" s="173" t="s">
        <v>72</v>
      </c>
      <c r="J71" s="172">
        <v>1</v>
      </c>
      <c r="K71" s="173" t="s">
        <v>20</v>
      </c>
      <c r="L71" s="67">
        <v>11500000</v>
      </c>
      <c r="M71" s="66">
        <f t="shared" si="5"/>
        <v>11500000</v>
      </c>
      <c r="N71" s="116"/>
      <c r="O71" s="148">
        <v>11287037.037037037</v>
      </c>
      <c r="P71" s="53"/>
      <c r="Q71" s="53" t="s">
        <v>73</v>
      </c>
      <c r="R71" s="53" t="s">
        <v>74</v>
      </c>
      <c r="S71" s="83">
        <f t="shared" si="6"/>
        <v>3386111.111111111</v>
      </c>
      <c r="T71" s="149"/>
      <c r="U71" s="67"/>
      <c r="V71" s="67"/>
      <c r="W71" s="67"/>
      <c r="X71" s="67"/>
      <c r="Y71" s="67"/>
      <c r="Z71" s="83">
        <f t="shared" si="7"/>
        <v>7900925.9259259263</v>
      </c>
      <c r="AA71" s="67"/>
      <c r="AB71" s="67">
        <f t="shared" si="8"/>
        <v>0</v>
      </c>
      <c r="AC71" s="68" t="s">
        <v>25</v>
      </c>
      <c r="AD71" s="68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4">
        <v>1</v>
      </c>
      <c r="AS71" s="173" t="s">
        <v>72</v>
      </c>
      <c r="AT71" s="172">
        <v>1</v>
      </c>
      <c r="AU71" s="173" t="s">
        <v>20</v>
      </c>
      <c r="AV71" s="169">
        <v>15000000</v>
      </c>
      <c r="AW71" s="71">
        <f t="shared" si="9"/>
        <v>15000000</v>
      </c>
    </row>
    <row r="72" spans="1:49" ht="18.75" customHeight="1" x14ac:dyDescent="0.15">
      <c r="A72" s="39"/>
      <c r="B72" s="40"/>
      <c r="C72" s="80"/>
      <c r="D72" s="42"/>
      <c r="E72" s="60" t="s">
        <v>94</v>
      </c>
      <c r="F72" s="43"/>
      <c r="G72" s="139" t="s">
        <v>95</v>
      </c>
      <c r="H72" s="64">
        <v>1</v>
      </c>
      <c r="I72" s="173" t="s">
        <v>72</v>
      </c>
      <c r="J72" s="172">
        <v>1</v>
      </c>
      <c r="K72" s="173" t="s">
        <v>20</v>
      </c>
      <c r="L72" s="67">
        <v>5500000</v>
      </c>
      <c r="M72" s="66">
        <f t="shared" si="5"/>
        <v>5500000</v>
      </c>
      <c r="N72" s="116"/>
      <c r="O72" s="148">
        <v>5398148.1481481483</v>
      </c>
      <c r="P72" s="53"/>
      <c r="Q72" s="53" t="s">
        <v>73</v>
      </c>
      <c r="R72" s="53" t="s">
        <v>74</v>
      </c>
      <c r="S72" s="83">
        <f t="shared" si="6"/>
        <v>1619444.4444444445</v>
      </c>
      <c r="T72" s="149"/>
      <c r="U72" s="67"/>
      <c r="V72" s="67"/>
      <c r="W72" s="67"/>
      <c r="X72" s="67"/>
      <c r="Y72" s="67"/>
      <c r="Z72" s="83">
        <f t="shared" si="7"/>
        <v>3778703.7037037038</v>
      </c>
      <c r="AA72" s="67"/>
      <c r="AB72" s="67">
        <f t="shared" si="8"/>
        <v>0</v>
      </c>
      <c r="AC72" s="68" t="s">
        <v>25</v>
      </c>
      <c r="AD72" s="68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4">
        <v>1</v>
      </c>
      <c r="AS72" s="173" t="s">
        <v>72</v>
      </c>
      <c r="AT72" s="172">
        <v>1</v>
      </c>
      <c r="AU72" s="173" t="s">
        <v>20</v>
      </c>
      <c r="AV72" s="169">
        <v>7500000</v>
      </c>
      <c r="AW72" s="71">
        <f t="shared" si="9"/>
        <v>7500000</v>
      </c>
    </row>
    <row r="73" spans="1:49" ht="18.75" customHeight="1" x14ac:dyDescent="0.15">
      <c r="A73" s="39"/>
      <c r="B73" s="40"/>
      <c r="C73" s="80"/>
      <c r="D73" s="42"/>
      <c r="E73" s="60" t="s">
        <v>96</v>
      </c>
      <c r="F73" s="43"/>
      <c r="G73" s="139" t="s">
        <v>97</v>
      </c>
      <c r="H73" s="64">
        <v>2</v>
      </c>
      <c r="I73" s="173" t="s">
        <v>72</v>
      </c>
      <c r="J73" s="172">
        <v>1</v>
      </c>
      <c r="K73" s="173" t="s">
        <v>20</v>
      </c>
      <c r="L73" s="67">
        <v>500000</v>
      </c>
      <c r="M73" s="66">
        <f t="shared" si="5"/>
        <v>1000000</v>
      </c>
      <c r="N73" s="116"/>
      <c r="O73" s="148">
        <v>981481.48148148146</v>
      </c>
      <c r="P73" s="53"/>
      <c r="Q73" s="53" t="s">
        <v>73</v>
      </c>
      <c r="R73" s="53" t="s">
        <v>74</v>
      </c>
      <c r="S73" s="83">
        <f t="shared" si="6"/>
        <v>294444.44444444444</v>
      </c>
      <c r="T73" s="149"/>
      <c r="U73" s="67"/>
      <c r="V73" s="67"/>
      <c r="W73" s="67"/>
      <c r="X73" s="67"/>
      <c r="Y73" s="67"/>
      <c r="Z73" s="83">
        <f t="shared" si="7"/>
        <v>687037.03703703708</v>
      </c>
      <c r="AA73" s="67"/>
      <c r="AB73" s="67">
        <f t="shared" si="8"/>
        <v>0</v>
      </c>
      <c r="AC73" s="68" t="s">
        <v>25</v>
      </c>
      <c r="AD73" s="68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4">
        <v>2</v>
      </c>
      <c r="AS73" s="173" t="s">
        <v>72</v>
      </c>
      <c r="AT73" s="172">
        <v>1</v>
      </c>
      <c r="AU73" s="173" t="s">
        <v>20</v>
      </c>
      <c r="AV73" s="169">
        <v>2000000</v>
      </c>
      <c r="AW73" s="71">
        <f t="shared" si="9"/>
        <v>4000000</v>
      </c>
    </row>
    <row r="74" spans="1:49" ht="18.75" customHeight="1" x14ac:dyDescent="0.15">
      <c r="A74" s="39"/>
      <c r="B74" s="40"/>
      <c r="C74" s="80"/>
      <c r="D74" s="60" t="s">
        <v>98</v>
      </c>
      <c r="E74" s="42"/>
      <c r="F74" s="43"/>
      <c r="G74" s="44"/>
      <c r="H74" s="77"/>
      <c r="I74" s="171"/>
      <c r="J74" s="170"/>
      <c r="K74" s="171"/>
      <c r="L74" s="67"/>
      <c r="M74" s="66"/>
      <c r="N74" s="116"/>
      <c r="O74" s="148"/>
      <c r="P74" s="53"/>
      <c r="Q74" s="53" t="s">
        <v>73</v>
      </c>
      <c r="R74" s="53"/>
      <c r="S74" s="83"/>
      <c r="T74" s="149"/>
      <c r="U74" s="67"/>
      <c r="V74" s="67"/>
      <c r="W74" s="67"/>
      <c r="X74" s="67"/>
      <c r="Y74" s="67"/>
      <c r="Z74" s="83"/>
      <c r="AA74" s="67"/>
      <c r="AB74" s="67">
        <f t="shared" si="8"/>
        <v>0</v>
      </c>
      <c r="AC74" s="68" t="s">
        <v>25</v>
      </c>
      <c r="AD74" s="68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77"/>
      <c r="AS74" s="171"/>
      <c r="AT74" s="170"/>
      <c r="AU74" s="171"/>
      <c r="AV74" s="57"/>
      <c r="AW74" s="79"/>
    </row>
    <row r="75" spans="1:49" ht="18.75" customHeight="1" x14ac:dyDescent="0.15">
      <c r="A75" s="39"/>
      <c r="B75" s="40"/>
      <c r="C75" s="80"/>
      <c r="D75" s="42"/>
      <c r="E75" s="60" t="s">
        <v>99</v>
      </c>
      <c r="F75" s="43"/>
      <c r="G75" s="139" t="s">
        <v>100</v>
      </c>
      <c r="H75" s="64">
        <v>1</v>
      </c>
      <c r="I75" s="173" t="s">
        <v>72</v>
      </c>
      <c r="J75" s="172">
        <v>1</v>
      </c>
      <c r="K75" s="173" t="s">
        <v>20</v>
      </c>
      <c r="L75" s="67">
        <v>7500000</v>
      </c>
      <c r="M75" s="66">
        <f t="shared" ref="M75:M80" si="10">L75*J75*H75</f>
        <v>7500000</v>
      </c>
      <c r="N75" s="116"/>
      <c r="O75" s="148">
        <v>7361111.111111111</v>
      </c>
      <c r="P75" s="53"/>
      <c r="Q75" s="53" t="s">
        <v>73</v>
      </c>
      <c r="R75" s="53" t="s">
        <v>74</v>
      </c>
      <c r="S75" s="83">
        <f t="shared" ref="S75:S77" si="11">O75*30%</f>
        <v>2208333.333333333</v>
      </c>
      <c r="T75" s="149"/>
      <c r="U75" s="67"/>
      <c r="V75" s="67"/>
      <c r="W75" s="67"/>
      <c r="X75" s="67"/>
      <c r="Y75" s="67"/>
      <c r="Z75" s="83">
        <f t="shared" ref="Z75:Z77" si="12">O75-S75</f>
        <v>5152777.777777778</v>
      </c>
      <c r="AA75" s="67"/>
      <c r="AB75" s="67">
        <f t="shared" si="8"/>
        <v>0</v>
      </c>
      <c r="AC75" s="68" t="s">
        <v>25</v>
      </c>
      <c r="AD75" s="68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4">
        <v>1</v>
      </c>
      <c r="AS75" s="173" t="s">
        <v>72</v>
      </c>
      <c r="AT75" s="172">
        <v>1</v>
      </c>
      <c r="AU75" s="173" t="s">
        <v>20</v>
      </c>
      <c r="AV75" s="169">
        <v>8000000</v>
      </c>
      <c r="AW75" s="71">
        <f t="shared" ref="AW75:AW80" si="13">AV75*AT75*AR75</f>
        <v>8000000</v>
      </c>
    </row>
    <row r="76" spans="1:49" ht="18.75" customHeight="1" x14ac:dyDescent="0.15">
      <c r="A76" s="39"/>
      <c r="B76" s="40"/>
      <c r="C76" s="80"/>
      <c r="D76" s="42"/>
      <c r="E76" s="60" t="s">
        <v>101</v>
      </c>
      <c r="F76" s="43"/>
      <c r="G76" s="139" t="s">
        <v>102</v>
      </c>
      <c r="H76" s="64">
        <v>1</v>
      </c>
      <c r="I76" s="173" t="s">
        <v>72</v>
      </c>
      <c r="J76" s="172">
        <v>1</v>
      </c>
      <c r="K76" s="173" t="s">
        <v>20</v>
      </c>
      <c r="L76" s="67">
        <v>5500000</v>
      </c>
      <c r="M76" s="66">
        <f t="shared" si="10"/>
        <v>5500000</v>
      </c>
      <c r="N76" s="116"/>
      <c r="O76" s="148">
        <v>5398148.1481481483</v>
      </c>
      <c r="P76" s="53"/>
      <c r="Q76" s="53" t="s">
        <v>73</v>
      </c>
      <c r="R76" s="53" t="s">
        <v>74</v>
      </c>
      <c r="S76" s="83">
        <f t="shared" si="11"/>
        <v>1619444.4444444445</v>
      </c>
      <c r="T76" s="149"/>
      <c r="U76" s="67"/>
      <c r="V76" s="67"/>
      <c r="W76" s="67"/>
      <c r="X76" s="67"/>
      <c r="Y76" s="67"/>
      <c r="Z76" s="83">
        <f t="shared" si="12"/>
        <v>3778703.7037037038</v>
      </c>
      <c r="AA76" s="67"/>
      <c r="AB76" s="67">
        <f t="shared" si="8"/>
        <v>0</v>
      </c>
      <c r="AC76" s="68" t="s">
        <v>25</v>
      </c>
      <c r="AD76" s="68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4">
        <v>1</v>
      </c>
      <c r="AS76" s="173" t="s">
        <v>72</v>
      </c>
      <c r="AT76" s="172">
        <v>1</v>
      </c>
      <c r="AU76" s="173" t="s">
        <v>20</v>
      </c>
      <c r="AV76" s="169">
        <v>8000000</v>
      </c>
      <c r="AW76" s="71">
        <f t="shared" si="13"/>
        <v>8000000</v>
      </c>
    </row>
    <row r="77" spans="1:49" ht="16" x14ac:dyDescent="0.15">
      <c r="A77" s="39"/>
      <c r="B77" s="40"/>
      <c r="C77" s="80"/>
      <c r="D77" s="60" t="s">
        <v>103</v>
      </c>
      <c r="E77" s="42"/>
      <c r="F77" s="43"/>
      <c r="G77" s="139" t="s">
        <v>104</v>
      </c>
      <c r="H77" s="64">
        <v>2</v>
      </c>
      <c r="I77" s="173" t="s">
        <v>72</v>
      </c>
      <c r="J77" s="172">
        <v>1</v>
      </c>
      <c r="K77" s="173" t="s">
        <v>20</v>
      </c>
      <c r="L77" s="67">
        <v>2500000</v>
      </c>
      <c r="M77" s="66">
        <f t="shared" si="10"/>
        <v>5000000</v>
      </c>
      <c r="N77" s="116"/>
      <c r="O77" s="148">
        <v>4907407.4074074076</v>
      </c>
      <c r="P77" s="53"/>
      <c r="Q77" s="53" t="s">
        <v>73</v>
      </c>
      <c r="R77" s="53" t="s">
        <v>74</v>
      </c>
      <c r="S77" s="83">
        <f t="shared" si="11"/>
        <v>1472222.2222222222</v>
      </c>
      <c r="T77" s="149"/>
      <c r="U77" s="67"/>
      <c r="V77" s="67"/>
      <c r="W77" s="67"/>
      <c r="X77" s="67"/>
      <c r="Y77" s="67"/>
      <c r="Z77" s="83">
        <f t="shared" si="12"/>
        <v>3435185.1851851856</v>
      </c>
      <c r="AA77" s="67"/>
      <c r="AB77" s="67">
        <f t="shared" si="8"/>
        <v>0</v>
      </c>
      <c r="AC77" s="68" t="s">
        <v>25</v>
      </c>
      <c r="AD77" s="68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4">
        <v>2</v>
      </c>
      <c r="AS77" s="173" t="s">
        <v>72</v>
      </c>
      <c r="AT77" s="172">
        <v>1</v>
      </c>
      <c r="AU77" s="173" t="s">
        <v>20</v>
      </c>
      <c r="AV77" s="169">
        <v>4000000</v>
      </c>
      <c r="AW77" s="71">
        <f t="shared" si="13"/>
        <v>8000000</v>
      </c>
    </row>
    <row r="78" spans="1:49" ht="18.75" customHeight="1" x14ac:dyDescent="0.15">
      <c r="A78" s="39"/>
      <c r="B78" s="40"/>
      <c r="C78" s="80"/>
      <c r="D78" s="60" t="s">
        <v>105</v>
      </c>
      <c r="E78" s="42"/>
      <c r="F78" s="43"/>
      <c r="G78" s="44" t="s">
        <v>106</v>
      </c>
      <c r="H78" s="64">
        <v>1</v>
      </c>
      <c r="I78" s="173" t="s">
        <v>72</v>
      </c>
      <c r="J78" s="172">
        <v>1</v>
      </c>
      <c r="K78" s="173" t="s">
        <v>20</v>
      </c>
      <c r="L78" s="67">
        <v>200000</v>
      </c>
      <c r="M78" s="66">
        <f t="shared" si="10"/>
        <v>200000</v>
      </c>
      <c r="N78" s="116"/>
      <c r="O78" s="67">
        <v>15000</v>
      </c>
      <c r="P78" s="53"/>
      <c r="Q78" s="53" t="s">
        <v>60</v>
      </c>
      <c r="R78" s="53"/>
      <c r="S78" s="67"/>
      <c r="T78" s="149"/>
      <c r="U78" s="149"/>
      <c r="V78" s="67"/>
      <c r="W78" s="149"/>
      <c r="X78" s="83">
        <f t="shared" ref="X78:X79" si="14">O78</f>
        <v>15000</v>
      </c>
      <c r="Y78" s="67"/>
      <c r="Z78" s="67"/>
      <c r="AA78" s="67"/>
      <c r="AB78" s="67">
        <f t="shared" si="8"/>
        <v>0</v>
      </c>
      <c r="AC78" s="68"/>
      <c r="AD78" s="68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4">
        <v>1</v>
      </c>
      <c r="AS78" s="173" t="s">
        <v>72</v>
      </c>
      <c r="AT78" s="172">
        <v>1</v>
      </c>
      <c r="AU78" s="173" t="s">
        <v>20</v>
      </c>
      <c r="AV78" s="169">
        <v>1500000</v>
      </c>
      <c r="AW78" s="71">
        <f t="shared" si="13"/>
        <v>1500000</v>
      </c>
    </row>
    <row r="79" spans="1:49" ht="18.75" customHeight="1" x14ac:dyDescent="0.15">
      <c r="A79" s="39"/>
      <c r="B79" s="40"/>
      <c r="C79" s="80"/>
      <c r="D79" s="60" t="s">
        <v>107</v>
      </c>
      <c r="E79" s="42"/>
      <c r="F79" s="43"/>
      <c r="G79" s="44"/>
      <c r="H79" s="64">
        <v>10</v>
      </c>
      <c r="I79" s="173" t="s">
        <v>108</v>
      </c>
      <c r="J79" s="172">
        <v>1</v>
      </c>
      <c r="K79" s="173" t="s">
        <v>109</v>
      </c>
      <c r="L79" s="67">
        <v>300000</v>
      </c>
      <c r="M79" s="66">
        <f t="shared" si="10"/>
        <v>3000000</v>
      </c>
      <c r="N79" s="116"/>
      <c r="O79" s="67">
        <v>1500000</v>
      </c>
      <c r="P79" s="53"/>
      <c r="Q79" s="53" t="s">
        <v>110</v>
      </c>
      <c r="R79" s="53" t="s">
        <v>111</v>
      </c>
      <c r="S79" s="149"/>
      <c r="T79" s="149"/>
      <c r="U79" s="149"/>
      <c r="V79" s="67"/>
      <c r="W79" s="149"/>
      <c r="X79" s="83">
        <f t="shared" si="14"/>
        <v>1500000</v>
      </c>
      <c r="Y79" s="67"/>
      <c r="Z79" s="67"/>
      <c r="AA79" s="67"/>
      <c r="AB79" s="67">
        <f>O79-(SUM(V79:Z79))</f>
        <v>0</v>
      </c>
      <c r="AC79" s="68"/>
      <c r="AD79" s="68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4">
        <v>10</v>
      </c>
      <c r="AS79" s="173" t="s">
        <v>108</v>
      </c>
      <c r="AT79" s="172">
        <v>1</v>
      </c>
      <c r="AU79" s="173" t="s">
        <v>109</v>
      </c>
      <c r="AV79" s="169">
        <v>750000</v>
      </c>
      <c r="AW79" s="71">
        <f t="shared" si="13"/>
        <v>7500000</v>
      </c>
    </row>
    <row r="80" spans="1:49" ht="16" x14ac:dyDescent="0.15">
      <c r="A80" s="39"/>
      <c r="B80" s="40"/>
      <c r="C80" s="80"/>
      <c r="D80" s="60" t="s">
        <v>112</v>
      </c>
      <c r="E80" s="42"/>
      <c r="F80" s="43"/>
      <c r="G80" s="139" t="s">
        <v>113</v>
      </c>
      <c r="H80" s="64">
        <v>2</v>
      </c>
      <c r="I80" s="173" t="s">
        <v>72</v>
      </c>
      <c r="J80" s="172">
        <v>1</v>
      </c>
      <c r="K80" s="173" t="s">
        <v>109</v>
      </c>
      <c r="L80" s="67">
        <v>500000</v>
      </c>
      <c r="M80" s="66">
        <f t="shared" si="10"/>
        <v>1000000</v>
      </c>
      <c r="N80" s="116"/>
      <c r="O80" s="67">
        <f>M80</f>
        <v>1000000</v>
      </c>
      <c r="P80" s="53"/>
      <c r="Q80" s="52" t="s">
        <v>114</v>
      </c>
      <c r="R80" s="53" t="s">
        <v>115</v>
      </c>
      <c r="S80" s="67"/>
      <c r="T80" s="149"/>
      <c r="U80" s="83">
        <f>O80</f>
        <v>1000000</v>
      </c>
      <c r="V80" s="67"/>
      <c r="W80" s="67"/>
      <c r="X80" s="67"/>
      <c r="Y80" s="67"/>
      <c r="Z80" s="67"/>
      <c r="AA80" s="67"/>
      <c r="AB80" s="67">
        <f>O80-(SUM(S80:Z80))</f>
        <v>0</v>
      </c>
      <c r="AC80" s="68"/>
      <c r="AD80" s="68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4">
        <v>12</v>
      </c>
      <c r="AS80" s="173" t="s">
        <v>72</v>
      </c>
      <c r="AT80" s="172">
        <v>1</v>
      </c>
      <c r="AU80" s="173" t="s">
        <v>109</v>
      </c>
      <c r="AV80" s="169">
        <v>750000</v>
      </c>
      <c r="AW80" s="71">
        <f t="shared" si="13"/>
        <v>9000000</v>
      </c>
    </row>
    <row r="81" spans="1:49" ht="16" x14ac:dyDescent="0.15">
      <c r="A81" s="39"/>
      <c r="B81" s="40"/>
      <c r="C81" s="80"/>
      <c r="D81" s="60"/>
      <c r="E81" s="42"/>
      <c r="F81" s="43"/>
      <c r="G81" s="139"/>
      <c r="H81" s="174">
        <v>10</v>
      </c>
      <c r="I81" s="175" t="s">
        <v>72</v>
      </c>
      <c r="J81" s="176">
        <v>1</v>
      </c>
      <c r="K81" s="175" t="s">
        <v>109</v>
      </c>
      <c r="L81" s="177" t="s">
        <v>116</v>
      </c>
      <c r="M81" s="178" t="s">
        <v>116</v>
      </c>
      <c r="N81" s="116"/>
      <c r="O81" s="67"/>
      <c r="P81" s="53"/>
      <c r="Q81" s="179"/>
      <c r="R81" s="53"/>
      <c r="S81" s="67"/>
      <c r="T81" s="149"/>
      <c r="U81" s="67"/>
      <c r="V81" s="67"/>
      <c r="W81" s="67"/>
      <c r="X81" s="67"/>
      <c r="Y81" s="67"/>
      <c r="Z81" s="67"/>
      <c r="AA81" s="67"/>
      <c r="AB81" s="67"/>
      <c r="AC81" s="68"/>
      <c r="AD81" s="68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4"/>
      <c r="AS81" s="173"/>
      <c r="AT81" s="172"/>
      <c r="AU81" s="173"/>
      <c r="AV81" s="169"/>
      <c r="AW81" s="71"/>
    </row>
    <row r="82" spans="1:49" ht="18.75" customHeight="1" x14ac:dyDescent="0.15">
      <c r="A82" s="39"/>
      <c r="B82" s="40"/>
      <c r="C82" s="80"/>
      <c r="D82" s="60" t="s">
        <v>117</v>
      </c>
      <c r="E82" s="42"/>
      <c r="F82" s="43"/>
      <c r="G82" s="139" t="s">
        <v>118</v>
      </c>
      <c r="H82" s="180">
        <v>24</v>
      </c>
      <c r="I82" s="181" t="s">
        <v>119</v>
      </c>
      <c r="J82" s="182">
        <v>1.5</v>
      </c>
      <c r="K82" s="181" t="s">
        <v>109</v>
      </c>
      <c r="L82" s="183"/>
      <c r="M82" s="184"/>
      <c r="N82" s="116"/>
      <c r="O82" s="67"/>
      <c r="P82" s="53"/>
      <c r="Q82" s="53"/>
      <c r="R82" s="53"/>
      <c r="S82" s="149"/>
      <c r="T82" s="149"/>
      <c r="U82" s="67"/>
      <c r="V82" s="67"/>
      <c r="W82" s="67"/>
      <c r="X82" s="67"/>
      <c r="Y82" s="67"/>
      <c r="Z82" s="67"/>
      <c r="AA82" s="67"/>
      <c r="AB82" s="67">
        <f t="shared" ref="AB82:AB87" si="15">O82-(SUM(U82:Z82))</f>
        <v>0</v>
      </c>
      <c r="AC82" s="68"/>
      <c r="AD82" s="68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185">
        <v>0</v>
      </c>
      <c r="AS82" s="186" t="s">
        <v>119</v>
      </c>
      <c r="AT82" s="187">
        <v>1</v>
      </c>
      <c r="AU82" s="186" t="s">
        <v>109</v>
      </c>
      <c r="AV82" s="188">
        <v>800000</v>
      </c>
      <c r="AW82" s="189">
        <f t="shared" ref="AW82:AW86" si="16">AV82*AT82*AR82</f>
        <v>0</v>
      </c>
    </row>
    <row r="83" spans="1:49" ht="18.75" customHeight="1" x14ac:dyDescent="0.15">
      <c r="A83" s="39"/>
      <c r="B83" s="40"/>
      <c r="C83" s="80"/>
      <c r="D83" s="42"/>
      <c r="E83" s="60" t="s">
        <v>120</v>
      </c>
      <c r="F83" s="43"/>
      <c r="G83" s="44"/>
      <c r="H83" s="180">
        <v>1</v>
      </c>
      <c r="I83" s="181" t="s">
        <v>72</v>
      </c>
      <c r="J83" s="180">
        <v>1</v>
      </c>
      <c r="K83" s="181" t="s">
        <v>109</v>
      </c>
      <c r="L83" s="183"/>
      <c r="M83" s="184"/>
      <c r="N83" s="116"/>
      <c r="O83" s="67">
        <f>M83</f>
        <v>0</v>
      </c>
      <c r="P83" s="53"/>
      <c r="Q83" s="53"/>
      <c r="R83" s="53"/>
      <c r="S83" s="149"/>
      <c r="T83" s="149"/>
      <c r="U83" s="67"/>
      <c r="V83" s="67"/>
      <c r="W83" s="67"/>
      <c r="X83" s="67"/>
      <c r="Y83" s="67"/>
      <c r="Z83" s="67"/>
      <c r="AA83" s="67"/>
      <c r="AB83" s="67">
        <f t="shared" si="15"/>
        <v>0</v>
      </c>
      <c r="AC83" s="68"/>
      <c r="AD83" s="68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185">
        <v>0</v>
      </c>
      <c r="AS83" s="186" t="s">
        <v>72</v>
      </c>
      <c r="AT83" s="187">
        <v>1</v>
      </c>
      <c r="AU83" s="186" t="s">
        <v>109</v>
      </c>
      <c r="AV83" s="188">
        <v>3500000</v>
      </c>
      <c r="AW83" s="189">
        <f t="shared" si="16"/>
        <v>0</v>
      </c>
    </row>
    <row r="84" spans="1:49" ht="18.75" customHeight="1" x14ac:dyDescent="0.15">
      <c r="A84" s="39"/>
      <c r="B84" s="40"/>
      <c r="C84" s="80"/>
      <c r="D84" s="60" t="s">
        <v>121</v>
      </c>
      <c r="E84" s="42"/>
      <c r="F84" s="43"/>
      <c r="G84" s="139" t="s">
        <v>122</v>
      </c>
      <c r="H84" s="64">
        <v>1</v>
      </c>
      <c r="I84" s="173" t="s">
        <v>72</v>
      </c>
      <c r="J84" s="172">
        <v>1</v>
      </c>
      <c r="K84" s="173" t="s">
        <v>20</v>
      </c>
      <c r="L84" s="67"/>
      <c r="M84" s="66"/>
      <c r="N84" s="116"/>
      <c r="O84" s="67">
        <v>750000</v>
      </c>
      <c r="P84" s="53"/>
      <c r="Q84" s="53" t="s">
        <v>123</v>
      </c>
      <c r="R84" s="53" t="s">
        <v>124</v>
      </c>
      <c r="S84" s="149"/>
      <c r="T84" s="149"/>
      <c r="U84" s="67"/>
      <c r="V84" s="67"/>
      <c r="W84" s="67"/>
      <c r="X84" s="67"/>
      <c r="Y84" s="83">
        <f>O84</f>
        <v>750000</v>
      </c>
      <c r="Z84" s="67"/>
      <c r="AA84" s="67"/>
      <c r="AB84" s="67">
        <f t="shared" si="15"/>
        <v>0</v>
      </c>
      <c r="AC84" s="68"/>
      <c r="AD84" s="68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4">
        <v>1</v>
      </c>
      <c r="AS84" s="173" t="s">
        <v>72</v>
      </c>
      <c r="AT84" s="172">
        <v>1</v>
      </c>
      <c r="AU84" s="173" t="s">
        <v>20</v>
      </c>
      <c r="AV84" s="169">
        <v>1500000</v>
      </c>
      <c r="AW84" s="71">
        <f t="shared" si="16"/>
        <v>1500000</v>
      </c>
    </row>
    <row r="85" spans="1:49" ht="32" x14ac:dyDescent="0.15">
      <c r="A85" s="39"/>
      <c r="B85" s="40"/>
      <c r="C85" s="80"/>
      <c r="D85" s="60" t="s">
        <v>125</v>
      </c>
      <c r="E85" s="42"/>
      <c r="F85" s="43"/>
      <c r="G85" s="139" t="s">
        <v>126</v>
      </c>
      <c r="H85" s="180">
        <v>1</v>
      </c>
      <c r="I85" s="181" t="s">
        <v>19</v>
      </c>
      <c r="J85" s="182">
        <v>1.5</v>
      </c>
      <c r="K85" s="181" t="s">
        <v>109</v>
      </c>
      <c r="L85" s="183"/>
      <c r="M85" s="184"/>
      <c r="N85" s="116"/>
      <c r="O85" s="67">
        <f t="shared" ref="O85:O87" si="17">M85</f>
        <v>0</v>
      </c>
      <c r="P85" s="53"/>
      <c r="Q85" s="53"/>
      <c r="R85" s="53"/>
      <c r="S85" s="149"/>
      <c r="T85" s="149"/>
      <c r="U85" s="67"/>
      <c r="V85" s="67"/>
      <c r="W85" s="67"/>
      <c r="X85" s="67"/>
      <c r="Y85" s="67"/>
      <c r="Z85" s="67"/>
      <c r="AA85" s="67"/>
      <c r="AB85" s="67">
        <f t="shared" si="15"/>
        <v>0</v>
      </c>
      <c r="AC85" s="68"/>
      <c r="AD85" s="68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185">
        <v>0</v>
      </c>
      <c r="AS85" s="186" t="s">
        <v>19</v>
      </c>
      <c r="AT85" s="187">
        <v>1</v>
      </c>
      <c r="AU85" s="186" t="s">
        <v>109</v>
      </c>
      <c r="AV85" s="188">
        <v>15000000</v>
      </c>
      <c r="AW85" s="189">
        <f t="shared" si="16"/>
        <v>0</v>
      </c>
    </row>
    <row r="86" spans="1:49" ht="18.75" customHeight="1" x14ac:dyDescent="0.15">
      <c r="A86" s="39"/>
      <c r="B86" s="40"/>
      <c r="C86" s="80"/>
      <c r="D86" s="60" t="s">
        <v>127</v>
      </c>
      <c r="E86" s="42"/>
      <c r="F86" s="43"/>
      <c r="G86" s="139" t="s">
        <v>128</v>
      </c>
      <c r="H86" s="180">
        <v>1</v>
      </c>
      <c r="I86" s="181" t="s">
        <v>19</v>
      </c>
      <c r="J86" s="190">
        <v>1</v>
      </c>
      <c r="K86" s="181" t="s">
        <v>109</v>
      </c>
      <c r="L86" s="183"/>
      <c r="M86" s="184"/>
      <c r="N86" s="116"/>
      <c r="O86" s="67">
        <f t="shared" si="17"/>
        <v>0</v>
      </c>
      <c r="P86" s="53"/>
      <c r="Q86" s="53"/>
      <c r="R86" s="53"/>
      <c r="S86" s="149"/>
      <c r="T86" s="149"/>
      <c r="U86" s="67"/>
      <c r="V86" s="67"/>
      <c r="W86" s="67"/>
      <c r="X86" s="67"/>
      <c r="Y86" s="67"/>
      <c r="Z86" s="67"/>
      <c r="AA86" s="67"/>
      <c r="AB86" s="67">
        <f t="shared" si="15"/>
        <v>0</v>
      </c>
      <c r="AC86" s="68"/>
      <c r="AD86" s="68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185">
        <v>0</v>
      </c>
      <c r="AS86" s="186" t="s">
        <v>19</v>
      </c>
      <c r="AT86" s="187">
        <v>1</v>
      </c>
      <c r="AU86" s="186" t="s">
        <v>109</v>
      </c>
      <c r="AV86" s="188">
        <v>10000000</v>
      </c>
      <c r="AW86" s="189">
        <f t="shared" si="16"/>
        <v>0</v>
      </c>
    </row>
    <row r="87" spans="1:49" ht="18.75" customHeight="1" x14ac:dyDescent="0.15">
      <c r="A87" s="39"/>
      <c r="B87" s="40"/>
      <c r="C87" s="80"/>
      <c r="D87" s="60" t="s">
        <v>129</v>
      </c>
      <c r="E87" s="42"/>
      <c r="F87" s="43"/>
      <c r="G87" s="139" t="s">
        <v>130</v>
      </c>
      <c r="H87" s="180">
        <v>1</v>
      </c>
      <c r="I87" s="181" t="s">
        <v>54</v>
      </c>
      <c r="J87" s="191">
        <v>1.5</v>
      </c>
      <c r="K87" s="181" t="s">
        <v>109</v>
      </c>
      <c r="L87" s="183"/>
      <c r="M87" s="184"/>
      <c r="N87" s="116"/>
      <c r="O87" s="67">
        <f t="shared" si="17"/>
        <v>0</v>
      </c>
      <c r="P87" s="53"/>
      <c r="Q87" s="53"/>
      <c r="R87" s="53"/>
      <c r="S87" s="149"/>
      <c r="T87" s="149"/>
      <c r="U87" s="67"/>
      <c r="V87" s="67"/>
      <c r="W87" s="67"/>
      <c r="X87" s="67"/>
      <c r="Y87" s="67"/>
      <c r="Z87" s="67"/>
      <c r="AA87" s="67"/>
      <c r="AB87" s="67">
        <f t="shared" si="15"/>
        <v>0</v>
      </c>
      <c r="AC87" s="68"/>
      <c r="AD87" s="68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185">
        <v>0</v>
      </c>
      <c r="AS87" s="186" t="s">
        <v>54</v>
      </c>
      <c r="AT87" s="192">
        <v>1.5</v>
      </c>
      <c r="AU87" s="186" t="s">
        <v>109</v>
      </c>
      <c r="AV87" s="100" t="s">
        <v>38</v>
      </c>
      <c r="AW87" s="100" t="s">
        <v>38</v>
      </c>
    </row>
    <row r="88" spans="1:49" ht="18.75" customHeight="1" x14ac:dyDescent="0.15">
      <c r="A88" s="39"/>
      <c r="B88" s="40"/>
      <c r="C88" s="80"/>
      <c r="D88" s="60"/>
      <c r="E88" s="193" t="s">
        <v>131</v>
      </c>
      <c r="F88" s="194"/>
      <c r="G88" s="195"/>
      <c r="H88" s="187">
        <v>1</v>
      </c>
      <c r="I88" s="186"/>
      <c r="J88" s="187">
        <v>1</v>
      </c>
      <c r="K88" s="186" t="s">
        <v>20</v>
      </c>
      <c r="L88" s="100">
        <v>5000000</v>
      </c>
      <c r="M88" s="196">
        <f>L88*J88*H88</f>
        <v>5000000</v>
      </c>
      <c r="N88" s="197"/>
      <c r="O88" s="67">
        <v>10000000</v>
      </c>
      <c r="P88" s="117"/>
      <c r="Q88" s="53" t="s">
        <v>132</v>
      </c>
      <c r="R88" s="117"/>
      <c r="S88" s="118"/>
      <c r="T88" s="149"/>
      <c r="U88" s="118"/>
      <c r="V88" s="118"/>
      <c r="W88" s="118"/>
      <c r="X88" s="118"/>
      <c r="Y88" s="118"/>
      <c r="Z88" s="118"/>
      <c r="AA88" s="118">
        <f>O88</f>
        <v>10000000</v>
      </c>
      <c r="AB88" s="67"/>
      <c r="AC88" s="119"/>
      <c r="AD88" s="119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87"/>
      <c r="AS88" s="186"/>
      <c r="AT88" s="187"/>
      <c r="AU88" s="186"/>
      <c r="AV88" s="188"/>
      <c r="AW88" s="100"/>
    </row>
    <row r="89" spans="1:49" ht="18.75" customHeight="1" x14ac:dyDescent="0.15">
      <c r="A89" s="39"/>
      <c r="B89" s="40"/>
      <c r="C89" s="80"/>
      <c r="D89" s="60" t="s">
        <v>133</v>
      </c>
      <c r="E89" s="42"/>
      <c r="F89" s="43"/>
      <c r="G89" s="198" t="s">
        <v>134</v>
      </c>
      <c r="H89" s="199">
        <v>0</v>
      </c>
      <c r="I89" s="200" t="s">
        <v>19</v>
      </c>
      <c r="J89" s="199">
        <v>1</v>
      </c>
      <c r="K89" s="200" t="s">
        <v>109</v>
      </c>
      <c r="L89" s="81" t="s">
        <v>38</v>
      </c>
      <c r="M89" s="82" t="s">
        <v>38</v>
      </c>
      <c r="N89" s="197"/>
      <c r="O89" s="67"/>
      <c r="P89" s="117"/>
      <c r="Q89" s="53"/>
      <c r="R89" s="117"/>
      <c r="S89" s="118"/>
      <c r="T89" s="149"/>
      <c r="U89" s="118"/>
      <c r="V89" s="118"/>
      <c r="W89" s="118"/>
      <c r="X89" s="118"/>
      <c r="Y89" s="118"/>
      <c r="Z89" s="118"/>
      <c r="AA89" s="118"/>
      <c r="AB89" s="67"/>
      <c r="AC89" s="119"/>
      <c r="AD89" s="119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201">
        <v>0</v>
      </c>
      <c r="AS89" s="202" t="s">
        <v>19</v>
      </c>
      <c r="AT89" s="201">
        <v>1</v>
      </c>
      <c r="AU89" s="202" t="s">
        <v>109</v>
      </c>
      <c r="AV89" s="203">
        <v>30000000</v>
      </c>
      <c r="AW89" s="204" t="s">
        <v>38</v>
      </c>
    </row>
    <row r="90" spans="1:49" ht="18.75" customHeight="1" x14ac:dyDescent="0.15">
      <c r="A90" s="39"/>
      <c r="B90" s="40"/>
      <c r="C90" s="80"/>
      <c r="D90" s="42"/>
      <c r="E90" s="60" t="s">
        <v>135</v>
      </c>
      <c r="F90" s="43"/>
      <c r="G90" s="205"/>
      <c r="H90" s="87"/>
      <c r="I90" s="87"/>
      <c r="J90" s="87"/>
      <c r="K90" s="87"/>
      <c r="L90" s="87"/>
      <c r="M90" s="88"/>
      <c r="N90" s="197"/>
      <c r="O90" s="67"/>
      <c r="P90" s="117"/>
      <c r="Q90" s="117"/>
      <c r="R90" s="117"/>
      <c r="S90" s="118"/>
      <c r="T90" s="149"/>
      <c r="U90" s="118"/>
      <c r="V90" s="118"/>
      <c r="W90" s="118"/>
      <c r="X90" s="118"/>
      <c r="Y90" s="118"/>
      <c r="Z90" s="118"/>
      <c r="AA90" s="118"/>
      <c r="AB90" s="67"/>
      <c r="AC90" s="119"/>
      <c r="AD90" s="119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87"/>
      <c r="AS90" s="87"/>
      <c r="AT90" s="87"/>
      <c r="AU90" s="87"/>
      <c r="AV90" s="87"/>
      <c r="AW90" s="87"/>
    </row>
    <row r="91" spans="1:49" ht="18.75" customHeight="1" x14ac:dyDescent="0.15">
      <c r="A91" s="39"/>
      <c r="B91" s="40"/>
      <c r="C91" s="80"/>
      <c r="D91" s="42"/>
      <c r="E91" s="60" t="s">
        <v>136</v>
      </c>
      <c r="F91" s="43"/>
      <c r="G91" s="205"/>
      <c r="H91" s="87"/>
      <c r="I91" s="87"/>
      <c r="J91" s="87"/>
      <c r="K91" s="87"/>
      <c r="L91" s="87"/>
      <c r="M91" s="88"/>
      <c r="N91" s="197"/>
      <c r="O91" s="67"/>
      <c r="P91" s="117"/>
      <c r="Q91" s="117"/>
      <c r="R91" s="117"/>
      <c r="S91" s="118"/>
      <c r="T91" s="149"/>
      <c r="U91" s="118"/>
      <c r="V91" s="118"/>
      <c r="W91" s="118"/>
      <c r="X91" s="118"/>
      <c r="Y91" s="118"/>
      <c r="Z91" s="118"/>
      <c r="AA91" s="118"/>
      <c r="AB91" s="67"/>
      <c r="AC91" s="119"/>
      <c r="AD91" s="119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87"/>
      <c r="AS91" s="87"/>
      <c r="AT91" s="87"/>
      <c r="AU91" s="87"/>
      <c r="AV91" s="87"/>
      <c r="AW91" s="87"/>
    </row>
    <row r="92" spans="1:49" ht="18.75" customHeight="1" x14ac:dyDescent="0.15">
      <c r="A92" s="39"/>
      <c r="B92" s="40"/>
      <c r="C92" s="80"/>
      <c r="D92" s="42"/>
      <c r="E92" s="60" t="s">
        <v>137</v>
      </c>
      <c r="F92" s="43"/>
      <c r="G92" s="205"/>
      <c r="H92" s="87"/>
      <c r="I92" s="87"/>
      <c r="J92" s="87"/>
      <c r="K92" s="87"/>
      <c r="L92" s="87"/>
      <c r="M92" s="88"/>
      <c r="N92" s="197"/>
      <c r="O92" s="67"/>
      <c r="P92" s="117"/>
      <c r="Q92" s="117"/>
      <c r="R92" s="117"/>
      <c r="S92" s="118"/>
      <c r="T92" s="149"/>
      <c r="U92" s="118"/>
      <c r="V92" s="118"/>
      <c r="W92" s="118"/>
      <c r="X92" s="118"/>
      <c r="Y92" s="118"/>
      <c r="Z92" s="118"/>
      <c r="AA92" s="118"/>
      <c r="AB92" s="67"/>
      <c r="AC92" s="119"/>
      <c r="AD92" s="119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87"/>
      <c r="AS92" s="87"/>
      <c r="AT92" s="87"/>
      <c r="AU92" s="87"/>
      <c r="AV92" s="87"/>
      <c r="AW92" s="87"/>
    </row>
    <row r="93" spans="1:49" ht="18.75" customHeight="1" x14ac:dyDescent="0.15">
      <c r="A93" s="39"/>
      <c r="B93" s="40"/>
      <c r="C93" s="80"/>
      <c r="D93" s="42"/>
      <c r="E93" s="60" t="s">
        <v>138</v>
      </c>
      <c r="F93" s="43"/>
      <c r="G93" s="205"/>
      <c r="H93" s="87"/>
      <c r="I93" s="87"/>
      <c r="J93" s="87"/>
      <c r="K93" s="87"/>
      <c r="L93" s="87"/>
      <c r="M93" s="88"/>
      <c r="N93" s="197"/>
      <c r="O93" s="67"/>
      <c r="P93" s="117"/>
      <c r="Q93" s="117"/>
      <c r="R93" s="117"/>
      <c r="S93" s="118"/>
      <c r="T93" s="149"/>
      <c r="U93" s="118"/>
      <c r="V93" s="118"/>
      <c r="W93" s="118"/>
      <c r="X93" s="118"/>
      <c r="Y93" s="118"/>
      <c r="Z93" s="118"/>
      <c r="AA93" s="118"/>
      <c r="AB93" s="67"/>
      <c r="AC93" s="119"/>
      <c r="AD93" s="119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87"/>
      <c r="AS93" s="87"/>
      <c r="AT93" s="87"/>
      <c r="AU93" s="87"/>
      <c r="AV93" s="87"/>
      <c r="AW93" s="87"/>
    </row>
    <row r="94" spans="1:49" ht="18.75" customHeight="1" x14ac:dyDescent="0.15">
      <c r="A94" s="39"/>
      <c r="B94" s="40"/>
      <c r="C94" s="80"/>
      <c r="D94" s="42"/>
      <c r="E94" s="60" t="s">
        <v>139</v>
      </c>
      <c r="F94" s="43"/>
      <c r="G94" s="205"/>
      <c r="H94" s="87"/>
      <c r="I94" s="87"/>
      <c r="J94" s="87"/>
      <c r="K94" s="87"/>
      <c r="L94" s="87"/>
      <c r="M94" s="88"/>
      <c r="N94" s="197"/>
      <c r="O94" s="67"/>
      <c r="P94" s="117"/>
      <c r="Q94" s="179"/>
      <c r="R94" s="117"/>
      <c r="S94" s="118"/>
      <c r="T94" s="149"/>
      <c r="U94" s="118"/>
      <c r="V94" s="118"/>
      <c r="W94" s="118"/>
      <c r="X94" s="118"/>
      <c r="Y94" s="118"/>
      <c r="Z94" s="118"/>
      <c r="AA94" s="118"/>
      <c r="AB94" s="67"/>
      <c r="AC94" s="119"/>
      <c r="AD94" s="119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87"/>
      <c r="AS94" s="87"/>
      <c r="AT94" s="87"/>
      <c r="AU94" s="87"/>
      <c r="AV94" s="87"/>
      <c r="AW94" s="87"/>
    </row>
    <row r="95" spans="1:49" ht="18.75" customHeight="1" x14ac:dyDescent="0.15">
      <c r="A95" s="39"/>
      <c r="B95" s="40"/>
      <c r="C95" s="80"/>
      <c r="D95" s="42"/>
      <c r="E95" s="60" t="s">
        <v>140</v>
      </c>
      <c r="F95" s="43"/>
      <c r="G95" s="205"/>
      <c r="H95" s="87"/>
      <c r="I95" s="87"/>
      <c r="J95" s="87"/>
      <c r="K95" s="87"/>
      <c r="L95" s="87"/>
      <c r="M95" s="88"/>
      <c r="N95" s="197"/>
      <c r="O95" s="67"/>
      <c r="P95" s="117"/>
      <c r="Q95" s="117"/>
      <c r="R95" s="117"/>
      <c r="S95" s="118"/>
      <c r="T95" s="149"/>
      <c r="U95" s="118"/>
      <c r="V95" s="118"/>
      <c r="W95" s="118"/>
      <c r="X95" s="118"/>
      <c r="Y95" s="118"/>
      <c r="Z95" s="118"/>
      <c r="AA95" s="118"/>
      <c r="AB95" s="67"/>
      <c r="AC95" s="119"/>
      <c r="AD95" s="119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87"/>
      <c r="AS95" s="87"/>
      <c r="AT95" s="87"/>
      <c r="AU95" s="87"/>
      <c r="AV95" s="87"/>
      <c r="AW95" s="87"/>
    </row>
    <row r="96" spans="1:49" ht="18.75" customHeight="1" x14ac:dyDescent="0.15">
      <c r="A96" s="39"/>
      <c r="B96" s="40"/>
      <c r="C96" s="80"/>
      <c r="D96" s="42"/>
      <c r="E96" s="60" t="s">
        <v>141</v>
      </c>
      <c r="F96" s="43"/>
      <c r="G96" s="205"/>
      <c r="H96" s="87"/>
      <c r="I96" s="87"/>
      <c r="J96" s="87"/>
      <c r="K96" s="87"/>
      <c r="L96" s="87"/>
      <c r="M96" s="88"/>
      <c r="N96" s="197"/>
      <c r="O96" s="67"/>
      <c r="P96" s="117"/>
      <c r="Q96" s="117"/>
      <c r="R96" s="117"/>
      <c r="S96" s="118"/>
      <c r="T96" s="149"/>
      <c r="U96" s="118"/>
      <c r="V96" s="118"/>
      <c r="W96" s="118"/>
      <c r="X96" s="118"/>
      <c r="Y96" s="118"/>
      <c r="Z96" s="118"/>
      <c r="AA96" s="118"/>
      <c r="AB96" s="67"/>
      <c r="AC96" s="119"/>
      <c r="AD96" s="119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  <c r="AR96" s="87"/>
      <c r="AS96" s="87"/>
      <c r="AT96" s="87"/>
      <c r="AU96" s="87"/>
      <c r="AV96" s="87"/>
      <c r="AW96" s="87"/>
    </row>
    <row r="97" spans="1:49" ht="18.75" customHeight="1" x14ac:dyDescent="0.15">
      <c r="A97" s="39"/>
      <c r="B97" s="40"/>
      <c r="C97" s="80"/>
      <c r="D97" s="42"/>
      <c r="E97" s="60" t="s">
        <v>142</v>
      </c>
      <c r="F97" s="43"/>
      <c r="G97" s="205"/>
      <c r="H97" s="87"/>
      <c r="I97" s="87"/>
      <c r="J97" s="87"/>
      <c r="K97" s="87"/>
      <c r="L97" s="87"/>
      <c r="M97" s="88"/>
      <c r="N97" s="197"/>
      <c r="O97" s="67"/>
      <c r="P97" s="117"/>
      <c r="Q97" s="117"/>
      <c r="R97" s="117"/>
      <c r="S97" s="118"/>
      <c r="T97" s="149"/>
      <c r="U97" s="118"/>
      <c r="V97" s="118"/>
      <c r="W97" s="118"/>
      <c r="X97" s="118"/>
      <c r="Y97" s="118"/>
      <c r="Z97" s="118"/>
      <c r="AA97" s="118"/>
      <c r="AB97" s="67"/>
      <c r="AC97" s="119"/>
      <c r="AD97" s="119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87"/>
      <c r="AS97" s="87"/>
      <c r="AT97" s="87"/>
      <c r="AU97" s="87"/>
      <c r="AV97" s="87"/>
      <c r="AW97" s="87"/>
    </row>
    <row r="98" spans="1:49" ht="18.75" customHeight="1" x14ac:dyDescent="0.15">
      <c r="A98" s="39"/>
      <c r="B98" s="40"/>
      <c r="C98" s="80"/>
      <c r="D98" s="42"/>
      <c r="E98" s="60" t="s">
        <v>143</v>
      </c>
      <c r="F98" s="43"/>
      <c r="G98" s="205"/>
      <c r="H98" s="87"/>
      <c r="I98" s="87"/>
      <c r="J98" s="87"/>
      <c r="K98" s="87"/>
      <c r="L98" s="87"/>
      <c r="M98" s="88"/>
      <c r="N98" s="197"/>
      <c r="O98" s="67"/>
      <c r="P98" s="117"/>
      <c r="Q98" s="53"/>
      <c r="R98" s="117"/>
      <c r="S98" s="118"/>
      <c r="T98" s="149"/>
      <c r="U98" s="118"/>
      <c r="V98" s="118"/>
      <c r="W98" s="118"/>
      <c r="X98" s="118"/>
      <c r="Y98" s="118"/>
      <c r="Z98" s="118"/>
      <c r="AA98" s="118"/>
      <c r="AB98" s="67"/>
      <c r="AC98" s="119"/>
      <c r="AD98" s="119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116"/>
      <c r="AP98" s="116"/>
      <c r="AQ98" s="116"/>
      <c r="AR98" s="87"/>
      <c r="AS98" s="87"/>
      <c r="AT98" s="87"/>
      <c r="AU98" s="87"/>
      <c r="AV98" s="87"/>
      <c r="AW98" s="87"/>
    </row>
    <row r="99" spans="1:49" ht="18.75" customHeight="1" x14ac:dyDescent="0.15">
      <c r="A99" s="39"/>
      <c r="B99" s="40"/>
      <c r="C99" s="80"/>
      <c r="D99" s="42"/>
      <c r="E99" s="60" t="s">
        <v>144</v>
      </c>
      <c r="F99" s="43"/>
      <c r="G99" s="205"/>
      <c r="H99" s="87"/>
      <c r="I99" s="87"/>
      <c r="J99" s="87"/>
      <c r="K99" s="87"/>
      <c r="L99" s="87"/>
      <c r="M99" s="88"/>
      <c r="N99" s="197"/>
      <c r="O99" s="67"/>
      <c r="P99" s="117"/>
      <c r="Q99" s="53"/>
      <c r="R99" s="117"/>
      <c r="S99" s="118"/>
      <c r="T99" s="149"/>
      <c r="U99" s="118"/>
      <c r="V99" s="118"/>
      <c r="W99" s="118"/>
      <c r="X99" s="118"/>
      <c r="Y99" s="118"/>
      <c r="Z99" s="118"/>
      <c r="AA99" s="118"/>
      <c r="AB99" s="67"/>
      <c r="AC99" s="119"/>
      <c r="AD99" s="119"/>
      <c r="AE99" s="116"/>
      <c r="AF99" s="116"/>
      <c r="AG99" s="116"/>
      <c r="AH99" s="116"/>
      <c r="AI99" s="116"/>
      <c r="AJ99" s="116"/>
      <c r="AK99" s="116"/>
      <c r="AL99" s="116"/>
      <c r="AM99" s="116"/>
      <c r="AN99" s="116"/>
      <c r="AO99" s="116"/>
      <c r="AP99" s="116"/>
      <c r="AQ99" s="116"/>
      <c r="AR99" s="87"/>
      <c r="AS99" s="87"/>
      <c r="AT99" s="87"/>
      <c r="AU99" s="87"/>
      <c r="AV99" s="87"/>
      <c r="AW99" s="87"/>
    </row>
    <row r="100" spans="1:49" ht="18.75" customHeight="1" x14ac:dyDescent="0.15">
      <c r="A100" s="39"/>
      <c r="B100" s="40"/>
      <c r="C100" s="80"/>
      <c r="D100" s="42"/>
      <c r="E100" s="60" t="s">
        <v>145</v>
      </c>
      <c r="F100" s="43"/>
      <c r="G100" s="205"/>
      <c r="H100" s="87"/>
      <c r="I100" s="87"/>
      <c r="J100" s="87"/>
      <c r="K100" s="87"/>
      <c r="L100" s="87"/>
      <c r="M100" s="88"/>
      <c r="N100" s="197"/>
      <c r="O100" s="67"/>
      <c r="P100" s="117"/>
      <c r="Q100" s="53"/>
      <c r="R100" s="117"/>
      <c r="S100" s="118"/>
      <c r="T100" s="149"/>
      <c r="U100" s="118"/>
      <c r="V100" s="118"/>
      <c r="W100" s="118"/>
      <c r="X100" s="118"/>
      <c r="Y100" s="118"/>
      <c r="Z100" s="118"/>
      <c r="AA100" s="118"/>
      <c r="AB100" s="67"/>
      <c r="AC100" s="119"/>
      <c r="AD100" s="119"/>
      <c r="AE100" s="116"/>
      <c r="AF100" s="116"/>
      <c r="AG100" s="116"/>
      <c r="AH100" s="116"/>
      <c r="AI100" s="116"/>
      <c r="AJ100" s="116"/>
      <c r="AK100" s="116"/>
      <c r="AL100" s="116"/>
      <c r="AM100" s="116"/>
      <c r="AN100" s="116"/>
      <c r="AO100" s="116"/>
      <c r="AP100" s="116"/>
      <c r="AQ100" s="116"/>
      <c r="AR100" s="87"/>
      <c r="AS100" s="87"/>
      <c r="AT100" s="87"/>
      <c r="AU100" s="87"/>
      <c r="AV100" s="87"/>
      <c r="AW100" s="87"/>
    </row>
    <row r="101" spans="1:49" ht="18.75" customHeight="1" x14ac:dyDescent="0.15">
      <c r="A101" s="39"/>
      <c r="B101" s="40"/>
      <c r="C101" s="80"/>
      <c r="D101" s="42"/>
      <c r="E101" s="60" t="s">
        <v>146</v>
      </c>
      <c r="F101" s="43"/>
      <c r="G101" s="205"/>
      <c r="H101" s="87"/>
      <c r="I101" s="87"/>
      <c r="J101" s="87"/>
      <c r="K101" s="87"/>
      <c r="L101" s="87"/>
      <c r="M101" s="88"/>
      <c r="N101" s="197"/>
      <c r="O101" s="67"/>
      <c r="P101" s="117"/>
      <c r="Q101" s="53"/>
      <c r="R101" s="117"/>
      <c r="S101" s="118"/>
      <c r="T101" s="149"/>
      <c r="U101" s="118"/>
      <c r="V101" s="118"/>
      <c r="W101" s="118"/>
      <c r="X101" s="118"/>
      <c r="Y101" s="118"/>
      <c r="Z101" s="118"/>
      <c r="AA101" s="118"/>
      <c r="AB101" s="67"/>
      <c r="AC101" s="119"/>
      <c r="AD101" s="119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6"/>
      <c r="AR101" s="87"/>
      <c r="AS101" s="87"/>
      <c r="AT101" s="87"/>
      <c r="AU101" s="87"/>
      <c r="AV101" s="87"/>
      <c r="AW101" s="87"/>
    </row>
    <row r="102" spans="1:49" ht="18.75" customHeight="1" x14ac:dyDescent="0.15">
      <c r="A102" s="39"/>
      <c r="B102" s="40"/>
      <c r="C102" s="80"/>
      <c r="D102" s="42"/>
      <c r="E102" s="60" t="s">
        <v>147</v>
      </c>
      <c r="F102" s="43"/>
      <c r="G102" s="205"/>
      <c r="H102" s="87"/>
      <c r="I102" s="87"/>
      <c r="J102" s="87"/>
      <c r="K102" s="87"/>
      <c r="L102" s="87"/>
      <c r="M102" s="88"/>
      <c r="N102" s="197"/>
      <c r="O102" s="67"/>
      <c r="P102" s="117"/>
      <c r="Q102" s="163"/>
      <c r="R102" s="117"/>
      <c r="S102" s="118"/>
      <c r="T102" s="149"/>
      <c r="U102" s="118"/>
      <c r="V102" s="118"/>
      <c r="W102" s="118"/>
      <c r="X102" s="118"/>
      <c r="Y102" s="118"/>
      <c r="Z102" s="118"/>
      <c r="AA102" s="118"/>
      <c r="AB102" s="67"/>
      <c r="AC102" s="119"/>
      <c r="AD102" s="119"/>
      <c r="AE102" s="116"/>
      <c r="AF102" s="116"/>
      <c r="AG102" s="116"/>
      <c r="AH102" s="116"/>
      <c r="AI102" s="116"/>
      <c r="AJ102" s="116"/>
      <c r="AK102" s="116"/>
      <c r="AL102" s="116"/>
      <c r="AM102" s="116"/>
      <c r="AN102" s="116"/>
      <c r="AO102" s="116"/>
      <c r="AP102" s="116"/>
      <c r="AQ102" s="116"/>
      <c r="AR102" s="87"/>
      <c r="AS102" s="87"/>
      <c r="AT102" s="87"/>
      <c r="AU102" s="87"/>
      <c r="AV102" s="87"/>
      <c r="AW102" s="87"/>
    </row>
    <row r="103" spans="1:49" ht="18.75" customHeight="1" x14ac:dyDescent="0.15">
      <c r="A103" s="39"/>
      <c r="B103" s="40"/>
      <c r="C103" s="80"/>
      <c r="D103" s="42"/>
      <c r="E103" s="60" t="s">
        <v>148</v>
      </c>
      <c r="F103" s="43"/>
      <c r="G103" s="205"/>
      <c r="H103" s="87"/>
      <c r="I103" s="87"/>
      <c r="J103" s="87"/>
      <c r="K103" s="87"/>
      <c r="L103" s="87"/>
      <c r="M103" s="88"/>
      <c r="N103" s="116"/>
      <c r="O103" s="67"/>
      <c r="P103" s="53"/>
      <c r="Q103" s="163"/>
      <c r="R103" s="53"/>
      <c r="S103" s="67"/>
      <c r="T103" s="149"/>
      <c r="U103" s="67"/>
      <c r="V103" s="67"/>
      <c r="W103" s="67"/>
      <c r="X103" s="67"/>
      <c r="Y103" s="67"/>
      <c r="Z103" s="67"/>
      <c r="AA103" s="67"/>
      <c r="AB103" s="67"/>
      <c r="AC103" s="68"/>
      <c r="AD103" s="68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87"/>
      <c r="AS103" s="87"/>
      <c r="AT103" s="87"/>
      <c r="AU103" s="87"/>
      <c r="AV103" s="87"/>
      <c r="AW103" s="87"/>
    </row>
    <row r="104" spans="1:49" ht="18.75" customHeight="1" x14ac:dyDescent="0.15">
      <c r="A104" s="39"/>
      <c r="B104" s="40"/>
      <c r="C104" s="80"/>
      <c r="D104" s="42"/>
      <c r="E104" s="60" t="s">
        <v>149</v>
      </c>
      <c r="F104" s="43"/>
      <c r="G104" s="205"/>
      <c r="H104" s="87"/>
      <c r="I104" s="87"/>
      <c r="J104" s="87"/>
      <c r="K104" s="87"/>
      <c r="L104" s="87"/>
      <c r="M104" s="88"/>
      <c r="N104" s="116"/>
      <c r="O104" s="67"/>
      <c r="P104" s="53"/>
      <c r="Q104" s="53"/>
      <c r="R104" s="53"/>
      <c r="S104" s="67"/>
      <c r="T104" s="149"/>
      <c r="U104" s="67"/>
      <c r="V104" s="67"/>
      <c r="W104" s="67"/>
      <c r="X104" s="67"/>
      <c r="Y104" s="67"/>
      <c r="Z104" s="67"/>
      <c r="AA104" s="67"/>
      <c r="AB104" s="67"/>
      <c r="AC104" s="68"/>
      <c r="AD104" s="68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87"/>
      <c r="AS104" s="87"/>
      <c r="AT104" s="87"/>
      <c r="AU104" s="87"/>
      <c r="AV104" s="87"/>
      <c r="AW104" s="87"/>
    </row>
    <row r="105" spans="1:49" ht="18.75" customHeight="1" x14ac:dyDescent="0.15">
      <c r="A105" s="39"/>
      <c r="B105" s="40"/>
      <c r="C105" s="80"/>
      <c r="D105" s="42"/>
      <c r="E105" s="60" t="s">
        <v>150</v>
      </c>
      <c r="F105" s="43"/>
      <c r="G105" s="205"/>
      <c r="H105" s="87"/>
      <c r="I105" s="87"/>
      <c r="J105" s="87"/>
      <c r="K105" s="87"/>
      <c r="L105" s="87"/>
      <c r="M105" s="88"/>
      <c r="N105" s="116"/>
      <c r="O105" s="67"/>
      <c r="P105" s="53"/>
      <c r="Q105" s="53"/>
      <c r="R105" s="53"/>
      <c r="S105" s="67"/>
      <c r="T105" s="149"/>
      <c r="U105" s="67"/>
      <c r="V105" s="67"/>
      <c r="W105" s="67"/>
      <c r="X105" s="67"/>
      <c r="Y105" s="67"/>
      <c r="Z105" s="67"/>
      <c r="AA105" s="67"/>
      <c r="AB105" s="67"/>
      <c r="AC105" s="68"/>
      <c r="AD105" s="68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87"/>
      <c r="AS105" s="87"/>
      <c r="AT105" s="87"/>
      <c r="AU105" s="87"/>
      <c r="AV105" s="87"/>
      <c r="AW105" s="87"/>
    </row>
    <row r="106" spans="1:49" ht="18.75" customHeight="1" x14ac:dyDescent="0.15">
      <c r="A106" s="39"/>
      <c r="B106" s="40"/>
      <c r="C106" s="80"/>
      <c r="D106" s="42"/>
      <c r="E106" s="60" t="s">
        <v>151</v>
      </c>
      <c r="F106" s="43"/>
      <c r="G106" s="205"/>
      <c r="H106" s="87"/>
      <c r="I106" s="87"/>
      <c r="J106" s="87"/>
      <c r="K106" s="87"/>
      <c r="L106" s="87"/>
      <c r="M106" s="88"/>
      <c r="N106" s="116"/>
      <c r="O106" s="67"/>
      <c r="P106" s="53"/>
      <c r="Q106" s="53"/>
      <c r="R106" s="53"/>
      <c r="S106" s="67"/>
      <c r="T106" s="149"/>
      <c r="U106" s="67"/>
      <c r="V106" s="67"/>
      <c r="W106" s="67"/>
      <c r="X106" s="67"/>
      <c r="Y106" s="67"/>
      <c r="Z106" s="67"/>
      <c r="AA106" s="67"/>
      <c r="AB106" s="67"/>
      <c r="AC106" s="68"/>
      <c r="AD106" s="68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87"/>
      <c r="AS106" s="87"/>
      <c r="AT106" s="87"/>
      <c r="AU106" s="87"/>
      <c r="AV106" s="87"/>
      <c r="AW106" s="87"/>
    </row>
    <row r="107" spans="1:49" ht="18.75" customHeight="1" x14ac:dyDescent="0.15">
      <c r="A107" s="39"/>
      <c r="B107" s="40"/>
      <c r="C107" s="80"/>
      <c r="D107" s="42"/>
      <c r="E107" s="60" t="s">
        <v>152</v>
      </c>
      <c r="F107" s="43"/>
      <c r="G107" s="206"/>
      <c r="H107" s="133"/>
      <c r="I107" s="133"/>
      <c r="J107" s="133"/>
      <c r="K107" s="133"/>
      <c r="L107" s="133"/>
      <c r="M107" s="134"/>
      <c r="N107" s="116"/>
      <c r="O107" s="67"/>
      <c r="P107" s="53"/>
      <c r="Q107" s="163"/>
      <c r="R107" s="53"/>
      <c r="S107" s="67"/>
      <c r="T107" s="149"/>
      <c r="U107" s="67"/>
      <c r="V107" s="67"/>
      <c r="W107" s="67"/>
      <c r="X107" s="67"/>
      <c r="Y107" s="67"/>
      <c r="Z107" s="67"/>
      <c r="AA107" s="67"/>
      <c r="AB107" s="67"/>
      <c r="AC107" s="68"/>
      <c r="AD107" s="68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133"/>
      <c r="AS107" s="133"/>
      <c r="AT107" s="133"/>
      <c r="AU107" s="133"/>
      <c r="AV107" s="133"/>
      <c r="AW107" s="133"/>
    </row>
    <row r="108" spans="1:49" ht="18.75" customHeight="1" x14ac:dyDescent="0.15">
      <c r="A108" s="39"/>
      <c r="B108" s="40"/>
      <c r="C108" s="80"/>
      <c r="D108" s="60" t="s">
        <v>153</v>
      </c>
      <c r="E108" s="42"/>
      <c r="F108" s="43"/>
      <c r="G108" s="139" t="s">
        <v>154</v>
      </c>
      <c r="H108" s="64">
        <v>0</v>
      </c>
      <c r="I108" s="173" t="s">
        <v>19</v>
      </c>
      <c r="J108" s="172">
        <v>1</v>
      </c>
      <c r="K108" s="173" t="s">
        <v>109</v>
      </c>
      <c r="L108" s="67" t="s">
        <v>155</v>
      </c>
      <c r="M108" s="96" t="s">
        <v>155</v>
      </c>
      <c r="N108" s="116"/>
      <c r="O108" s="67"/>
      <c r="P108" s="53"/>
      <c r="Q108" s="163"/>
      <c r="R108" s="53"/>
      <c r="S108" s="67"/>
      <c r="T108" s="149"/>
      <c r="U108" s="67"/>
      <c r="V108" s="67"/>
      <c r="W108" s="67"/>
      <c r="X108" s="67"/>
      <c r="Y108" s="67"/>
      <c r="Z108" s="67"/>
      <c r="AA108" s="67"/>
      <c r="AB108" s="67"/>
      <c r="AC108" s="68"/>
      <c r="AD108" s="68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185">
        <v>0</v>
      </c>
      <c r="AS108" s="186" t="s">
        <v>19</v>
      </c>
      <c r="AT108" s="187">
        <v>1</v>
      </c>
      <c r="AU108" s="186" t="s">
        <v>109</v>
      </c>
      <c r="AV108" s="188">
        <v>20000000</v>
      </c>
      <c r="AW108" s="100" t="s">
        <v>155</v>
      </c>
    </row>
    <row r="109" spans="1:49" ht="18.75" customHeight="1" x14ac:dyDescent="0.15">
      <c r="A109" s="39"/>
      <c r="B109" s="40"/>
      <c r="C109" s="80"/>
      <c r="D109" s="72" t="s">
        <v>156</v>
      </c>
      <c r="E109" s="73"/>
      <c r="F109" s="111"/>
      <c r="G109" s="44"/>
      <c r="H109" s="207"/>
      <c r="I109" s="208"/>
      <c r="J109" s="209"/>
      <c r="K109" s="171"/>
      <c r="L109" s="210"/>
      <c r="M109" s="154"/>
      <c r="N109" s="116"/>
      <c r="O109" s="67"/>
      <c r="P109" s="163"/>
      <c r="Q109" s="53"/>
      <c r="R109" s="163"/>
      <c r="S109" s="67"/>
      <c r="T109" s="149"/>
      <c r="U109" s="67"/>
      <c r="V109" s="67"/>
      <c r="W109" s="67"/>
      <c r="X109" s="67"/>
      <c r="Y109" s="67"/>
      <c r="Z109" s="164"/>
      <c r="AA109" s="164"/>
      <c r="AB109" s="67"/>
      <c r="AC109" s="165"/>
      <c r="AD109" s="165"/>
      <c r="AE109" s="166"/>
      <c r="AF109" s="166"/>
      <c r="AG109" s="166"/>
      <c r="AH109" s="166"/>
      <c r="AI109" s="166"/>
      <c r="AJ109" s="166"/>
      <c r="AK109" s="166"/>
      <c r="AL109" s="166"/>
      <c r="AM109" s="166"/>
      <c r="AN109" s="166"/>
      <c r="AO109" s="166"/>
      <c r="AP109" s="166"/>
      <c r="AQ109" s="166"/>
      <c r="AR109" s="207"/>
      <c r="AS109" s="208"/>
      <c r="AT109" s="209"/>
      <c r="AU109" s="171"/>
      <c r="AV109" s="144"/>
      <c r="AW109" s="79"/>
    </row>
    <row r="110" spans="1:49" ht="18.75" customHeight="1" x14ac:dyDescent="0.15">
      <c r="A110" s="39"/>
      <c r="B110" s="40"/>
      <c r="C110" s="80"/>
      <c r="D110" s="73"/>
      <c r="E110" s="72" t="s">
        <v>157</v>
      </c>
      <c r="F110" s="111"/>
      <c r="G110" s="211" t="s">
        <v>158</v>
      </c>
      <c r="H110" s="52">
        <v>1</v>
      </c>
      <c r="I110" s="62" t="s">
        <v>72</v>
      </c>
      <c r="J110" s="52">
        <v>1</v>
      </c>
      <c r="K110" s="212" t="s">
        <v>20</v>
      </c>
      <c r="L110" s="213">
        <v>2500000</v>
      </c>
      <c r="M110" s="66">
        <f t="shared" ref="M110:M111" si="18">L110*J110*H110</f>
        <v>2500000</v>
      </c>
      <c r="N110" s="116"/>
      <c r="O110" s="148">
        <v>2453703.7037037038</v>
      </c>
      <c r="P110" s="53" t="b">
        <v>1</v>
      </c>
      <c r="Q110" s="53" t="s">
        <v>73</v>
      </c>
      <c r="R110" s="53" t="s">
        <v>74</v>
      </c>
      <c r="S110" s="83">
        <f t="shared" ref="S110:S111" si="19">O110*30%</f>
        <v>736111.11111111112</v>
      </c>
      <c r="T110" s="149"/>
      <c r="U110" s="67"/>
      <c r="V110" s="67"/>
      <c r="W110" s="67"/>
      <c r="X110" s="67"/>
      <c r="Y110" s="67"/>
      <c r="Z110" s="83">
        <f t="shared" ref="Z110:Z111" si="20">O110-S110</f>
        <v>1717592.5925925928</v>
      </c>
      <c r="AA110" s="67"/>
      <c r="AB110" s="67">
        <f t="shared" ref="AB110:AB111" si="21">O110-(SUM(S110:Z110))</f>
        <v>0</v>
      </c>
      <c r="AC110" s="68" t="s">
        <v>25</v>
      </c>
      <c r="AD110" s="165"/>
      <c r="AE110" s="166"/>
      <c r="AF110" s="166"/>
      <c r="AG110" s="166"/>
      <c r="AH110" s="166"/>
      <c r="AI110" s="166"/>
      <c r="AJ110" s="166"/>
      <c r="AK110" s="166"/>
      <c r="AL110" s="166"/>
      <c r="AM110" s="166"/>
      <c r="AN110" s="166"/>
      <c r="AO110" s="166"/>
      <c r="AP110" s="166"/>
      <c r="AQ110" s="166"/>
      <c r="AR110" s="52">
        <v>1</v>
      </c>
      <c r="AS110" s="62" t="s">
        <v>72</v>
      </c>
      <c r="AT110" s="52">
        <v>1</v>
      </c>
      <c r="AU110" s="212" t="s">
        <v>20</v>
      </c>
      <c r="AV110" s="213">
        <v>4000000</v>
      </c>
      <c r="AW110" s="71">
        <f t="shared" ref="AW110:AW111" si="22">AV110*AT110*AR110</f>
        <v>4000000</v>
      </c>
    </row>
    <row r="111" spans="1:49" ht="18.75" customHeight="1" x14ac:dyDescent="0.15">
      <c r="A111" s="39"/>
      <c r="B111" s="40"/>
      <c r="C111" s="80"/>
      <c r="D111" s="73"/>
      <c r="E111" s="72" t="s">
        <v>159</v>
      </c>
      <c r="F111" s="111"/>
      <c r="G111" s="214" t="s">
        <v>160</v>
      </c>
      <c r="H111" s="52">
        <v>1</v>
      </c>
      <c r="I111" s="62" t="s">
        <v>72</v>
      </c>
      <c r="J111" s="52">
        <v>1</v>
      </c>
      <c r="K111" s="212" t="s">
        <v>20</v>
      </c>
      <c r="L111" s="213">
        <v>2500000</v>
      </c>
      <c r="M111" s="96">
        <f t="shared" si="18"/>
        <v>2500000</v>
      </c>
      <c r="N111" s="215"/>
      <c r="O111" s="148">
        <v>2453703.7037037038</v>
      </c>
      <c r="P111" s="53"/>
      <c r="Q111" s="53" t="s">
        <v>73</v>
      </c>
      <c r="R111" s="53" t="s">
        <v>74</v>
      </c>
      <c r="S111" s="83">
        <f t="shared" si="19"/>
        <v>736111.11111111112</v>
      </c>
      <c r="T111" s="149"/>
      <c r="U111" s="67"/>
      <c r="V111" s="67"/>
      <c r="W111" s="67"/>
      <c r="X111" s="67"/>
      <c r="Y111" s="67"/>
      <c r="Z111" s="83">
        <f t="shared" si="20"/>
        <v>1717592.5925925928</v>
      </c>
      <c r="AA111" s="67"/>
      <c r="AB111" s="67">
        <f t="shared" si="21"/>
        <v>0</v>
      </c>
      <c r="AC111" s="68" t="s">
        <v>25</v>
      </c>
      <c r="AD111" s="165"/>
      <c r="AE111" s="166"/>
      <c r="AF111" s="166"/>
      <c r="AG111" s="166"/>
      <c r="AH111" s="166"/>
      <c r="AI111" s="166"/>
      <c r="AJ111" s="166"/>
      <c r="AK111" s="166"/>
      <c r="AL111" s="166"/>
      <c r="AM111" s="166"/>
      <c r="AN111" s="166"/>
      <c r="AO111" s="166"/>
      <c r="AP111" s="166"/>
      <c r="AQ111" s="166"/>
      <c r="AR111" s="52">
        <v>1</v>
      </c>
      <c r="AS111" s="62" t="s">
        <v>72</v>
      </c>
      <c r="AT111" s="52">
        <v>1</v>
      </c>
      <c r="AU111" s="212" t="s">
        <v>20</v>
      </c>
      <c r="AV111" s="213">
        <v>4500000</v>
      </c>
      <c r="AW111" s="71">
        <f t="shared" si="22"/>
        <v>4500000</v>
      </c>
    </row>
    <row r="112" spans="1:49" ht="18.75" customHeight="1" x14ac:dyDescent="0.15">
      <c r="A112" s="39"/>
      <c r="B112" s="40"/>
      <c r="C112" s="80"/>
      <c r="D112" s="125"/>
      <c r="E112" s="216" t="s">
        <v>77</v>
      </c>
      <c r="F112" s="217"/>
      <c r="G112" s="218"/>
      <c r="H112" s="219">
        <v>4</v>
      </c>
      <c r="I112" s="220" t="s">
        <v>54</v>
      </c>
      <c r="J112" s="221">
        <v>1</v>
      </c>
      <c r="K112" s="152" t="s">
        <v>20</v>
      </c>
      <c r="L112" s="210" t="s">
        <v>43</v>
      </c>
      <c r="M112" s="222" t="s">
        <v>43</v>
      </c>
      <c r="N112" s="116"/>
      <c r="O112" s="67"/>
      <c r="P112" s="163"/>
      <c r="Q112" s="163"/>
      <c r="R112" s="163"/>
      <c r="S112" s="164"/>
      <c r="T112" s="164"/>
      <c r="U112" s="164"/>
      <c r="V112" s="164"/>
      <c r="W112" s="164"/>
      <c r="X112" s="164"/>
      <c r="Y112" s="164"/>
      <c r="Z112" s="164"/>
      <c r="AA112" s="164"/>
      <c r="AB112" s="67"/>
      <c r="AC112" s="165"/>
      <c r="AD112" s="165"/>
      <c r="AE112" s="166"/>
      <c r="AF112" s="166"/>
      <c r="AG112" s="166"/>
      <c r="AH112" s="166"/>
      <c r="AI112" s="166"/>
      <c r="AJ112" s="166"/>
      <c r="AK112" s="166"/>
      <c r="AL112" s="166"/>
      <c r="AM112" s="166"/>
      <c r="AN112" s="166"/>
      <c r="AO112" s="166"/>
      <c r="AP112" s="166"/>
      <c r="AQ112" s="166"/>
      <c r="AR112" s="219">
        <v>4</v>
      </c>
      <c r="AS112" s="220" t="s">
        <v>54</v>
      </c>
      <c r="AT112" s="221">
        <v>1</v>
      </c>
      <c r="AU112" s="152" t="s">
        <v>20</v>
      </c>
      <c r="AV112" s="210" t="s">
        <v>43</v>
      </c>
      <c r="AW112" s="164" t="s">
        <v>43</v>
      </c>
    </row>
    <row r="113" spans="1:49" ht="18.75" customHeight="1" x14ac:dyDescent="0.15">
      <c r="A113" s="39"/>
      <c r="B113" s="40"/>
      <c r="C113" s="80"/>
      <c r="D113" s="125"/>
      <c r="E113" s="216" t="s">
        <v>82</v>
      </c>
      <c r="F113" s="217"/>
      <c r="G113" s="218"/>
      <c r="H113" s="219">
        <v>10</v>
      </c>
      <c r="I113" s="220" t="s">
        <v>54</v>
      </c>
      <c r="J113" s="221">
        <v>1</v>
      </c>
      <c r="K113" s="152" t="s">
        <v>20</v>
      </c>
      <c r="L113" s="210" t="s">
        <v>43</v>
      </c>
      <c r="M113" s="222" t="s">
        <v>43</v>
      </c>
      <c r="N113" s="116"/>
      <c r="O113" s="67"/>
      <c r="P113" s="163"/>
      <c r="Q113" s="53"/>
      <c r="R113" s="163"/>
      <c r="S113" s="164"/>
      <c r="T113" s="164"/>
      <c r="U113" s="164"/>
      <c r="V113" s="164"/>
      <c r="W113" s="164"/>
      <c r="X113" s="164"/>
      <c r="Y113" s="164"/>
      <c r="Z113" s="164"/>
      <c r="AA113" s="164"/>
      <c r="AB113" s="67"/>
      <c r="AC113" s="165"/>
      <c r="AD113" s="165"/>
      <c r="AE113" s="166"/>
      <c r="AF113" s="166"/>
      <c r="AG113" s="166"/>
      <c r="AH113" s="166"/>
      <c r="AI113" s="166"/>
      <c r="AJ113" s="166"/>
      <c r="AK113" s="166"/>
      <c r="AL113" s="166"/>
      <c r="AM113" s="166"/>
      <c r="AN113" s="166"/>
      <c r="AO113" s="166"/>
      <c r="AP113" s="166"/>
      <c r="AQ113" s="166"/>
      <c r="AR113" s="219">
        <v>10</v>
      </c>
      <c r="AS113" s="220" t="s">
        <v>54</v>
      </c>
      <c r="AT113" s="221">
        <v>1</v>
      </c>
      <c r="AU113" s="152" t="s">
        <v>20</v>
      </c>
      <c r="AV113" s="210" t="s">
        <v>43</v>
      </c>
      <c r="AW113" s="164" t="s">
        <v>43</v>
      </c>
    </row>
    <row r="114" spans="1:49" ht="18.75" customHeight="1" x14ac:dyDescent="0.15">
      <c r="A114" s="39"/>
      <c r="B114" s="40"/>
      <c r="C114" s="80"/>
      <c r="D114" s="125" t="s">
        <v>161</v>
      </c>
      <c r="E114" s="73"/>
      <c r="F114" s="111"/>
      <c r="G114" s="162" t="s">
        <v>78</v>
      </c>
      <c r="H114" s="219">
        <v>22</v>
      </c>
      <c r="I114" s="220" t="s">
        <v>54</v>
      </c>
      <c r="J114" s="221">
        <v>1</v>
      </c>
      <c r="K114" s="152" t="s">
        <v>20</v>
      </c>
      <c r="L114" s="210" t="s">
        <v>43</v>
      </c>
      <c r="M114" s="222" t="s">
        <v>43</v>
      </c>
      <c r="N114" s="116"/>
      <c r="O114" s="67"/>
      <c r="P114" s="163"/>
      <c r="Q114" s="53"/>
      <c r="R114" s="163"/>
      <c r="S114" s="164"/>
      <c r="T114" s="164"/>
      <c r="U114" s="164"/>
      <c r="V114" s="164"/>
      <c r="W114" s="164"/>
      <c r="X114" s="164"/>
      <c r="Y114" s="164"/>
      <c r="Z114" s="164"/>
      <c r="AA114" s="164"/>
      <c r="AB114" s="67"/>
      <c r="AC114" s="165"/>
      <c r="AD114" s="165"/>
      <c r="AE114" s="166"/>
      <c r="AF114" s="166"/>
      <c r="AG114" s="166"/>
      <c r="AH114" s="166"/>
      <c r="AI114" s="166"/>
      <c r="AJ114" s="166"/>
      <c r="AK114" s="166"/>
      <c r="AL114" s="166"/>
      <c r="AM114" s="166"/>
      <c r="AN114" s="166"/>
      <c r="AO114" s="166"/>
      <c r="AP114" s="166"/>
      <c r="AQ114" s="166"/>
      <c r="AR114" s="223">
        <v>22</v>
      </c>
      <c r="AS114" s="224" t="s">
        <v>54</v>
      </c>
      <c r="AT114" s="225">
        <v>1</v>
      </c>
      <c r="AU114" s="157" t="s">
        <v>20</v>
      </c>
      <c r="AV114" s="226" t="s">
        <v>43</v>
      </c>
      <c r="AW114" s="136" t="s">
        <v>43</v>
      </c>
    </row>
    <row r="115" spans="1:49" ht="18.75" customHeight="1" x14ac:dyDescent="0.15">
      <c r="A115" s="39"/>
      <c r="B115" s="40"/>
      <c r="C115" s="80"/>
      <c r="D115" s="125" t="s">
        <v>82</v>
      </c>
      <c r="E115" s="73"/>
      <c r="F115" s="111"/>
      <c r="G115" s="162" t="s">
        <v>78</v>
      </c>
      <c r="H115" s="160">
        <v>175</v>
      </c>
      <c r="I115" s="151" t="s">
        <v>54</v>
      </c>
      <c r="J115" s="152">
        <v>1</v>
      </c>
      <c r="K115" s="152" t="s">
        <v>20</v>
      </c>
      <c r="L115" s="210" t="s">
        <v>43</v>
      </c>
      <c r="M115" s="222" t="s">
        <v>43</v>
      </c>
      <c r="N115" s="116"/>
      <c r="O115" s="67"/>
      <c r="P115" s="163"/>
      <c r="Q115" s="163"/>
      <c r="R115" s="163"/>
      <c r="S115" s="164"/>
      <c r="T115" s="164"/>
      <c r="U115" s="164"/>
      <c r="V115" s="164"/>
      <c r="W115" s="164"/>
      <c r="X115" s="164"/>
      <c r="Y115" s="164"/>
      <c r="Z115" s="164"/>
      <c r="AA115" s="164"/>
      <c r="AB115" s="67"/>
      <c r="AC115" s="165"/>
      <c r="AD115" s="165"/>
      <c r="AE115" s="166"/>
      <c r="AF115" s="166"/>
      <c r="AG115" s="166"/>
      <c r="AH115" s="166"/>
      <c r="AI115" s="166"/>
      <c r="AJ115" s="166"/>
      <c r="AK115" s="166"/>
      <c r="AL115" s="166"/>
      <c r="AM115" s="166"/>
      <c r="AN115" s="166"/>
      <c r="AO115" s="166"/>
      <c r="AP115" s="166"/>
      <c r="AQ115" s="166"/>
      <c r="AR115" s="161">
        <v>175</v>
      </c>
      <c r="AS115" s="156" t="s">
        <v>54</v>
      </c>
      <c r="AT115" s="157">
        <v>1</v>
      </c>
      <c r="AU115" s="157" t="s">
        <v>20</v>
      </c>
      <c r="AV115" s="226" t="s">
        <v>43</v>
      </c>
      <c r="AW115" s="227" t="s">
        <v>43</v>
      </c>
    </row>
    <row r="116" spans="1:49" ht="18.75" customHeight="1" x14ac:dyDescent="0.15">
      <c r="A116" s="39"/>
      <c r="B116" s="40"/>
      <c r="C116" s="80"/>
      <c r="D116" s="125" t="s">
        <v>162</v>
      </c>
      <c r="E116" s="73"/>
      <c r="F116" s="111"/>
      <c r="G116" s="162" t="s">
        <v>78</v>
      </c>
      <c r="H116" s="160">
        <v>22</v>
      </c>
      <c r="I116" s="151" t="s">
        <v>54</v>
      </c>
      <c r="J116" s="152">
        <v>1</v>
      </c>
      <c r="K116" s="152" t="s">
        <v>20</v>
      </c>
      <c r="L116" s="210" t="s">
        <v>43</v>
      </c>
      <c r="M116" s="228" t="s">
        <v>43</v>
      </c>
      <c r="N116" s="116"/>
      <c r="O116" s="67"/>
      <c r="P116" s="163"/>
      <c r="Q116" s="163"/>
      <c r="R116" s="163"/>
      <c r="S116" s="164"/>
      <c r="T116" s="164"/>
      <c r="U116" s="164"/>
      <c r="V116" s="164"/>
      <c r="W116" s="164"/>
      <c r="X116" s="164"/>
      <c r="Y116" s="164"/>
      <c r="Z116" s="164"/>
      <c r="AA116" s="164"/>
      <c r="AB116" s="67"/>
      <c r="AC116" s="165"/>
      <c r="AD116" s="165"/>
      <c r="AE116" s="166"/>
      <c r="AF116" s="166"/>
      <c r="AG116" s="166"/>
      <c r="AH116" s="166"/>
      <c r="AI116" s="166"/>
      <c r="AJ116" s="166"/>
      <c r="AK116" s="166"/>
      <c r="AL116" s="166"/>
      <c r="AM116" s="166"/>
      <c r="AN116" s="166"/>
      <c r="AO116" s="166"/>
      <c r="AP116" s="166"/>
      <c r="AQ116" s="166"/>
      <c r="AR116" s="161">
        <v>22</v>
      </c>
      <c r="AS116" s="156" t="s">
        <v>54</v>
      </c>
      <c r="AT116" s="157">
        <v>1</v>
      </c>
      <c r="AU116" s="157" t="s">
        <v>20</v>
      </c>
      <c r="AV116" s="226" t="s">
        <v>43</v>
      </c>
      <c r="AW116" s="227" t="s">
        <v>43</v>
      </c>
    </row>
    <row r="117" spans="1:49" ht="18.75" customHeight="1" x14ac:dyDescent="0.15">
      <c r="A117" s="39"/>
      <c r="B117" s="40"/>
      <c r="C117" s="80"/>
      <c r="D117" s="42"/>
      <c r="E117" s="42"/>
      <c r="F117" s="43"/>
      <c r="G117" s="44"/>
      <c r="H117" s="77"/>
      <c r="I117" s="171"/>
      <c r="J117" s="170"/>
      <c r="K117" s="171"/>
      <c r="L117" s="67"/>
      <c r="M117" s="137"/>
      <c r="N117" s="116"/>
      <c r="O117" s="67"/>
      <c r="P117" s="117"/>
      <c r="Q117" s="53"/>
      <c r="R117" s="117"/>
      <c r="S117" s="118"/>
      <c r="T117" s="118"/>
      <c r="U117" s="118"/>
      <c r="V117" s="118"/>
      <c r="W117" s="118"/>
      <c r="X117" s="118"/>
      <c r="Y117" s="118"/>
      <c r="Z117" s="118"/>
      <c r="AA117" s="118"/>
      <c r="AB117" s="67"/>
      <c r="AC117" s="119"/>
      <c r="AD117" s="119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6"/>
      <c r="AP117" s="116"/>
      <c r="AQ117" s="116"/>
      <c r="AR117" s="77"/>
      <c r="AS117" s="171"/>
      <c r="AT117" s="170"/>
      <c r="AU117" s="171"/>
      <c r="AV117" s="57"/>
      <c r="AW117" s="138"/>
    </row>
    <row r="118" spans="1:49" ht="18.75" customHeight="1" x14ac:dyDescent="0.15">
      <c r="A118" s="19"/>
      <c r="B118" s="20" t="s">
        <v>163</v>
      </c>
      <c r="C118" s="229" t="s">
        <v>164</v>
      </c>
      <c r="D118" s="230"/>
      <c r="E118" s="230"/>
      <c r="F118" s="104"/>
      <c r="G118" s="23"/>
      <c r="H118" s="231"/>
      <c r="I118" s="36"/>
      <c r="J118" s="231"/>
      <c r="K118" s="36"/>
      <c r="L118" s="107"/>
      <c r="M118" s="232"/>
      <c r="N118" s="28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34"/>
      <c r="AD118" s="34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31"/>
      <c r="AS118" s="36"/>
      <c r="AT118" s="231"/>
      <c r="AU118" s="36"/>
      <c r="AV118" s="37"/>
      <c r="AW118" s="38"/>
    </row>
    <row r="119" spans="1:49" ht="18.75" customHeight="1" x14ac:dyDescent="0.15">
      <c r="A119" s="39"/>
      <c r="B119" s="233"/>
      <c r="C119" s="234" t="s">
        <v>165</v>
      </c>
      <c r="D119" s="42"/>
      <c r="E119" s="42"/>
      <c r="F119" s="111"/>
      <c r="G119" s="235" t="s">
        <v>166</v>
      </c>
      <c r="H119" s="126">
        <v>150</v>
      </c>
      <c r="I119" s="127" t="s">
        <v>49</v>
      </c>
      <c r="J119" s="126">
        <v>1</v>
      </c>
      <c r="K119" s="127" t="s">
        <v>20</v>
      </c>
      <c r="L119" s="164">
        <v>0</v>
      </c>
      <c r="M119" s="154">
        <f t="shared" ref="M119:M133" si="23">L119*J119*H119</f>
        <v>0</v>
      </c>
      <c r="N119" s="116"/>
      <c r="O119" s="67"/>
      <c r="P119" s="53"/>
      <c r="Q119" s="163"/>
      <c r="R119" s="53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8"/>
      <c r="AD119" s="68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128">
        <v>150</v>
      </c>
      <c r="AS119" s="129" t="s">
        <v>49</v>
      </c>
      <c r="AT119" s="128">
        <v>1</v>
      </c>
      <c r="AU119" s="129" t="s">
        <v>20</v>
      </c>
      <c r="AV119" s="226" t="s">
        <v>155</v>
      </c>
      <c r="AW119" s="227" t="s">
        <v>155</v>
      </c>
    </row>
    <row r="120" spans="1:49" ht="18.75" customHeight="1" x14ac:dyDescent="0.15">
      <c r="A120" s="39"/>
      <c r="B120" s="233"/>
      <c r="C120" s="234" t="s">
        <v>167</v>
      </c>
      <c r="D120" s="42"/>
      <c r="E120" s="42"/>
      <c r="F120" s="111"/>
      <c r="G120" s="235" t="s">
        <v>166</v>
      </c>
      <c r="H120" s="126">
        <v>1</v>
      </c>
      <c r="I120" s="127" t="s">
        <v>19</v>
      </c>
      <c r="J120" s="126">
        <v>1</v>
      </c>
      <c r="K120" s="127" t="s">
        <v>20</v>
      </c>
      <c r="L120" s="164">
        <v>0</v>
      </c>
      <c r="M120" s="154">
        <f t="shared" si="23"/>
        <v>0</v>
      </c>
      <c r="N120" s="116"/>
      <c r="O120" s="67"/>
      <c r="P120" s="53"/>
      <c r="Q120" s="163"/>
      <c r="R120" s="53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8"/>
      <c r="AD120" s="68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128">
        <v>1</v>
      </c>
      <c r="AS120" s="129" t="s">
        <v>19</v>
      </c>
      <c r="AT120" s="128">
        <v>1</v>
      </c>
      <c r="AU120" s="129" t="s">
        <v>20</v>
      </c>
      <c r="AV120" s="226" t="s">
        <v>155</v>
      </c>
      <c r="AW120" s="227" t="s">
        <v>155</v>
      </c>
    </row>
    <row r="121" spans="1:49" ht="18.75" customHeight="1" x14ac:dyDescent="0.15">
      <c r="A121" s="39"/>
      <c r="B121" s="233"/>
      <c r="C121" s="41" t="s">
        <v>168</v>
      </c>
      <c r="D121" s="42"/>
      <c r="E121" s="42"/>
      <c r="F121" s="111"/>
      <c r="G121" s="139" t="s">
        <v>169</v>
      </c>
      <c r="H121" s="140">
        <v>175</v>
      </c>
      <c r="I121" s="141" t="s">
        <v>170</v>
      </c>
      <c r="J121" s="140">
        <v>1</v>
      </c>
      <c r="K121" s="141" t="s">
        <v>20</v>
      </c>
      <c r="L121" s="67">
        <v>34000</v>
      </c>
      <c r="M121" s="66">
        <f t="shared" si="23"/>
        <v>5950000</v>
      </c>
      <c r="N121" s="116"/>
      <c r="O121" s="67">
        <f>M121</f>
        <v>5950000</v>
      </c>
      <c r="P121" s="53" t="b">
        <v>1</v>
      </c>
      <c r="Q121" s="53" t="s">
        <v>171</v>
      </c>
      <c r="R121" s="53" t="s">
        <v>172</v>
      </c>
      <c r="S121" s="83">
        <f>M121</f>
        <v>5950000</v>
      </c>
      <c r="T121" s="67"/>
      <c r="U121" s="67"/>
      <c r="V121" s="67"/>
      <c r="W121" s="67"/>
      <c r="X121" s="67"/>
      <c r="Y121" s="67"/>
      <c r="Z121" s="67"/>
      <c r="AA121" s="67"/>
      <c r="AB121" s="67">
        <f t="shared" ref="AB121:AB122" si="24">O121-(SUM(S121:Z121))</f>
        <v>0</v>
      </c>
      <c r="AC121" s="68" t="s">
        <v>25</v>
      </c>
      <c r="AD121" s="68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140">
        <v>175</v>
      </c>
      <c r="AS121" s="141" t="s">
        <v>170</v>
      </c>
      <c r="AT121" s="140">
        <v>1</v>
      </c>
      <c r="AU121" s="141" t="s">
        <v>20</v>
      </c>
      <c r="AV121" s="169">
        <v>50000</v>
      </c>
      <c r="AW121" s="71">
        <f t="shared" ref="AW121:AW123" si="25">AV121*AT121*AR121</f>
        <v>8750000</v>
      </c>
    </row>
    <row r="122" spans="1:49" ht="32" x14ac:dyDescent="0.15">
      <c r="A122" s="39"/>
      <c r="B122" s="233"/>
      <c r="C122" s="41" t="s">
        <v>173</v>
      </c>
      <c r="D122" s="42"/>
      <c r="E122" s="42"/>
      <c r="F122" s="111"/>
      <c r="G122" s="139" t="s">
        <v>174</v>
      </c>
      <c r="H122" s="140">
        <v>175</v>
      </c>
      <c r="I122" s="141" t="s">
        <v>170</v>
      </c>
      <c r="J122" s="140">
        <v>1</v>
      </c>
      <c r="K122" s="141" t="s">
        <v>20</v>
      </c>
      <c r="L122" s="67">
        <v>20000</v>
      </c>
      <c r="M122" s="66">
        <f t="shared" si="23"/>
        <v>3500000</v>
      </c>
      <c r="N122" s="116"/>
      <c r="O122" s="67">
        <v>3237500</v>
      </c>
      <c r="P122" s="53"/>
      <c r="Q122" s="53" t="s">
        <v>171</v>
      </c>
      <c r="R122" s="53"/>
      <c r="S122" s="149"/>
      <c r="T122" s="67"/>
      <c r="U122" s="149"/>
      <c r="V122" s="67"/>
      <c r="W122" s="67"/>
      <c r="X122" s="83">
        <f>O122</f>
        <v>3237500</v>
      </c>
      <c r="Y122" s="67"/>
      <c r="Z122" s="67"/>
      <c r="AA122" s="67"/>
      <c r="AB122" s="67">
        <f t="shared" si="24"/>
        <v>0</v>
      </c>
      <c r="AC122" s="68"/>
      <c r="AD122" s="68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140">
        <v>175</v>
      </c>
      <c r="AS122" s="141" t="s">
        <v>170</v>
      </c>
      <c r="AT122" s="140">
        <v>1</v>
      </c>
      <c r="AU122" s="141" t="s">
        <v>20</v>
      </c>
      <c r="AV122" s="169">
        <v>35000</v>
      </c>
      <c r="AW122" s="71">
        <f t="shared" si="25"/>
        <v>6125000</v>
      </c>
    </row>
    <row r="123" spans="1:49" ht="18.75" customHeight="1" x14ac:dyDescent="0.15">
      <c r="A123" s="39"/>
      <c r="B123" s="233"/>
      <c r="C123" s="41" t="s">
        <v>175</v>
      </c>
      <c r="D123" s="42"/>
      <c r="E123" s="42"/>
      <c r="F123" s="111"/>
      <c r="G123" s="44"/>
      <c r="H123" s="140">
        <v>200</v>
      </c>
      <c r="I123" s="141" t="s">
        <v>170</v>
      </c>
      <c r="J123" s="140">
        <v>1</v>
      </c>
      <c r="K123" s="141" t="s">
        <v>20</v>
      </c>
      <c r="L123" s="67"/>
      <c r="M123" s="66">
        <f t="shared" si="23"/>
        <v>0</v>
      </c>
      <c r="N123" s="116"/>
      <c r="O123" s="67"/>
      <c r="P123" s="53"/>
      <c r="Q123" s="53"/>
      <c r="R123" s="53"/>
      <c r="S123" s="149"/>
      <c r="T123" s="67"/>
      <c r="U123" s="149"/>
      <c r="V123" s="67">
        <f>O123</f>
        <v>0</v>
      </c>
      <c r="W123" s="67"/>
      <c r="X123" s="67"/>
      <c r="Y123" s="67"/>
      <c r="Z123" s="67"/>
      <c r="AA123" s="67"/>
      <c r="AB123" s="67"/>
      <c r="AC123" s="68"/>
      <c r="AD123" s="68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140">
        <v>200</v>
      </c>
      <c r="AS123" s="141" t="s">
        <v>170</v>
      </c>
      <c r="AT123" s="140">
        <v>1</v>
      </c>
      <c r="AU123" s="141" t="s">
        <v>20</v>
      </c>
      <c r="AV123" s="169">
        <v>25000</v>
      </c>
      <c r="AW123" s="71">
        <f t="shared" si="25"/>
        <v>5000000</v>
      </c>
    </row>
    <row r="124" spans="1:49" ht="18.75" customHeight="1" x14ac:dyDescent="0.15">
      <c r="A124" s="39"/>
      <c r="B124" s="233"/>
      <c r="C124" s="80"/>
      <c r="D124" s="60" t="s">
        <v>176</v>
      </c>
      <c r="E124" s="42"/>
      <c r="F124" s="111"/>
      <c r="G124" s="44"/>
      <c r="H124" s="112">
        <v>20</v>
      </c>
      <c r="I124" s="113" t="s">
        <v>170</v>
      </c>
      <c r="J124" s="140">
        <v>1</v>
      </c>
      <c r="K124" s="141" t="s">
        <v>20</v>
      </c>
      <c r="L124" s="67">
        <v>15000</v>
      </c>
      <c r="M124" s="66">
        <f t="shared" si="23"/>
        <v>300000</v>
      </c>
      <c r="N124" s="116"/>
      <c r="O124" s="81">
        <f>1204500+297000+1927200+440000</f>
        <v>3868700</v>
      </c>
      <c r="P124" s="53"/>
      <c r="Q124" s="53" t="s">
        <v>60</v>
      </c>
      <c r="R124" s="53"/>
      <c r="S124" s="149"/>
      <c r="T124" s="67"/>
      <c r="U124" s="149"/>
      <c r="V124" s="67"/>
      <c r="W124" s="67"/>
      <c r="X124" s="83">
        <f>O124</f>
        <v>3868700</v>
      </c>
      <c r="Y124" s="67"/>
      <c r="Z124" s="67"/>
      <c r="AA124" s="67"/>
      <c r="AB124" s="67">
        <f t="shared" ref="AB124:AB133" si="26">O124-(SUM(S124:Z124))</f>
        <v>0</v>
      </c>
      <c r="AC124" s="68"/>
      <c r="AD124" s="68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112"/>
      <c r="AS124" s="113"/>
      <c r="AT124" s="112"/>
      <c r="AU124" s="113"/>
      <c r="AV124" s="57"/>
      <c r="AW124" s="79"/>
    </row>
    <row r="125" spans="1:49" ht="18.75" customHeight="1" x14ac:dyDescent="0.15">
      <c r="A125" s="39"/>
      <c r="B125" s="233"/>
      <c r="C125" s="80"/>
      <c r="D125" s="60" t="s">
        <v>177</v>
      </c>
      <c r="E125" s="42"/>
      <c r="F125" s="111"/>
      <c r="G125" s="44"/>
      <c r="H125" s="112">
        <v>80</v>
      </c>
      <c r="I125" s="113" t="s">
        <v>170</v>
      </c>
      <c r="J125" s="140">
        <v>1</v>
      </c>
      <c r="K125" s="141" t="s">
        <v>20</v>
      </c>
      <c r="L125" s="67">
        <v>15000</v>
      </c>
      <c r="M125" s="66">
        <f t="shared" si="23"/>
        <v>1200000</v>
      </c>
      <c r="N125" s="116"/>
      <c r="O125" s="87"/>
      <c r="P125" s="53"/>
      <c r="Q125" s="53" t="s">
        <v>60</v>
      </c>
      <c r="R125" s="53"/>
      <c r="S125" s="149"/>
      <c r="T125" s="67"/>
      <c r="U125" s="149"/>
      <c r="V125" s="67"/>
      <c r="W125" s="67"/>
      <c r="X125" s="67">
        <f t="shared" ref="X125:X129" si="27">P125</f>
        <v>0</v>
      </c>
      <c r="Y125" s="67"/>
      <c r="Z125" s="67"/>
      <c r="AA125" s="67"/>
      <c r="AB125" s="67">
        <f t="shared" si="26"/>
        <v>0</v>
      </c>
      <c r="AC125" s="68"/>
      <c r="AD125" s="68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112"/>
      <c r="AS125" s="113"/>
      <c r="AT125" s="112"/>
      <c r="AU125" s="113"/>
      <c r="AV125" s="57"/>
      <c r="AW125" s="79"/>
    </row>
    <row r="126" spans="1:49" ht="18.75" customHeight="1" x14ac:dyDescent="0.15">
      <c r="A126" s="39"/>
      <c r="B126" s="233"/>
      <c r="C126" s="80"/>
      <c r="D126" s="60" t="s">
        <v>178</v>
      </c>
      <c r="E126" s="42"/>
      <c r="F126" s="111"/>
      <c r="G126" s="44"/>
      <c r="H126" s="112">
        <v>20</v>
      </c>
      <c r="I126" s="113" t="s">
        <v>170</v>
      </c>
      <c r="J126" s="140">
        <v>1</v>
      </c>
      <c r="K126" s="141" t="s">
        <v>20</v>
      </c>
      <c r="L126" s="67">
        <v>15000</v>
      </c>
      <c r="M126" s="66">
        <f t="shared" si="23"/>
        <v>300000</v>
      </c>
      <c r="N126" s="116"/>
      <c r="O126" s="87"/>
      <c r="P126" s="53"/>
      <c r="Q126" s="53" t="s">
        <v>60</v>
      </c>
      <c r="R126" s="53"/>
      <c r="S126" s="149"/>
      <c r="T126" s="67"/>
      <c r="U126" s="149"/>
      <c r="V126" s="67"/>
      <c r="W126" s="67"/>
      <c r="X126" s="67">
        <f t="shared" si="27"/>
        <v>0</v>
      </c>
      <c r="Y126" s="67"/>
      <c r="Z126" s="67"/>
      <c r="AA126" s="67"/>
      <c r="AB126" s="67">
        <f t="shared" si="26"/>
        <v>0</v>
      </c>
      <c r="AC126" s="68"/>
      <c r="AD126" s="68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112"/>
      <c r="AS126" s="113"/>
      <c r="AT126" s="112"/>
      <c r="AU126" s="113"/>
      <c r="AV126" s="57"/>
      <c r="AW126" s="79"/>
    </row>
    <row r="127" spans="1:49" ht="18.75" customHeight="1" x14ac:dyDescent="0.15">
      <c r="A127" s="39"/>
      <c r="B127" s="233"/>
      <c r="C127" s="80"/>
      <c r="D127" s="60" t="s">
        <v>179</v>
      </c>
      <c r="E127" s="42"/>
      <c r="F127" s="111"/>
      <c r="G127" s="44"/>
      <c r="H127" s="112">
        <v>50</v>
      </c>
      <c r="I127" s="113" t="s">
        <v>170</v>
      </c>
      <c r="J127" s="140">
        <v>1</v>
      </c>
      <c r="K127" s="141" t="s">
        <v>20</v>
      </c>
      <c r="L127" s="67">
        <v>15000</v>
      </c>
      <c r="M127" s="66">
        <f t="shared" si="23"/>
        <v>750000</v>
      </c>
      <c r="N127" s="116"/>
      <c r="O127" s="87"/>
      <c r="P127" s="53"/>
      <c r="Q127" s="53" t="s">
        <v>60</v>
      </c>
      <c r="R127" s="53"/>
      <c r="S127" s="149"/>
      <c r="T127" s="67"/>
      <c r="U127" s="149"/>
      <c r="V127" s="67"/>
      <c r="W127" s="67"/>
      <c r="X127" s="67">
        <f t="shared" si="27"/>
        <v>0</v>
      </c>
      <c r="Y127" s="67"/>
      <c r="Z127" s="67"/>
      <c r="AA127" s="67"/>
      <c r="AB127" s="67">
        <f t="shared" si="26"/>
        <v>0</v>
      </c>
      <c r="AC127" s="68"/>
      <c r="AD127" s="68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112"/>
      <c r="AS127" s="113"/>
      <c r="AT127" s="112"/>
      <c r="AU127" s="113"/>
      <c r="AV127" s="57"/>
      <c r="AW127" s="79"/>
    </row>
    <row r="128" spans="1:49" ht="18.75" customHeight="1" x14ac:dyDescent="0.15">
      <c r="A128" s="39"/>
      <c r="B128" s="233"/>
      <c r="C128" s="80"/>
      <c r="D128" s="60" t="s">
        <v>180</v>
      </c>
      <c r="E128" s="42"/>
      <c r="F128" s="111"/>
      <c r="G128" s="44" t="s">
        <v>181</v>
      </c>
      <c r="H128" s="112">
        <v>30</v>
      </c>
      <c r="I128" s="113" t="s">
        <v>170</v>
      </c>
      <c r="J128" s="140">
        <v>1</v>
      </c>
      <c r="K128" s="141" t="s">
        <v>20</v>
      </c>
      <c r="L128" s="67">
        <v>15000</v>
      </c>
      <c r="M128" s="66">
        <f t="shared" si="23"/>
        <v>450000</v>
      </c>
      <c r="N128" s="116"/>
      <c r="O128" s="87"/>
      <c r="P128" s="53"/>
      <c r="Q128" s="53" t="s">
        <v>60</v>
      </c>
      <c r="R128" s="53"/>
      <c r="S128" s="149"/>
      <c r="T128" s="67"/>
      <c r="U128" s="149"/>
      <c r="V128" s="67"/>
      <c r="W128" s="67"/>
      <c r="X128" s="67">
        <f t="shared" si="27"/>
        <v>0</v>
      </c>
      <c r="Y128" s="67"/>
      <c r="Z128" s="67"/>
      <c r="AA128" s="67"/>
      <c r="AB128" s="67">
        <f t="shared" si="26"/>
        <v>0</v>
      </c>
      <c r="AC128" s="68"/>
      <c r="AD128" s="68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112"/>
      <c r="AS128" s="113"/>
      <c r="AT128" s="112"/>
      <c r="AU128" s="113"/>
      <c r="AV128" s="57"/>
      <c r="AW128" s="79"/>
    </row>
    <row r="129" spans="1:49" ht="18.75" customHeight="1" x14ac:dyDescent="0.15">
      <c r="A129" s="39"/>
      <c r="B129" s="233"/>
      <c r="C129" s="80"/>
      <c r="D129" s="60" t="s">
        <v>182</v>
      </c>
      <c r="E129" s="42"/>
      <c r="F129" s="111"/>
      <c r="G129" s="44"/>
      <c r="H129" s="236">
        <v>60</v>
      </c>
      <c r="I129" s="237"/>
      <c r="J129" s="238">
        <v>1</v>
      </c>
      <c r="K129" s="239" t="s">
        <v>20</v>
      </c>
      <c r="L129" s="183">
        <v>15000</v>
      </c>
      <c r="M129" s="184">
        <f t="shared" si="23"/>
        <v>900000</v>
      </c>
      <c r="N129" s="116"/>
      <c r="O129" s="133"/>
      <c r="P129" s="53"/>
      <c r="Q129" s="53" t="s">
        <v>60</v>
      </c>
      <c r="R129" s="53"/>
      <c r="S129" s="149"/>
      <c r="T129" s="67"/>
      <c r="U129" s="67"/>
      <c r="V129" s="67"/>
      <c r="W129" s="67"/>
      <c r="X129" s="67">
        <f t="shared" si="27"/>
        <v>0</v>
      </c>
      <c r="Y129" s="67"/>
      <c r="Z129" s="67"/>
      <c r="AA129" s="67"/>
      <c r="AB129" s="67">
        <f t="shared" si="26"/>
        <v>0</v>
      </c>
      <c r="AC129" s="68"/>
      <c r="AD129" s="68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112"/>
      <c r="AS129" s="113"/>
      <c r="AT129" s="112"/>
      <c r="AU129" s="113"/>
      <c r="AV129" s="57"/>
      <c r="AW129" s="79"/>
    </row>
    <row r="130" spans="1:49" ht="18.75" customHeight="1" x14ac:dyDescent="0.15">
      <c r="A130" s="39"/>
      <c r="B130" s="233"/>
      <c r="C130" s="41" t="s">
        <v>183</v>
      </c>
      <c r="D130" s="42"/>
      <c r="E130" s="42"/>
      <c r="F130" s="111"/>
      <c r="G130" s="44"/>
      <c r="H130" s="238">
        <v>175</v>
      </c>
      <c r="I130" s="239" t="s">
        <v>170</v>
      </c>
      <c r="J130" s="238">
        <v>1</v>
      </c>
      <c r="K130" s="239" t="s">
        <v>20</v>
      </c>
      <c r="L130" s="183">
        <v>65000</v>
      </c>
      <c r="M130" s="184">
        <f t="shared" si="23"/>
        <v>11375000</v>
      </c>
      <c r="N130" s="116"/>
      <c r="O130" s="67">
        <v>9900000</v>
      </c>
      <c r="P130" s="53" t="b">
        <v>1</v>
      </c>
      <c r="Q130" s="53" t="s">
        <v>184</v>
      </c>
      <c r="R130" s="117" t="s">
        <v>185</v>
      </c>
      <c r="S130" s="149"/>
      <c r="T130" s="118"/>
      <c r="U130" s="83">
        <v>5000000</v>
      </c>
      <c r="V130" s="240">
        <f>O130-U130</f>
        <v>4900000</v>
      </c>
      <c r="W130" s="118"/>
      <c r="X130" s="118"/>
      <c r="Y130" s="118"/>
      <c r="Z130" s="118"/>
      <c r="AA130" s="118"/>
      <c r="AB130" s="67">
        <f t="shared" si="26"/>
        <v>0</v>
      </c>
      <c r="AC130" s="119"/>
      <c r="AD130" s="119"/>
      <c r="AE130" s="116"/>
      <c r="AF130" s="116"/>
      <c r="AG130" s="116"/>
      <c r="AH130" s="116"/>
      <c r="AI130" s="116"/>
      <c r="AJ130" s="116"/>
      <c r="AK130" s="116"/>
      <c r="AL130" s="116"/>
      <c r="AM130" s="116"/>
      <c r="AN130" s="116"/>
      <c r="AO130" s="116"/>
      <c r="AP130" s="116"/>
      <c r="AQ130" s="116"/>
      <c r="AR130" s="112"/>
      <c r="AS130" s="113"/>
      <c r="AT130" s="112"/>
      <c r="AU130" s="113"/>
      <c r="AV130" s="57"/>
      <c r="AW130" s="241"/>
    </row>
    <row r="131" spans="1:49" ht="18.75" customHeight="1" x14ac:dyDescent="0.15">
      <c r="A131" s="39"/>
      <c r="B131" s="233"/>
      <c r="C131" s="41" t="s">
        <v>186</v>
      </c>
      <c r="D131" s="42"/>
      <c r="E131" s="42"/>
      <c r="F131" s="111"/>
      <c r="G131" s="44"/>
      <c r="H131" s="238">
        <v>5</v>
      </c>
      <c r="I131" s="239" t="s">
        <v>170</v>
      </c>
      <c r="J131" s="238">
        <v>1</v>
      </c>
      <c r="K131" s="239" t="s">
        <v>20</v>
      </c>
      <c r="L131" s="183">
        <v>1100000</v>
      </c>
      <c r="M131" s="184">
        <f t="shared" si="23"/>
        <v>5500000</v>
      </c>
      <c r="N131" s="116"/>
      <c r="O131" s="67">
        <v>5500000</v>
      </c>
      <c r="P131" s="117"/>
      <c r="Q131" s="117" t="s">
        <v>187</v>
      </c>
      <c r="R131" s="117" t="s">
        <v>188</v>
      </c>
      <c r="S131" s="149"/>
      <c r="T131" s="242">
        <f>O131*50%</f>
        <v>2750000</v>
      </c>
      <c r="U131" s="240">
        <f>O131-T131</f>
        <v>2750000</v>
      </c>
      <c r="W131" s="118"/>
      <c r="X131" s="118"/>
      <c r="Y131" s="118"/>
      <c r="Z131" s="118"/>
      <c r="AA131" s="118"/>
      <c r="AB131" s="67">
        <f t="shared" si="26"/>
        <v>0</v>
      </c>
      <c r="AC131" s="68" t="s">
        <v>25</v>
      </c>
      <c r="AD131" s="119"/>
      <c r="AE131" s="116"/>
      <c r="AF131" s="116"/>
      <c r="AG131" s="116"/>
      <c r="AH131" s="116"/>
      <c r="AI131" s="116"/>
      <c r="AJ131" s="116"/>
      <c r="AK131" s="116"/>
      <c r="AL131" s="116"/>
      <c r="AM131" s="116"/>
      <c r="AN131" s="116"/>
      <c r="AO131" s="116"/>
      <c r="AP131" s="116"/>
      <c r="AQ131" s="116"/>
      <c r="AR131" s="112"/>
      <c r="AS131" s="113"/>
      <c r="AT131" s="112"/>
      <c r="AU131" s="113"/>
      <c r="AV131" s="57"/>
      <c r="AW131" s="241"/>
    </row>
    <row r="132" spans="1:49" ht="18.75" customHeight="1" x14ac:dyDescent="0.15">
      <c r="A132" s="39"/>
      <c r="B132" s="233"/>
      <c r="C132" s="243" t="s">
        <v>189</v>
      </c>
      <c r="D132" s="244"/>
      <c r="E132" s="244"/>
      <c r="F132" s="245"/>
      <c r="G132" s="246" t="s">
        <v>190</v>
      </c>
      <c r="H132" s="247">
        <v>22</v>
      </c>
      <c r="I132" s="248"/>
      <c r="J132" s="247">
        <v>1</v>
      </c>
      <c r="K132" s="248" t="s">
        <v>20</v>
      </c>
      <c r="L132" s="249">
        <v>6000</v>
      </c>
      <c r="M132" s="250">
        <f t="shared" si="23"/>
        <v>132000</v>
      </c>
      <c r="N132" s="116"/>
      <c r="O132" s="67">
        <v>66000</v>
      </c>
      <c r="P132" s="117"/>
      <c r="Q132" s="53" t="s">
        <v>60</v>
      </c>
      <c r="R132" s="117"/>
      <c r="S132" s="149"/>
      <c r="T132" s="148"/>
      <c r="U132" s="67"/>
      <c r="V132" s="118"/>
      <c r="W132" s="118"/>
      <c r="X132" s="240">
        <f t="shared" ref="X132:X133" si="28">O132</f>
        <v>66000</v>
      </c>
      <c r="Y132" s="118"/>
      <c r="Z132" s="118"/>
      <c r="AA132" s="118"/>
      <c r="AB132" s="67">
        <f t="shared" si="26"/>
        <v>0</v>
      </c>
      <c r="AC132" s="119"/>
      <c r="AD132" s="119"/>
      <c r="AE132" s="116"/>
      <c r="AF132" s="116"/>
      <c r="AG132" s="116"/>
      <c r="AH132" s="116"/>
      <c r="AI132" s="116"/>
      <c r="AJ132" s="116"/>
      <c r="AK132" s="116"/>
      <c r="AL132" s="116"/>
      <c r="AM132" s="116"/>
      <c r="AN132" s="116"/>
      <c r="AO132" s="116"/>
      <c r="AP132" s="116"/>
      <c r="AQ132" s="116"/>
      <c r="AR132" s="112"/>
      <c r="AS132" s="113"/>
      <c r="AT132" s="112"/>
      <c r="AU132" s="113"/>
      <c r="AV132" s="57"/>
      <c r="AW132" s="241"/>
    </row>
    <row r="133" spans="1:49" ht="18.75" customHeight="1" x14ac:dyDescent="0.15">
      <c r="A133" s="39"/>
      <c r="B133" s="233"/>
      <c r="C133" s="251" t="s">
        <v>191</v>
      </c>
      <c r="D133" s="244"/>
      <c r="E133" s="244"/>
      <c r="F133" s="245"/>
      <c r="G133" s="246" t="s">
        <v>192</v>
      </c>
      <c r="H133" s="252">
        <v>150</v>
      </c>
      <c r="I133" s="253"/>
      <c r="J133" s="252">
        <v>1</v>
      </c>
      <c r="K133" s="253" t="s">
        <v>20</v>
      </c>
      <c r="L133" s="249">
        <v>5000</v>
      </c>
      <c r="M133" s="250">
        <f t="shared" si="23"/>
        <v>750000</v>
      </c>
      <c r="N133" s="116"/>
      <c r="O133" s="67">
        <v>525000</v>
      </c>
      <c r="P133" s="117"/>
      <c r="Q133" s="53" t="s">
        <v>60</v>
      </c>
      <c r="R133" s="117"/>
      <c r="S133" s="118"/>
      <c r="T133" s="118"/>
      <c r="U133" s="118"/>
      <c r="V133" s="118"/>
      <c r="W133" s="118"/>
      <c r="X133" s="240">
        <f t="shared" si="28"/>
        <v>525000</v>
      </c>
      <c r="Y133" s="118"/>
      <c r="Z133" s="118"/>
      <c r="AA133" s="118"/>
      <c r="AB133" s="67">
        <f t="shared" si="26"/>
        <v>0</v>
      </c>
      <c r="AC133" s="119"/>
      <c r="AD133" s="119"/>
      <c r="AE133" s="116"/>
      <c r="AF133" s="116"/>
      <c r="AG133" s="116"/>
      <c r="AH133" s="116"/>
      <c r="AI133" s="116"/>
      <c r="AJ133" s="116"/>
      <c r="AK133" s="116"/>
      <c r="AL133" s="116"/>
      <c r="AM133" s="116"/>
      <c r="AN133" s="116"/>
      <c r="AO133" s="116"/>
      <c r="AP133" s="116"/>
      <c r="AQ133" s="116"/>
      <c r="AR133" s="112"/>
      <c r="AS133" s="113"/>
      <c r="AT133" s="112"/>
      <c r="AU133" s="113"/>
      <c r="AV133" s="57"/>
      <c r="AW133" s="241"/>
    </row>
    <row r="134" spans="1:49" ht="18.75" customHeight="1" x14ac:dyDescent="0.15">
      <c r="A134" s="39"/>
      <c r="B134" s="233"/>
      <c r="C134" s="80"/>
      <c r="D134" s="42"/>
      <c r="E134" s="42"/>
      <c r="F134" s="111"/>
      <c r="G134" s="44"/>
      <c r="H134" s="112"/>
      <c r="I134" s="113"/>
      <c r="J134" s="112"/>
      <c r="K134" s="113"/>
      <c r="L134" s="67"/>
      <c r="M134" s="137"/>
      <c r="N134" s="116"/>
      <c r="O134" s="67"/>
      <c r="P134" s="117"/>
      <c r="Q134" s="117"/>
      <c r="R134" s="117"/>
      <c r="S134" s="118"/>
      <c r="T134" s="118"/>
      <c r="U134" s="118"/>
      <c r="V134" s="118"/>
      <c r="W134" s="118"/>
      <c r="X134" s="118"/>
      <c r="Y134" s="118"/>
      <c r="Z134" s="118"/>
      <c r="AA134" s="118"/>
      <c r="AB134" s="67"/>
      <c r="AC134" s="119"/>
      <c r="AD134" s="119"/>
      <c r="AE134" s="116"/>
      <c r="AF134" s="116"/>
      <c r="AG134" s="116"/>
      <c r="AH134" s="116"/>
      <c r="AI134" s="116"/>
      <c r="AJ134" s="116"/>
      <c r="AK134" s="116"/>
      <c r="AL134" s="116"/>
      <c r="AM134" s="116"/>
      <c r="AN134" s="116"/>
      <c r="AO134" s="116"/>
      <c r="AP134" s="116"/>
      <c r="AQ134" s="116"/>
      <c r="AR134" s="112"/>
      <c r="AS134" s="113"/>
      <c r="AT134" s="112"/>
      <c r="AU134" s="113"/>
      <c r="AV134" s="57"/>
      <c r="AW134" s="138"/>
    </row>
    <row r="135" spans="1:49" ht="18.75" customHeight="1" x14ac:dyDescent="0.15">
      <c r="A135" s="19"/>
      <c r="B135" s="254" t="s">
        <v>193</v>
      </c>
      <c r="C135" s="229" t="s">
        <v>194</v>
      </c>
      <c r="D135" s="230"/>
      <c r="E135" s="230"/>
      <c r="F135" s="104"/>
      <c r="G135" s="255"/>
      <c r="H135" s="256"/>
      <c r="I135" s="256"/>
      <c r="J135" s="256"/>
      <c r="K135" s="257"/>
      <c r="L135" s="258"/>
      <c r="M135" s="259"/>
      <c r="N135" s="116"/>
      <c r="O135" s="67"/>
      <c r="P135" s="117"/>
      <c r="Q135" s="117"/>
      <c r="R135" s="117"/>
      <c r="S135" s="118"/>
      <c r="T135" s="118"/>
      <c r="U135" s="118"/>
      <c r="V135" s="118"/>
      <c r="W135" s="118"/>
      <c r="X135" s="118"/>
      <c r="Y135" s="118"/>
      <c r="Z135" s="118"/>
      <c r="AA135" s="118"/>
      <c r="AB135" s="67"/>
      <c r="AC135" s="119"/>
      <c r="AD135" s="119"/>
      <c r="AE135" s="116"/>
      <c r="AF135" s="116"/>
      <c r="AG135" s="116"/>
      <c r="AH135" s="116"/>
      <c r="AI135" s="116"/>
      <c r="AJ135" s="116"/>
      <c r="AK135" s="116"/>
      <c r="AL135" s="116"/>
      <c r="AM135" s="116"/>
      <c r="AN135" s="116"/>
      <c r="AO135" s="116"/>
      <c r="AP135" s="116"/>
      <c r="AQ135" s="116"/>
      <c r="AR135" s="256"/>
      <c r="AS135" s="256"/>
      <c r="AT135" s="256"/>
      <c r="AU135" s="257"/>
      <c r="AV135" s="260"/>
      <c r="AW135" s="38"/>
    </row>
    <row r="136" spans="1:49" ht="18.75" customHeight="1" x14ac:dyDescent="0.15">
      <c r="A136" s="39"/>
      <c r="B136" s="40"/>
      <c r="C136" s="41" t="s">
        <v>195</v>
      </c>
      <c r="D136" s="42"/>
      <c r="E136" s="42"/>
      <c r="F136" s="111"/>
      <c r="G136" s="146" t="s">
        <v>196</v>
      </c>
      <c r="H136" s="238">
        <v>1</v>
      </c>
      <c r="I136" s="239" t="s">
        <v>49</v>
      </c>
      <c r="J136" s="238">
        <v>1</v>
      </c>
      <c r="K136" s="239" t="s">
        <v>20</v>
      </c>
      <c r="L136" s="183">
        <v>12000000</v>
      </c>
      <c r="M136" s="184">
        <f t="shared" ref="M136:M140" si="29">L136*J136*H136</f>
        <v>12000000</v>
      </c>
      <c r="N136" s="116"/>
      <c r="O136" s="67">
        <f t="shared" ref="O136:O139" si="30">M136</f>
        <v>12000000</v>
      </c>
      <c r="P136" s="53" t="b">
        <v>1</v>
      </c>
      <c r="Q136" s="117" t="s">
        <v>197</v>
      </c>
      <c r="R136" s="53" t="s">
        <v>198</v>
      </c>
      <c r="S136" s="67"/>
      <c r="T136" s="67"/>
      <c r="U136" s="83">
        <f>O136*50%</f>
        <v>6000000</v>
      </c>
      <c r="V136" s="67"/>
      <c r="W136" s="67"/>
      <c r="X136" s="83">
        <f>O136-U136</f>
        <v>6000000</v>
      </c>
      <c r="Y136" s="67"/>
      <c r="Z136" s="67"/>
      <c r="AA136" s="67"/>
      <c r="AB136" s="67">
        <f t="shared" ref="AB136:AB140" si="31">O136-(SUM(S136:Z136))</f>
        <v>0</v>
      </c>
      <c r="AC136" s="68"/>
      <c r="AD136" s="68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140">
        <v>1</v>
      </c>
      <c r="AS136" s="141" t="s">
        <v>49</v>
      </c>
      <c r="AT136" s="140">
        <v>1</v>
      </c>
      <c r="AU136" s="141" t="s">
        <v>20</v>
      </c>
      <c r="AV136" s="169">
        <v>30000000</v>
      </c>
      <c r="AW136" s="71">
        <f t="shared" ref="AW136:AW140" si="32">AV136*AT136*AR136</f>
        <v>30000000</v>
      </c>
    </row>
    <row r="137" spans="1:49" ht="18.75" customHeight="1" x14ac:dyDescent="0.15">
      <c r="A137" s="39"/>
      <c r="B137" s="233"/>
      <c r="C137" s="41" t="s">
        <v>199</v>
      </c>
      <c r="D137" s="42"/>
      <c r="E137" s="42"/>
      <c r="F137" s="111"/>
      <c r="G137" s="139" t="s">
        <v>200</v>
      </c>
      <c r="H137" s="238">
        <v>1</v>
      </c>
      <c r="I137" s="239" t="s">
        <v>201</v>
      </c>
      <c r="J137" s="238">
        <v>1</v>
      </c>
      <c r="K137" s="239" t="s">
        <v>20</v>
      </c>
      <c r="L137" s="183">
        <v>25500000</v>
      </c>
      <c r="M137" s="184">
        <f t="shared" si="29"/>
        <v>25500000</v>
      </c>
      <c r="N137" s="116"/>
      <c r="O137" s="67">
        <f t="shared" si="30"/>
        <v>25500000</v>
      </c>
      <c r="P137" s="53" t="b">
        <v>1</v>
      </c>
      <c r="Q137" s="117" t="s">
        <v>202</v>
      </c>
      <c r="R137" s="53" t="s">
        <v>203</v>
      </c>
      <c r="S137" s="83">
        <f t="shared" ref="S137:S138" si="33">O137*50%</f>
        <v>12750000</v>
      </c>
      <c r="T137" s="67"/>
      <c r="U137" s="67"/>
      <c r="V137" s="67"/>
      <c r="W137" s="67"/>
      <c r="X137" s="83">
        <f t="shared" ref="X137:X138" si="34">O137-S137</f>
        <v>12750000</v>
      </c>
      <c r="Y137" s="67"/>
      <c r="Z137" s="67"/>
      <c r="AA137" s="67"/>
      <c r="AB137" s="67">
        <f t="shared" si="31"/>
        <v>0</v>
      </c>
      <c r="AC137" s="68" t="s">
        <v>25</v>
      </c>
      <c r="AD137" s="68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140">
        <v>1</v>
      </c>
      <c r="AS137" s="141" t="s">
        <v>201</v>
      </c>
      <c r="AT137" s="140">
        <v>1</v>
      </c>
      <c r="AU137" s="141" t="s">
        <v>20</v>
      </c>
      <c r="AV137" s="169"/>
      <c r="AW137" s="71">
        <f t="shared" si="32"/>
        <v>0</v>
      </c>
    </row>
    <row r="138" spans="1:49" ht="18.75" customHeight="1" x14ac:dyDescent="0.15">
      <c r="A138" s="39"/>
      <c r="B138" s="233"/>
      <c r="C138" s="41" t="s">
        <v>204</v>
      </c>
      <c r="D138" s="42"/>
      <c r="E138" s="42"/>
      <c r="F138" s="111"/>
      <c r="G138" s="139" t="s">
        <v>205</v>
      </c>
      <c r="H138" s="238">
        <v>1</v>
      </c>
      <c r="I138" s="239" t="s">
        <v>201</v>
      </c>
      <c r="J138" s="238">
        <v>1</v>
      </c>
      <c r="K138" s="239" t="s">
        <v>20</v>
      </c>
      <c r="L138" s="183">
        <v>21000000</v>
      </c>
      <c r="M138" s="184">
        <f t="shared" si="29"/>
        <v>21000000</v>
      </c>
      <c r="N138" s="116"/>
      <c r="O138" s="67">
        <f t="shared" si="30"/>
        <v>21000000</v>
      </c>
      <c r="P138" s="53" t="b">
        <v>1</v>
      </c>
      <c r="Q138" s="117" t="s">
        <v>206</v>
      </c>
      <c r="R138" s="53" t="s">
        <v>207</v>
      </c>
      <c r="S138" s="83">
        <f t="shared" si="33"/>
        <v>10500000</v>
      </c>
      <c r="T138" s="67"/>
      <c r="U138" s="67"/>
      <c r="V138" s="67"/>
      <c r="W138" s="67"/>
      <c r="X138" s="83">
        <f t="shared" si="34"/>
        <v>10500000</v>
      </c>
      <c r="Y138" s="67"/>
      <c r="Z138" s="67"/>
      <c r="AA138" s="67"/>
      <c r="AB138" s="67">
        <f t="shared" si="31"/>
        <v>0</v>
      </c>
      <c r="AC138" s="68" t="s">
        <v>25</v>
      </c>
      <c r="AD138" s="68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140">
        <v>1</v>
      </c>
      <c r="AS138" s="141" t="s">
        <v>201</v>
      </c>
      <c r="AT138" s="140">
        <v>1</v>
      </c>
      <c r="AU138" s="141" t="s">
        <v>20</v>
      </c>
      <c r="AV138" s="169"/>
      <c r="AW138" s="71">
        <f t="shared" si="32"/>
        <v>0</v>
      </c>
    </row>
    <row r="139" spans="1:49" ht="18.75" customHeight="1" x14ac:dyDescent="0.15">
      <c r="A139" s="39"/>
      <c r="B139" s="233"/>
      <c r="C139" s="41" t="s">
        <v>208</v>
      </c>
      <c r="D139" s="42"/>
      <c r="E139" s="42"/>
      <c r="F139" s="111"/>
      <c r="G139" s="139" t="s">
        <v>209</v>
      </c>
      <c r="H139" s="238">
        <v>1</v>
      </c>
      <c r="I139" s="239" t="s">
        <v>201</v>
      </c>
      <c r="J139" s="238">
        <v>1</v>
      </c>
      <c r="K139" s="239" t="s">
        <v>20</v>
      </c>
      <c r="L139" s="183">
        <v>8000000</v>
      </c>
      <c r="M139" s="184">
        <f t="shared" si="29"/>
        <v>8000000</v>
      </c>
      <c r="N139" s="116"/>
      <c r="O139" s="67">
        <f t="shared" si="30"/>
        <v>8000000</v>
      </c>
      <c r="P139" s="53" t="b">
        <v>1</v>
      </c>
      <c r="Q139" s="117" t="s">
        <v>210</v>
      </c>
      <c r="R139" s="53" t="s">
        <v>211</v>
      </c>
      <c r="S139" s="67"/>
      <c r="T139" s="67"/>
      <c r="U139" s="83">
        <f t="shared" ref="U139:U140" si="35">O139*50%</f>
        <v>4000000</v>
      </c>
      <c r="V139" s="67"/>
      <c r="W139" s="67"/>
      <c r="X139" s="83">
        <f t="shared" ref="X139:X140" si="36">O139-U139</f>
        <v>4000000</v>
      </c>
      <c r="Y139" s="67"/>
      <c r="Z139" s="67"/>
      <c r="AA139" s="67"/>
      <c r="AB139" s="67">
        <f t="shared" si="31"/>
        <v>0</v>
      </c>
      <c r="AC139" s="68"/>
      <c r="AD139" s="68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140">
        <v>1</v>
      </c>
      <c r="AS139" s="141" t="s">
        <v>201</v>
      </c>
      <c r="AT139" s="140">
        <v>1</v>
      </c>
      <c r="AU139" s="141" t="s">
        <v>20</v>
      </c>
      <c r="AV139" s="169"/>
      <c r="AW139" s="71">
        <f t="shared" si="32"/>
        <v>0</v>
      </c>
    </row>
    <row r="140" spans="1:49" ht="18.75" customHeight="1" x14ac:dyDescent="0.15">
      <c r="A140" s="39"/>
      <c r="B140" s="233"/>
      <c r="C140" s="41" t="s">
        <v>212</v>
      </c>
      <c r="D140" s="42"/>
      <c r="E140" s="42"/>
      <c r="F140" s="111"/>
      <c r="G140" s="139" t="s">
        <v>213</v>
      </c>
      <c r="H140" s="238">
        <v>1</v>
      </c>
      <c r="I140" s="239" t="s">
        <v>201</v>
      </c>
      <c r="J140" s="238">
        <v>1</v>
      </c>
      <c r="K140" s="239" t="s">
        <v>20</v>
      </c>
      <c r="L140" s="183">
        <v>5000000</v>
      </c>
      <c r="M140" s="261">
        <f t="shared" si="29"/>
        <v>5000000</v>
      </c>
      <c r="N140" s="116"/>
      <c r="O140" s="67">
        <v>3600000</v>
      </c>
      <c r="P140" s="53" t="b">
        <v>1</v>
      </c>
      <c r="Q140" s="117" t="s">
        <v>214</v>
      </c>
      <c r="R140" s="53" t="s">
        <v>215</v>
      </c>
      <c r="S140" s="67"/>
      <c r="T140" s="67"/>
      <c r="U140" s="83">
        <f t="shared" si="35"/>
        <v>1800000</v>
      </c>
      <c r="V140" s="67"/>
      <c r="W140" s="67"/>
      <c r="X140" s="83">
        <f t="shared" si="36"/>
        <v>1800000</v>
      </c>
      <c r="Y140" s="164"/>
      <c r="Z140" s="164"/>
      <c r="AA140" s="164"/>
      <c r="AB140" s="67">
        <f t="shared" si="31"/>
        <v>0</v>
      </c>
      <c r="AC140" s="165"/>
      <c r="AD140" s="165"/>
      <c r="AE140" s="166"/>
      <c r="AF140" s="166"/>
      <c r="AG140" s="166"/>
      <c r="AH140" s="166"/>
      <c r="AI140" s="166"/>
      <c r="AJ140" s="166"/>
      <c r="AK140" s="166"/>
      <c r="AL140" s="166"/>
      <c r="AM140" s="166"/>
      <c r="AN140" s="166"/>
      <c r="AO140" s="166"/>
      <c r="AP140" s="166"/>
      <c r="AQ140" s="166"/>
      <c r="AR140" s="140">
        <v>1</v>
      </c>
      <c r="AS140" s="141" t="s">
        <v>201</v>
      </c>
      <c r="AT140" s="140">
        <v>1</v>
      </c>
      <c r="AU140" s="141" t="s">
        <v>20</v>
      </c>
      <c r="AV140" s="169"/>
      <c r="AW140" s="71">
        <f t="shared" si="32"/>
        <v>0</v>
      </c>
    </row>
    <row r="141" spans="1:49" ht="18.75" customHeight="1" x14ac:dyDescent="0.15">
      <c r="A141" s="39"/>
      <c r="B141" s="233"/>
      <c r="C141" s="41" t="s">
        <v>216</v>
      </c>
      <c r="D141" s="42"/>
      <c r="E141" s="42"/>
      <c r="F141" s="111"/>
      <c r="G141" s="235"/>
      <c r="H141" s="126"/>
      <c r="I141" s="127"/>
      <c r="J141" s="126"/>
      <c r="K141" s="127"/>
      <c r="L141" s="235"/>
      <c r="M141" s="262"/>
      <c r="N141" s="116"/>
      <c r="O141" s="67">
        <v>1500000</v>
      </c>
      <c r="P141" s="163"/>
      <c r="Q141" s="52" t="s">
        <v>114</v>
      </c>
      <c r="R141" s="53" t="s">
        <v>115</v>
      </c>
      <c r="S141" s="164"/>
      <c r="T141" s="164"/>
      <c r="U141" s="83">
        <f>O141</f>
        <v>1500000</v>
      </c>
      <c r="V141" s="164"/>
      <c r="W141" s="164"/>
      <c r="X141" s="164"/>
      <c r="Y141" s="164"/>
      <c r="Z141" s="164"/>
      <c r="AA141" s="164"/>
      <c r="AB141" s="67"/>
      <c r="AC141" s="165"/>
      <c r="AD141" s="165"/>
      <c r="AE141" s="166"/>
      <c r="AF141" s="166"/>
      <c r="AG141" s="166"/>
      <c r="AH141" s="166"/>
      <c r="AI141" s="166"/>
      <c r="AJ141" s="166"/>
      <c r="AK141" s="166"/>
      <c r="AL141" s="166"/>
      <c r="AM141" s="166"/>
      <c r="AN141" s="166"/>
      <c r="AO141" s="166"/>
      <c r="AP141" s="166"/>
      <c r="AQ141" s="166"/>
      <c r="AR141" s="126"/>
      <c r="AS141" s="127"/>
      <c r="AT141" s="126"/>
      <c r="AU141" s="127"/>
      <c r="AV141" s="210"/>
      <c r="AW141" s="154"/>
    </row>
    <row r="142" spans="1:49" ht="18.75" customHeight="1" x14ac:dyDescent="0.15">
      <c r="A142" s="39"/>
      <c r="B142" s="233"/>
      <c r="C142" s="234" t="s">
        <v>217</v>
      </c>
      <c r="D142" s="42"/>
      <c r="E142" s="42"/>
      <c r="F142" s="111"/>
      <c r="G142" s="235" t="s">
        <v>218</v>
      </c>
      <c r="H142" s="126">
        <v>1</v>
      </c>
      <c r="I142" s="127" t="s">
        <v>49</v>
      </c>
      <c r="J142" s="126">
        <v>1</v>
      </c>
      <c r="K142" s="127" t="s">
        <v>20</v>
      </c>
      <c r="L142" s="235" t="s">
        <v>218</v>
      </c>
      <c r="M142" s="262" t="s">
        <v>218</v>
      </c>
      <c r="N142" s="116"/>
      <c r="O142" s="67"/>
      <c r="P142" s="163"/>
      <c r="Q142" s="117"/>
      <c r="R142" s="163"/>
      <c r="S142" s="164"/>
      <c r="T142" s="164"/>
      <c r="U142" s="164"/>
      <c r="V142" s="164"/>
      <c r="W142" s="164"/>
      <c r="X142" s="164"/>
      <c r="Y142" s="164"/>
      <c r="Z142" s="164"/>
      <c r="AA142" s="164"/>
      <c r="AB142" s="67"/>
      <c r="AC142" s="165"/>
      <c r="AD142" s="165"/>
      <c r="AE142" s="166"/>
      <c r="AF142" s="166"/>
      <c r="AG142" s="166"/>
      <c r="AH142" s="166"/>
      <c r="AI142" s="166"/>
      <c r="AJ142" s="166"/>
      <c r="AK142" s="166"/>
      <c r="AL142" s="166"/>
      <c r="AM142" s="166"/>
      <c r="AN142" s="166"/>
      <c r="AO142" s="166"/>
      <c r="AP142" s="166"/>
      <c r="AQ142" s="166"/>
      <c r="AR142" s="126">
        <v>1</v>
      </c>
      <c r="AS142" s="127" t="s">
        <v>49</v>
      </c>
      <c r="AT142" s="126">
        <v>1</v>
      </c>
      <c r="AU142" s="127" t="s">
        <v>20</v>
      </c>
      <c r="AV142" s="210" t="s">
        <v>155</v>
      </c>
      <c r="AW142" s="222" t="s">
        <v>155</v>
      </c>
    </row>
    <row r="143" spans="1:49" ht="18.75" customHeight="1" x14ac:dyDescent="0.15">
      <c r="A143" s="39"/>
      <c r="B143" s="233"/>
      <c r="C143" s="80"/>
      <c r="D143" s="42"/>
      <c r="E143" s="42"/>
      <c r="F143" s="111"/>
      <c r="G143" s="44"/>
      <c r="H143" s="112"/>
      <c r="I143" s="113"/>
      <c r="J143" s="112"/>
      <c r="K143" s="113"/>
      <c r="L143" s="67"/>
      <c r="M143" s="137"/>
      <c r="N143" s="116"/>
      <c r="O143" s="67"/>
      <c r="P143" s="117"/>
      <c r="Q143" s="117"/>
      <c r="R143" s="117"/>
      <c r="S143" s="118"/>
      <c r="T143" s="118"/>
      <c r="U143" s="118"/>
      <c r="V143" s="118"/>
      <c r="W143" s="118"/>
      <c r="X143" s="118"/>
      <c r="Y143" s="118"/>
      <c r="Z143" s="118"/>
      <c r="AA143" s="118"/>
      <c r="AB143" s="67"/>
      <c r="AC143" s="119"/>
      <c r="AD143" s="119"/>
      <c r="AE143" s="11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  <c r="AR143" s="112"/>
      <c r="AS143" s="113"/>
      <c r="AT143" s="112"/>
      <c r="AU143" s="113"/>
      <c r="AV143" s="57"/>
      <c r="AW143" s="138"/>
    </row>
    <row r="144" spans="1:49" ht="18.75" customHeight="1" x14ac:dyDescent="0.15">
      <c r="A144" s="19"/>
      <c r="B144" s="20" t="s">
        <v>219</v>
      </c>
      <c r="C144" s="229" t="s">
        <v>220</v>
      </c>
      <c r="D144" s="230"/>
      <c r="E144" s="230"/>
      <c r="F144" s="104"/>
      <c r="G144" s="23"/>
      <c r="H144" s="231"/>
      <c r="I144" s="36"/>
      <c r="J144" s="231"/>
      <c r="K144" s="36"/>
      <c r="L144" s="107"/>
      <c r="M144" s="232"/>
      <c r="N144" s="116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34"/>
      <c r="AD144" s="34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31"/>
      <c r="AS144" s="36"/>
      <c r="AT144" s="231"/>
      <c r="AU144" s="36"/>
      <c r="AV144" s="37"/>
      <c r="AW144" s="38"/>
    </row>
    <row r="145" spans="1:49" ht="18.75" customHeight="1" x14ac:dyDescent="0.15">
      <c r="A145" s="39"/>
      <c r="B145" s="233"/>
      <c r="C145" s="41" t="s">
        <v>221</v>
      </c>
      <c r="D145" s="42"/>
      <c r="E145" s="42"/>
      <c r="F145" s="111"/>
      <c r="G145" s="44"/>
      <c r="H145" s="112"/>
      <c r="I145" s="113"/>
      <c r="J145" s="112"/>
      <c r="K145" s="113"/>
      <c r="L145" s="67"/>
      <c r="M145" s="137"/>
      <c r="N145" s="116"/>
      <c r="O145" s="67"/>
      <c r="P145" s="117"/>
      <c r="Q145" s="117"/>
      <c r="R145" s="117"/>
      <c r="S145" s="118"/>
      <c r="T145" s="118"/>
      <c r="U145" s="118"/>
      <c r="V145" s="118"/>
      <c r="W145" s="118"/>
      <c r="X145" s="118"/>
      <c r="Y145" s="118"/>
      <c r="Z145" s="118"/>
      <c r="AA145" s="118"/>
      <c r="AB145" s="67"/>
      <c r="AC145" s="119"/>
      <c r="AD145" s="119"/>
      <c r="AE145" s="116"/>
      <c r="AF145" s="116"/>
      <c r="AG145" s="116"/>
      <c r="AH145" s="116"/>
      <c r="AI145" s="116"/>
      <c r="AJ145" s="116"/>
      <c r="AK145" s="116"/>
      <c r="AL145" s="116"/>
      <c r="AM145" s="116"/>
      <c r="AN145" s="116"/>
      <c r="AO145" s="116"/>
      <c r="AP145" s="116"/>
      <c r="AQ145" s="116"/>
      <c r="AR145" s="112"/>
      <c r="AS145" s="113"/>
      <c r="AT145" s="112"/>
      <c r="AU145" s="113"/>
      <c r="AV145" s="57"/>
      <c r="AW145" s="138"/>
    </row>
    <row r="146" spans="1:49" ht="18.75" customHeight="1" x14ac:dyDescent="0.2">
      <c r="A146" s="39"/>
      <c r="B146" s="233"/>
      <c r="C146" s="80"/>
      <c r="D146" s="60" t="s">
        <v>222</v>
      </c>
      <c r="E146" s="42"/>
      <c r="F146" s="111"/>
      <c r="G146" s="44"/>
      <c r="H146" s="140">
        <v>1</v>
      </c>
      <c r="I146" s="141" t="s">
        <v>49</v>
      </c>
      <c r="J146" s="140">
        <v>1</v>
      </c>
      <c r="K146" s="141" t="s">
        <v>223</v>
      </c>
      <c r="L146" s="67">
        <v>8000000</v>
      </c>
      <c r="M146" s="66">
        <f t="shared" ref="M146:M150" si="37">L146*J146*H146</f>
        <v>8000000</v>
      </c>
      <c r="N146" s="116"/>
      <c r="O146" s="263">
        <v>8000000</v>
      </c>
      <c r="P146" s="53" t="b">
        <v>1</v>
      </c>
      <c r="Q146" s="264" t="s">
        <v>224</v>
      </c>
      <c r="R146" s="265" t="s">
        <v>225</v>
      </c>
      <c r="S146" s="67"/>
      <c r="T146" s="67"/>
      <c r="U146" s="67"/>
      <c r="V146" s="67"/>
      <c r="W146" s="67"/>
      <c r="X146" s="67"/>
      <c r="Y146" s="83">
        <f t="shared" ref="Y146:Y148" si="38">O146</f>
        <v>8000000</v>
      </c>
      <c r="Z146" s="67"/>
      <c r="AA146" s="67"/>
      <c r="AB146" s="67">
        <f t="shared" ref="AB146:AB150" si="39">O146-(SUM(S146:Z146))</f>
        <v>0</v>
      </c>
      <c r="AC146" s="68"/>
      <c r="AD146" s="68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140">
        <v>1</v>
      </c>
      <c r="AS146" s="141" t="s">
        <v>49</v>
      </c>
      <c r="AT146" s="140">
        <v>1</v>
      </c>
      <c r="AU146" s="141" t="s">
        <v>223</v>
      </c>
      <c r="AV146" s="169">
        <v>10000000</v>
      </c>
      <c r="AW146" s="71">
        <f t="shared" ref="AW146:AW150" si="40">AV146*AT146*AR146</f>
        <v>10000000</v>
      </c>
    </row>
    <row r="147" spans="1:49" ht="18.75" customHeight="1" x14ac:dyDescent="0.2">
      <c r="A147" s="39"/>
      <c r="B147" s="233"/>
      <c r="C147" s="80"/>
      <c r="D147" s="60" t="s">
        <v>226</v>
      </c>
      <c r="E147" s="42"/>
      <c r="F147" s="111"/>
      <c r="G147" s="44"/>
      <c r="H147" s="266">
        <v>1</v>
      </c>
      <c r="I147" s="141" t="s">
        <v>49</v>
      </c>
      <c r="J147" s="140">
        <v>1</v>
      </c>
      <c r="K147" s="141" t="s">
        <v>223</v>
      </c>
      <c r="L147" s="67">
        <v>3500000</v>
      </c>
      <c r="M147" s="66">
        <f t="shared" si="37"/>
        <v>3500000</v>
      </c>
      <c r="N147" s="116"/>
      <c r="O147" s="263">
        <v>3500000</v>
      </c>
      <c r="P147" s="53" t="b">
        <v>1</v>
      </c>
      <c r="Q147" s="264" t="s">
        <v>227</v>
      </c>
      <c r="R147" s="264" t="s">
        <v>228</v>
      </c>
      <c r="S147" s="67"/>
      <c r="T147" s="67"/>
      <c r="U147" s="67"/>
      <c r="V147" s="67"/>
      <c r="W147" s="67"/>
      <c r="X147" s="67"/>
      <c r="Y147" s="83">
        <f t="shared" si="38"/>
        <v>3500000</v>
      </c>
      <c r="Z147" s="67"/>
      <c r="AA147" s="67"/>
      <c r="AB147" s="67">
        <f t="shared" si="39"/>
        <v>0</v>
      </c>
      <c r="AC147" s="68"/>
      <c r="AD147" s="68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120"/>
      <c r="AS147" s="267" t="s">
        <v>49</v>
      </c>
      <c r="AT147" s="268">
        <v>1</v>
      </c>
      <c r="AU147" s="267" t="s">
        <v>223</v>
      </c>
      <c r="AV147" s="188">
        <v>5000000</v>
      </c>
      <c r="AW147" s="189">
        <f t="shared" si="40"/>
        <v>0</v>
      </c>
    </row>
    <row r="148" spans="1:49" ht="18.75" customHeight="1" x14ac:dyDescent="0.2">
      <c r="A148" s="39"/>
      <c r="B148" s="233"/>
      <c r="C148" s="80"/>
      <c r="D148" s="60" t="s">
        <v>229</v>
      </c>
      <c r="E148" s="42"/>
      <c r="F148" s="111"/>
      <c r="G148" s="44"/>
      <c r="H148" s="140">
        <v>1</v>
      </c>
      <c r="I148" s="141" t="s">
        <v>49</v>
      </c>
      <c r="J148" s="140">
        <v>1</v>
      </c>
      <c r="K148" s="141" t="s">
        <v>223</v>
      </c>
      <c r="L148" s="67">
        <v>2500000</v>
      </c>
      <c r="M148" s="66">
        <f t="shared" si="37"/>
        <v>2500000</v>
      </c>
      <c r="N148" s="116"/>
      <c r="O148" s="263"/>
      <c r="P148" s="53"/>
      <c r="Q148" s="264"/>
      <c r="R148" s="264"/>
      <c r="S148" s="67"/>
      <c r="T148" s="67"/>
      <c r="U148" s="67"/>
      <c r="V148" s="67"/>
      <c r="W148" s="67"/>
      <c r="X148" s="67"/>
      <c r="Y148" s="67">
        <f t="shared" si="38"/>
        <v>0</v>
      </c>
      <c r="Z148" s="67"/>
      <c r="AA148" s="67"/>
      <c r="AB148" s="67">
        <f t="shared" si="39"/>
        <v>0</v>
      </c>
      <c r="AC148" s="68"/>
      <c r="AD148" s="68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140">
        <v>1</v>
      </c>
      <c r="AS148" s="141" t="s">
        <v>49</v>
      </c>
      <c r="AT148" s="140">
        <v>1</v>
      </c>
      <c r="AU148" s="141" t="s">
        <v>223</v>
      </c>
      <c r="AV148" s="169">
        <v>3000000</v>
      </c>
      <c r="AW148" s="71">
        <f t="shared" si="40"/>
        <v>3000000</v>
      </c>
    </row>
    <row r="149" spans="1:49" ht="18.75" customHeight="1" x14ac:dyDescent="0.2">
      <c r="A149" s="39"/>
      <c r="B149" s="233"/>
      <c r="C149" s="80"/>
      <c r="D149" s="60" t="s">
        <v>230</v>
      </c>
      <c r="E149" s="42"/>
      <c r="F149" s="111"/>
      <c r="G149" s="44"/>
      <c r="H149" s="140">
        <v>1</v>
      </c>
      <c r="I149" s="141" t="s">
        <v>49</v>
      </c>
      <c r="J149" s="140">
        <v>1</v>
      </c>
      <c r="K149" s="141" t="s">
        <v>223</v>
      </c>
      <c r="L149" s="67">
        <v>3500000</v>
      </c>
      <c r="M149" s="66">
        <f t="shared" si="37"/>
        <v>3500000</v>
      </c>
      <c r="N149" s="116"/>
      <c r="O149" s="263">
        <v>3500000</v>
      </c>
      <c r="P149" s="53" t="b">
        <v>1</v>
      </c>
      <c r="Q149" s="264" t="s">
        <v>231</v>
      </c>
      <c r="R149" s="264" t="s">
        <v>232</v>
      </c>
      <c r="S149" s="67"/>
      <c r="T149" s="67"/>
      <c r="U149" s="67"/>
      <c r="V149" s="67"/>
      <c r="W149" s="67"/>
      <c r="X149" s="83">
        <f t="shared" ref="X149:X150" si="41">O149</f>
        <v>3500000</v>
      </c>
      <c r="Y149" s="149"/>
      <c r="Z149" s="67"/>
      <c r="AA149" s="67"/>
      <c r="AB149" s="67">
        <f t="shared" si="39"/>
        <v>0</v>
      </c>
      <c r="AC149" s="68"/>
      <c r="AD149" s="68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140">
        <v>1</v>
      </c>
      <c r="AS149" s="141" t="s">
        <v>49</v>
      </c>
      <c r="AT149" s="140">
        <v>1</v>
      </c>
      <c r="AU149" s="141" t="s">
        <v>223</v>
      </c>
      <c r="AV149" s="169">
        <v>4000000</v>
      </c>
      <c r="AW149" s="71">
        <f t="shared" si="40"/>
        <v>4000000</v>
      </c>
    </row>
    <row r="150" spans="1:49" ht="18.75" customHeight="1" x14ac:dyDescent="0.2">
      <c r="A150" s="39"/>
      <c r="B150" s="233"/>
      <c r="C150" s="80"/>
      <c r="D150" s="42"/>
      <c r="E150" s="60" t="s">
        <v>233</v>
      </c>
      <c r="F150" s="111"/>
      <c r="G150" s="44"/>
      <c r="H150" s="140">
        <v>2</v>
      </c>
      <c r="I150" s="141" t="s">
        <v>234</v>
      </c>
      <c r="J150" s="140">
        <v>2</v>
      </c>
      <c r="K150" s="141" t="s">
        <v>109</v>
      </c>
      <c r="L150" s="67">
        <v>500000</v>
      </c>
      <c r="M150" s="66">
        <f t="shared" si="37"/>
        <v>2000000</v>
      </c>
      <c r="N150" s="116"/>
      <c r="O150" s="263">
        <v>2000000</v>
      </c>
      <c r="P150" s="53"/>
      <c r="Q150" s="264" t="s">
        <v>235</v>
      </c>
      <c r="R150" s="264" t="s">
        <v>232</v>
      </c>
      <c r="S150" s="67"/>
      <c r="T150" s="67"/>
      <c r="U150" s="67"/>
      <c r="V150" s="67"/>
      <c r="W150" s="67"/>
      <c r="X150" s="83">
        <f t="shared" si="41"/>
        <v>2000000</v>
      </c>
      <c r="Y150" s="149"/>
      <c r="Z150" s="67"/>
      <c r="AA150" s="67"/>
      <c r="AB150" s="67">
        <f t="shared" si="39"/>
        <v>0</v>
      </c>
      <c r="AC150" s="68"/>
      <c r="AD150" s="68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140">
        <v>1</v>
      </c>
      <c r="AS150" s="141" t="s">
        <v>49</v>
      </c>
      <c r="AT150" s="140">
        <v>2</v>
      </c>
      <c r="AU150" s="141" t="s">
        <v>109</v>
      </c>
      <c r="AV150" s="169">
        <v>750000</v>
      </c>
      <c r="AW150" s="71">
        <f t="shared" si="40"/>
        <v>1500000</v>
      </c>
    </row>
    <row r="151" spans="1:49" ht="18.75" customHeight="1" x14ac:dyDescent="0.2">
      <c r="A151" s="39"/>
      <c r="B151" s="233"/>
      <c r="C151" s="80"/>
      <c r="D151" s="42"/>
      <c r="E151" s="60"/>
      <c r="F151" s="111"/>
      <c r="G151" s="44"/>
      <c r="H151" s="140"/>
      <c r="I151" s="141"/>
      <c r="J151" s="140"/>
      <c r="K151" s="141"/>
      <c r="L151" s="67"/>
      <c r="M151" s="66"/>
      <c r="N151" s="116"/>
      <c r="O151" s="263"/>
      <c r="P151" s="53"/>
      <c r="Q151" s="264" t="s">
        <v>235</v>
      </c>
      <c r="R151" s="264" t="s">
        <v>232</v>
      </c>
      <c r="S151" s="67"/>
      <c r="T151" s="67"/>
      <c r="U151" s="67"/>
      <c r="V151" s="67"/>
      <c r="W151" s="67"/>
      <c r="X151" s="67"/>
      <c r="Y151" s="67">
        <f t="shared" ref="Y151:Y156" si="42">O151</f>
        <v>0</v>
      </c>
      <c r="Z151" s="67"/>
      <c r="AA151" s="67"/>
      <c r="AB151" s="67"/>
      <c r="AC151" s="68"/>
      <c r="AD151" s="68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140"/>
      <c r="AS151" s="141"/>
      <c r="AT151" s="140"/>
      <c r="AU151" s="141"/>
      <c r="AV151" s="169"/>
      <c r="AW151" s="71"/>
    </row>
    <row r="152" spans="1:49" ht="18.75" customHeight="1" x14ac:dyDescent="0.2">
      <c r="A152" s="39"/>
      <c r="B152" s="233"/>
      <c r="C152" s="80"/>
      <c r="D152" s="60" t="s">
        <v>236</v>
      </c>
      <c r="E152" s="42"/>
      <c r="F152" s="111"/>
      <c r="G152" s="44"/>
      <c r="H152" s="140">
        <v>1</v>
      </c>
      <c r="I152" s="141" t="s">
        <v>49</v>
      </c>
      <c r="J152" s="140">
        <v>1</v>
      </c>
      <c r="K152" s="141" t="s">
        <v>223</v>
      </c>
      <c r="L152" s="67">
        <v>2500000</v>
      </c>
      <c r="M152" s="66">
        <f t="shared" ref="M152:M153" si="43">L152*J152*H152</f>
        <v>2500000</v>
      </c>
      <c r="N152" s="116"/>
      <c r="O152" s="263">
        <v>2500000</v>
      </c>
      <c r="P152" s="53" t="b">
        <v>1</v>
      </c>
      <c r="Q152" s="264" t="s">
        <v>237</v>
      </c>
      <c r="R152" s="265" t="s">
        <v>238</v>
      </c>
      <c r="S152" s="67"/>
      <c r="T152" s="67"/>
      <c r="U152" s="67"/>
      <c r="V152" s="67"/>
      <c r="W152" s="67"/>
      <c r="X152" s="67"/>
      <c r="Y152" s="83">
        <f t="shared" si="42"/>
        <v>2500000</v>
      </c>
      <c r="Z152" s="67"/>
      <c r="AA152" s="67"/>
      <c r="AB152" s="67">
        <f t="shared" ref="AB152:AB153" si="44">O152-(SUM(S152:Z152))</f>
        <v>0</v>
      </c>
      <c r="AC152" s="68"/>
      <c r="AD152" s="68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140">
        <v>1</v>
      </c>
      <c r="AS152" s="141" t="s">
        <v>49</v>
      </c>
      <c r="AT152" s="140">
        <v>1</v>
      </c>
      <c r="AU152" s="141" t="s">
        <v>223</v>
      </c>
      <c r="AV152" s="169">
        <v>3500000</v>
      </c>
      <c r="AW152" s="71">
        <f t="shared" ref="AW152:AW153" si="45">AV152*AT152*AR152</f>
        <v>3500000</v>
      </c>
    </row>
    <row r="153" spans="1:49" ht="18.75" customHeight="1" x14ac:dyDescent="0.15">
      <c r="A153" s="39"/>
      <c r="B153" s="233"/>
      <c r="C153" s="80"/>
      <c r="D153" s="42"/>
      <c r="E153" s="60" t="s">
        <v>239</v>
      </c>
      <c r="F153" s="111"/>
      <c r="G153" s="44"/>
      <c r="H153" s="266">
        <v>2</v>
      </c>
      <c r="I153" s="141" t="s">
        <v>49</v>
      </c>
      <c r="J153" s="140">
        <v>3</v>
      </c>
      <c r="K153" s="141" t="s">
        <v>109</v>
      </c>
      <c r="L153" s="67">
        <v>500000</v>
      </c>
      <c r="M153" s="66">
        <f t="shared" si="43"/>
        <v>3000000</v>
      </c>
      <c r="N153" s="116"/>
      <c r="O153" s="263">
        <v>1200000</v>
      </c>
      <c r="P153" s="53" t="b">
        <v>1</v>
      </c>
      <c r="Q153" s="269" t="s">
        <v>240</v>
      </c>
      <c r="R153" s="269" t="s">
        <v>241</v>
      </c>
      <c r="S153" s="67"/>
      <c r="T153" s="67"/>
      <c r="U153" s="67"/>
      <c r="V153" s="67"/>
      <c r="W153" s="67"/>
      <c r="X153" s="67"/>
      <c r="Y153" s="83">
        <f t="shared" si="42"/>
        <v>1200000</v>
      </c>
      <c r="Z153" s="67"/>
      <c r="AA153" s="67"/>
      <c r="AB153" s="67">
        <f t="shared" si="44"/>
        <v>0</v>
      </c>
      <c r="AC153" s="68"/>
      <c r="AD153" s="68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120"/>
      <c r="AS153" s="267" t="s">
        <v>49</v>
      </c>
      <c r="AT153" s="268">
        <v>3</v>
      </c>
      <c r="AU153" s="267" t="s">
        <v>109</v>
      </c>
      <c r="AV153" s="188">
        <v>1000000</v>
      </c>
      <c r="AW153" s="189">
        <f t="shared" si="45"/>
        <v>0</v>
      </c>
    </row>
    <row r="154" spans="1:49" ht="18.75" customHeight="1" x14ac:dyDescent="0.2">
      <c r="A154" s="39"/>
      <c r="B154" s="233"/>
      <c r="C154" s="80"/>
      <c r="D154" s="42"/>
      <c r="E154" s="60"/>
      <c r="F154" s="111"/>
      <c r="G154" s="44"/>
      <c r="H154" s="266"/>
      <c r="I154" s="141"/>
      <c r="J154" s="140"/>
      <c r="K154" s="141"/>
      <c r="L154" s="67"/>
      <c r="M154" s="66"/>
      <c r="N154" s="116"/>
      <c r="O154" s="263">
        <v>1200000</v>
      </c>
      <c r="P154" s="53" t="b">
        <v>1</v>
      </c>
      <c r="Q154" s="269" t="s">
        <v>242</v>
      </c>
      <c r="R154" s="264" t="s">
        <v>243</v>
      </c>
      <c r="S154" s="67"/>
      <c r="T154" s="67"/>
      <c r="U154" s="67"/>
      <c r="V154" s="67"/>
      <c r="W154" s="67"/>
      <c r="X154" s="67"/>
      <c r="Y154" s="83">
        <f t="shared" si="42"/>
        <v>1200000</v>
      </c>
      <c r="Z154" s="67"/>
      <c r="AA154" s="67"/>
      <c r="AB154" s="67"/>
      <c r="AC154" s="68"/>
      <c r="AD154" s="68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120"/>
      <c r="AS154" s="267"/>
      <c r="AT154" s="268"/>
      <c r="AU154" s="267"/>
      <c r="AV154" s="188"/>
      <c r="AW154" s="189"/>
    </row>
    <row r="155" spans="1:49" ht="18.75" customHeight="1" x14ac:dyDescent="0.2">
      <c r="A155" s="39"/>
      <c r="B155" s="233"/>
      <c r="C155" s="80"/>
      <c r="D155" s="42"/>
      <c r="E155" s="60" t="s">
        <v>244</v>
      </c>
      <c r="F155" s="111"/>
      <c r="G155" s="44"/>
      <c r="H155" s="140">
        <v>1</v>
      </c>
      <c r="I155" s="141" t="s">
        <v>49</v>
      </c>
      <c r="J155" s="140">
        <v>2</v>
      </c>
      <c r="K155" s="141" t="s">
        <v>109</v>
      </c>
      <c r="L155" s="67">
        <v>350000</v>
      </c>
      <c r="M155" s="66">
        <f>L155*J155*H155</f>
        <v>700000</v>
      </c>
      <c r="N155" s="116"/>
      <c r="O155" s="263">
        <v>800000</v>
      </c>
      <c r="P155" s="53" t="b">
        <v>1</v>
      </c>
      <c r="Q155" s="269" t="s">
        <v>245</v>
      </c>
      <c r="R155" s="264" t="s">
        <v>246</v>
      </c>
      <c r="S155" s="67"/>
      <c r="T155" s="67"/>
      <c r="U155" s="67"/>
      <c r="V155" s="67"/>
      <c r="W155" s="67"/>
      <c r="X155" s="67"/>
      <c r="Y155" s="83">
        <f t="shared" si="42"/>
        <v>800000</v>
      </c>
      <c r="Z155" s="67"/>
      <c r="AA155" s="67"/>
      <c r="AB155" s="67">
        <f t="shared" ref="AB155:AB159" si="46">O155-(SUM(S155:Z155))</f>
        <v>0</v>
      </c>
      <c r="AC155" s="68"/>
      <c r="AD155" s="68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140">
        <v>1</v>
      </c>
      <c r="AS155" s="141" t="s">
        <v>49</v>
      </c>
      <c r="AT155" s="140">
        <v>2</v>
      </c>
      <c r="AU155" s="141" t="s">
        <v>109</v>
      </c>
      <c r="AV155" s="169">
        <v>750000</v>
      </c>
      <c r="AW155" s="71">
        <f t="shared" ref="AW155:AW156" si="47">AV155*AT155*AR155</f>
        <v>1500000</v>
      </c>
    </row>
    <row r="156" spans="1:49" ht="18.75" customHeight="1" x14ac:dyDescent="0.2">
      <c r="A156" s="39"/>
      <c r="B156" s="233"/>
      <c r="C156" s="80"/>
      <c r="D156" s="60"/>
      <c r="E156" s="42"/>
      <c r="F156" s="111"/>
      <c r="G156" s="139"/>
      <c r="H156" s="140"/>
      <c r="I156" s="141"/>
      <c r="J156" s="140"/>
      <c r="K156" s="141"/>
      <c r="L156" s="67"/>
      <c r="M156" s="66"/>
      <c r="N156" s="116"/>
      <c r="O156" s="263">
        <v>800000</v>
      </c>
      <c r="P156" s="53" t="b">
        <v>1</v>
      </c>
      <c r="Q156" s="269" t="s">
        <v>247</v>
      </c>
      <c r="R156" s="264" t="s">
        <v>248</v>
      </c>
      <c r="S156" s="67"/>
      <c r="T156" s="67"/>
      <c r="U156" s="67"/>
      <c r="V156" s="67"/>
      <c r="W156" s="67"/>
      <c r="X156" s="67"/>
      <c r="Y156" s="83">
        <f t="shared" si="42"/>
        <v>800000</v>
      </c>
      <c r="Z156" s="67"/>
      <c r="AA156" s="67"/>
      <c r="AB156" s="67">
        <f t="shared" si="46"/>
        <v>0</v>
      </c>
      <c r="AC156" s="68" t="s">
        <v>25</v>
      </c>
      <c r="AD156" s="68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140">
        <v>1</v>
      </c>
      <c r="AS156" s="141" t="s">
        <v>201</v>
      </c>
      <c r="AT156" s="140">
        <v>1</v>
      </c>
      <c r="AU156" s="141" t="s">
        <v>20</v>
      </c>
      <c r="AV156" s="169">
        <v>25000000</v>
      </c>
      <c r="AW156" s="71">
        <f t="shared" si="47"/>
        <v>25000000</v>
      </c>
    </row>
    <row r="157" spans="1:49" ht="18.75" customHeight="1" x14ac:dyDescent="0.2">
      <c r="A157" s="39"/>
      <c r="B157" s="233"/>
      <c r="C157" s="80"/>
      <c r="D157" s="60" t="s">
        <v>249</v>
      </c>
      <c r="E157" s="42"/>
      <c r="F157" s="111"/>
      <c r="G157" s="139" t="s">
        <v>250</v>
      </c>
      <c r="H157" s="140">
        <v>1</v>
      </c>
      <c r="I157" s="141" t="s">
        <v>201</v>
      </c>
      <c r="J157" s="140">
        <v>1</v>
      </c>
      <c r="K157" s="141" t="s">
        <v>20</v>
      </c>
      <c r="L157" s="67">
        <v>15000000</v>
      </c>
      <c r="M157" s="66">
        <f t="shared" ref="M157:M159" si="48">L157*J157*H157</f>
        <v>15000000</v>
      </c>
      <c r="N157" s="116"/>
      <c r="O157" s="263">
        <v>15000000</v>
      </c>
      <c r="P157" s="53" t="b">
        <v>1</v>
      </c>
      <c r="Q157" s="264" t="s">
        <v>251</v>
      </c>
      <c r="R157" s="264" t="s">
        <v>252</v>
      </c>
      <c r="S157" s="67"/>
      <c r="T157" s="67"/>
      <c r="U157" s="83">
        <f>O157*50%</f>
        <v>7500000</v>
      </c>
      <c r="V157" s="67"/>
      <c r="W157" s="67"/>
      <c r="X157" s="67"/>
      <c r="Y157" s="83">
        <f>O157-U157</f>
        <v>7500000</v>
      </c>
      <c r="Z157" s="67"/>
      <c r="AA157" s="67"/>
      <c r="AB157" s="67">
        <f t="shared" si="46"/>
        <v>0</v>
      </c>
      <c r="AC157" s="68"/>
      <c r="AD157" s="68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140"/>
      <c r="AS157" s="141"/>
      <c r="AT157" s="140"/>
      <c r="AU157" s="141"/>
      <c r="AV157" s="169"/>
      <c r="AW157" s="71"/>
    </row>
    <row r="158" spans="1:49" ht="18.75" customHeight="1" x14ac:dyDescent="0.2">
      <c r="A158" s="39"/>
      <c r="B158" s="233"/>
      <c r="C158" s="80"/>
      <c r="D158" s="60" t="s">
        <v>253</v>
      </c>
      <c r="E158" s="42"/>
      <c r="F158" s="111"/>
      <c r="G158" s="44"/>
      <c r="H158" s="140">
        <v>1</v>
      </c>
      <c r="I158" s="141" t="s">
        <v>49</v>
      </c>
      <c r="J158" s="140">
        <v>1</v>
      </c>
      <c r="K158" s="141" t="s">
        <v>223</v>
      </c>
      <c r="L158" s="67">
        <v>2000000</v>
      </c>
      <c r="M158" s="66">
        <f t="shared" si="48"/>
        <v>2000000</v>
      </c>
      <c r="N158" s="116"/>
      <c r="O158" s="263">
        <v>2000000</v>
      </c>
      <c r="P158" s="53" t="b">
        <v>1</v>
      </c>
      <c r="Q158" s="264" t="s">
        <v>254</v>
      </c>
      <c r="R158" s="264" t="s">
        <v>255</v>
      </c>
      <c r="S158" s="67"/>
      <c r="T158" s="67"/>
      <c r="U158" s="67"/>
      <c r="V158" s="67"/>
      <c r="W158" s="67"/>
      <c r="X158" s="67"/>
      <c r="Y158" s="83">
        <f t="shared" ref="Y158:Y170" si="49">O158</f>
        <v>2000000</v>
      </c>
      <c r="Z158" s="67"/>
      <c r="AA158" s="67"/>
      <c r="AB158" s="67">
        <f t="shared" si="46"/>
        <v>0</v>
      </c>
      <c r="AC158" s="68"/>
      <c r="AD158" s="68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140">
        <v>1</v>
      </c>
      <c r="AS158" s="141" t="s">
        <v>49</v>
      </c>
      <c r="AT158" s="140">
        <v>1</v>
      </c>
      <c r="AU158" s="141" t="s">
        <v>223</v>
      </c>
      <c r="AV158" s="169">
        <v>3000000</v>
      </c>
      <c r="AW158" s="71">
        <f t="shared" ref="AW158:AW159" si="50">AV158*AT158*AR158</f>
        <v>3000000</v>
      </c>
    </row>
    <row r="159" spans="1:49" ht="18.75" customHeight="1" x14ac:dyDescent="0.2">
      <c r="A159" s="39"/>
      <c r="B159" s="233"/>
      <c r="C159" s="80"/>
      <c r="D159" s="42"/>
      <c r="E159" s="60" t="s">
        <v>256</v>
      </c>
      <c r="F159" s="111"/>
      <c r="G159" s="44"/>
      <c r="H159" s="140">
        <v>2</v>
      </c>
      <c r="I159" s="141" t="s">
        <v>49</v>
      </c>
      <c r="J159" s="140">
        <v>2</v>
      </c>
      <c r="K159" s="141" t="s">
        <v>109</v>
      </c>
      <c r="L159" s="67">
        <v>500000</v>
      </c>
      <c r="M159" s="66">
        <f t="shared" si="48"/>
        <v>2000000</v>
      </c>
      <c r="N159" s="116"/>
      <c r="O159" s="263">
        <v>800000</v>
      </c>
      <c r="P159" s="53" t="b">
        <v>1</v>
      </c>
      <c r="Q159" s="264" t="s">
        <v>257</v>
      </c>
      <c r="R159" s="264" t="s">
        <v>258</v>
      </c>
      <c r="S159" s="67"/>
      <c r="T159" s="67"/>
      <c r="U159" s="67"/>
      <c r="V159" s="67"/>
      <c r="W159" s="67"/>
      <c r="X159" s="67"/>
      <c r="Y159" s="83">
        <f t="shared" si="49"/>
        <v>800000</v>
      </c>
      <c r="Z159" s="67"/>
      <c r="AA159" s="67"/>
      <c r="AB159" s="67">
        <f t="shared" si="46"/>
        <v>0</v>
      </c>
      <c r="AC159" s="68"/>
      <c r="AD159" s="68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140">
        <v>2</v>
      </c>
      <c r="AS159" s="141" t="s">
        <v>49</v>
      </c>
      <c r="AT159" s="140">
        <v>2</v>
      </c>
      <c r="AU159" s="141" t="s">
        <v>109</v>
      </c>
      <c r="AV159" s="169">
        <v>1000000</v>
      </c>
      <c r="AW159" s="71">
        <f t="shared" si="50"/>
        <v>4000000</v>
      </c>
    </row>
    <row r="160" spans="1:49" ht="18.75" customHeight="1" x14ac:dyDescent="0.2">
      <c r="A160" s="39"/>
      <c r="B160" s="233"/>
      <c r="C160" s="80"/>
      <c r="D160" s="42"/>
      <c r="E160" s="60"/>
      <c r="F160" s="111"/>
      <c r="G160" s="44"/>
      <c r="H160" s="140"/>
      <c r="I160" s="141"/>
      <c r="J160" s="140"/>
      <c r="K160" s="141"/>
      <c r="L160" s="67"/>
      <c r="M160" s="66"/>
      <c r="N160" s="116"/>
      <c r="O160" s="263">
        <v>800000</v>
      </c>
      <c r="P160" s="53" t="b">
        <v>1</v>
      </c>
      <c r="Q160" s="264" t="s">
        <v>259</v>
      </c>
      <c r="R160" s="264" t="s">
        <v>260</v>
      </c>
      <c r="S160" s="67"/>
      <c r="T160" s="67"/>
      <c r="U160" s="67"/>
      <c r="V160" s="67"/>
      <c r="W160" s="67"/>
      <c r="X160" s="67"/>
      <c r="Y160" s="83">
        <f t="shared" si="49"/>
        <v>800000</v>
      </c>
      <c r="Z160" s="67"/>
      <c r="AA160" s="67"/>
      <c r="AB160" s="67"/>
      <c r="AC160" s="68"/>
      <c r="AD160" s="68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140"/>
      <c r="AS160" s="141"/>
      <c r="AT160" s="140"/>
      <c r="AU160" s="141"/>
      <c r="AV160" s="169"/>
      <c r="AW160" s="71"/>
    </row>
    <row r="161" spans="1:49" ht="18.75" customHeight="1" x14ac:dyDescent="0.15">
      <c r="A161" s="39"/>
      <c r="B161" s="233"/>
      <c r="C161" s="80"/>
      <c r="D161" s="60" t="s">
        <v>261</v>
      </c>
      <c r="E161" s="42"/>
      <c r="F161" s="111"/>
      <c r="G161" s="44"/>
      <c r="H161" s="140"/>
      <c r="I161" s="141" t="s">
        <v>49</v>
      </c>
      <c r="J161" s="140"/>
      <c r="K161" s="141" t="s">
        <v>223</v>
      </c>
      <c r="L161" s="67">
        <v>0</v>
      </c>
      <c r="M161" s="66">
        <f t="shared" ref="M161:M162" si="51">L161*J161*H161</f>
        <v>0</v>
      </c>
      <c r="N161" s="116"/>
      <c r="O161" s="263"/>
      <c r="P161" s="53"/>
      <c r="Q161" s="270"/>
      <c r="R161" s="270"/>
      <c r="S161" s="67"/>
      <c r="T161" s="67"/>
      <c r="U161" s="67"/>
      <c r="V161" s="67"/>
      <c r="W161" s="67"/>
      <c r="X161" s="67"/>
      <c r="Y161" s="67">
        <f t="shared" si="49"/>
        <v>0</v>
      </c>
      <c r="Z161" s="67"/>
      <c r="AA161" s="67"/>
      <c r="AB161" s="67"/>
      <c r="AC161" s="68"/>
      <c r="AD161" s="68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140">
        <v>1</v>
      </c>
      <c r="AS161" s="141" t="s">
        <v>49</v>
      </c>
      <c r="AT161" s="140">
        <v>1</v>
      </c>
      <c r="AU161" s="141" t="s">
        <v>223</v>
      </c>
      <c r="AV161" s="169">
        <v>3000000</v>
      </c>
      <c r="AW161" s="71">
        <f t="shared" ref="AW161:AW162" si="52">AV161*AT161*AR161</f>
        <v>3000000</v>
      </c>
    </row>
    <row r="162" spans="1:49" ht="18.75" customHeight="1" x14ac:dyDescent="0.2">
      <c r="A162" s="39"/>
      <c r="B162" s="233"/>
      <c r="C162" s="80"/>
      <c r="D162" s="42"/>
      <c r="E162" s="60" t="s">
        <v>262</v>
      </c>
      <c r="F162" s="111"/>
      <c r="G162" s="44"/>
      <c r="H162" s="140">
        <v>4</v>
      </c>
      <c r="I162" s="141" t="s">
        <v>234</v>
      </c>
      <c r="J162" s="140">
        <v>1</v>
      </c>
      <c r="K162" s="141" t="s">
        <v>109</v>
      </c>
      <c r="L162" s="67">
        <v>350000</v>
      </c>
      <c r="M162" s="66">
        <f t="shared" si="51"/>
        <v>1400000</v>
      </c>
      <c r="N162" s="116"/>
      <c r="O162" s="263">
        <v>350000</v>
      </c>
      <c r="P162" s="53" t="b">
        <v>1</v>
      </c>
      <c r="Q162" s="264" t="s">
        <v>263</v>
      </c>
      <c r="R162" s="264" t="s">
        <v>264</v>
      </c>
      <c r="S162" s="67"/>
      <c r="T162" s="67"/>
      <c r="U162" s="67"/>
      <c r="V162" s="67"/>
      <c r="W162" s="67"/>
      <c r="X162" s="67"/>
      <c r="Y162" s="83">
        <f t="shared" si="49"/>
        <v>350000</v>
      </c>
      <c r="Z162" s="67"/>
      <c r="AA162" s="67"/>
      <c r="AB162" s="67">
        <f t="shared" ref="AB162:AB164" si="53">O162-(SUM(S162:Z162))</f>
        <v>0</v>
      </c>
      <c r="AC162" s="68"/>
      <c r="AD162" s="68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268">
        <v>0</v>
      </c>
      <c r="AS162" s="267" t="s">
        <v>201</v>
      </c>
      <c r="AT162" s="268">
        <v>1</v>
      </c>
      <c r="AU162" s="267" t="s">
        <v>109</v>
      </c>
      <c r="AV162" s="188">
        <v>750000</v>
      </c>
      <c r="AW162" s="189">
        <f t="shared" si="52"/>
        <v>0</v>
      </c>
    </row>
    <row r="163" spans="1:49" ht="18.75" customHeight="1" x14ac:dyDescent="0.2">
      <c r="A163" s="39"/>
      <c r="B163" s="233"/>
      <c r="C163" s="80"/>
      <c r="D163" s="42"/>
      <c r="E163" s="60"/>
      <c r="F163" s="111"/>
      <c r="G163" s="44"/>
      <c r="H163" s="140"/>
      <c r="I163" s="141"/>
      <c r="J163" s="140"/>
      <c r="K163" s="141"/>
      <c r="L163" s="67"/>
      <c r="M163" s="66"/>
      <c r="N163" s="116"/>
      <c r="O163" s="263">
        <v>350000</v>
      </c>
      <c r="P163" s="53" t="b">
        <v>1</v>
      </c>
      <c r="Q163" s="264" t="s">
        <v>265</v>
      </c>
      <c r="R163" s="269" t="s">
        <v>266</v>
      </c>
      <c r="S163" s="67"/>
      <c r="T163" s="67"/>
      <c r="U163" s="67"/>
      <c r="V163" s="67"/>
      <c r="W163" s="67"/>
      <c r="X163" s="67"/>
      <c r="Y163" s="83">
        <f t="shared" si="49"/>
        <v>350000</v>
      </c>
      <c r="Z163" s="67"/>
      <c r="AA163" s="67"/>
      <c r="AB163" s="67">
        <f t="shared" si="53"/>
        <v>0</v>
      </c>
      <c r="AC163" s="68"/>
      <c r="AD163" s="68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268"/>
      <c r="AS163" s="267"/>
      <c r="AT163" s="268"/>
      <c r="AU163" s="267"/>
      <c r="AV163" s="188"/>
      <c r="AW163" s="189"/>
    </row>
    <row r="164" spans="1:49" ht="18.75" customHeight="1" x14ac:dyDescent="0.2">
      <c r="A164" s="39"/>
      <c r="B164" s="233"/>
      <c r="C164" s="80"/>
      <c r="D164" s="42"/>
      <c r="E164" s="60"/>
      <c r="F164" s="111"/>
      <c r="G164" s="44"/>
      <c r="H164" s="140"/>
      <c r="I164" s="141"/>
      <c r="J164" s="140"/>
      <c r="K164" s="141"/>
      <c r="L164" s="67"/>
      <c r="M164" s="66"/>
      <c r="N164" s="116"/>
      <c r="O164" s="263">
        <v>350000</v>
      </c>
      <c r="P164" s="53" t="b">
        <v>1</v>
      </c>
      <c r="Q164" s="264" t="s">
        <v>267</v>
      </c>
      <c r="R164" s="264" t="s">
        <v>268</v>
      </c>
      <c r="S164" s="67"/>
      <c r="T164" s="67"/>
      <c r="U164" s="67"/>
      <c r="V164" s="67"/>
      <c r="W164" s="67"/>
      <c r="X164" s="67"/>
      <c r="Y164" s="83">
        <f t="shared" si="49"/>
        <v>350000</v>
      </c>
      <c r="Z164" s="67"/>
      <c r="AA164" s="67"/>
      <c r="AB164" s="67">
        <f t="shared" si="53"/>
        <v>0</v>
      </c>
      <c r="AC164" s="68"/>
      <c r="AD164" s="68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268"/>
      <c r="AS164" s="267"/>
      <c r="AT164" s="268"/>
      <c r="AU164" s="267"/>
      <c r="AV164" s="188"/>
      <c r="AW164" s="189"/>
    </row>
    <row r="165" spans="1:49" ht="18.75" customHeight="1" x14ac:dyDescent="0.2">
      <c r="A165" s="39"/>
      <c r="B165" s="233"/>
      <c r="C165" s="80"/>
      <c r="D165" s="42"/>
      <c r="E165" s="60"/>
      <c r="F165" s="111"/>
      <c r="G165" s="44"/>
      <c r="H165" s="140"/>
      <c r="I165" s="141"/>
      <c r="J165" s="140"/>
      <c r="K165" s="141"/>
      <c r="L165" s="67"/>
      <c r="M165" s="66"/>
      <c r="N165" s="116"/>
      <c r="O165" s="263">
        <v>350000</v>
      </c>
      <c r="P165" s="53" t="b">
        <v>1</v>
      </c>
      <c r="Q165" s="271" t="s">
        <v>269</v>
      </c>
      <c r="R165" s="265" t="s">
        <v>270</v>
      </c>
      <c r="S165" s="67"/>
      <c r="T165" s="67"/>
      <c r="U165" s="67"/>
      <c r="V165" s="67"/>
      <c r="W165" s="67"/>
      <c r="X165" s="67"/>
      <c r="Y165" s="83">
        <f t="shared" si="49"/>
        <v>350000</v>
      </c>
      <c r="Z165" s="67"/>
      <c r="AA165" s="67"/>
      <c r="AB165" s="67"/>
      <c r="AC165" s="68"/>
      <c r="AD165" s="68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268"/>
      <c r="AS165" s="267"/>
      <c r="AT165" s="268"/>
      <c r="AU165" s="267"/>
      <c r="AV165" s="188"/>
      <c r="AW165" s="189"/>
    </row>
    <row r="166" spans="1:49" ht="18.75" customHeight="1" x14ac:dyDescent="0.15">
      <c r="A166" s="39"/>
      <c r="B166" s="233"/>
      <c r="C166" s="80"/>
      <c r="D166" s="42"/>
      <c r="E166" s="60" t="s">
        <v>271</v>
      </c>
      <c r="F166" s="111"/>
      <c r="G166" s="44"/>
      <c r="H166" s="140">
        <v>2</v>
      </c>
      <c r="I166" s="141" t="s">
        <v>49</v>
      </c>
      <c r="J166" s="140">
        <v>1</v>
      </c>
      <c r="K166" s="141" t="s">
        <v>109</v>
      </c>
      <c r="L166" s="67">
        <v>350000</v>
      </c>
      <c r="M166" s="66">
        <f>L166*J166*H166</f>
        <v>700000</v>
      </c>
      <c r="N166" s="116"/>
      <c r="O166" s="263">
        <v>350000</v>
      </c>
      <c r="P166" s="53" t="b">
        <v>1</v>
      </c>
      <c r="Q166" s="271" t="s">
        <v>272</v>
      </c>
      <c r="R166" s="269" t="s">
        <v>273</v>
      </c>
      <c r="S166" s="67"/>
      <c r="T166" s="67"/>
      <c r="U166" s="67"/>
      <c r="V166" s="67"/>
      <c r="W166" s="67"/>
      <c r="X166" s="67"/>
      <c r="Y166" s="83">
        <f t="shared" si="49"/>
        <v>350000</v>
      </c>
      <c r="Z166" s="67"/>
      <c r="AA166" s="67"/>
      <c r="AB166" s="67">
        <f>O166-(SUM(S166:Z166))</f>
        <v>0</v>
      </c>
      <c r="AC166" s="68"/>
      <c r="AD166" s="68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140">
        <v>2</v>
      </c>
      <c r="AS166" s="141" t="s">
        <v>49</v>
      </c>
      <c r="AT166" s="140">
        <v>1</v>
      </c>
      <c r="AU166" s="141" t="s">
        <v>109</v>
      </c>
      <c r="AV166" s="169">
        <v>750000</v>
      </c>
      <c r="AW166" s="71">
        <f>AV166*AT166*AR166</f>
        <v>1500000</v>
      </c>
    </row>
    <row r="167" spans="1:49" ht="18.75" customHeight="1" x14ac:dyDescent="0.2">
      <c r="A167" s="39"/>
      <c r="B167" s="233"/>
      <c r="C167" s="80"/>
      <c r="D167" s="42"/>
      <c r="E167" s="60"/>
      <c r="F167" s="111"/>
      <c r="G167" s="44"/>
      <c r="H167" s="140"/>
      <c r="I167" s="141"/>
      <c r="J167" s="140"/>
      <c r="K167" s="141"/>
      <c r="L167" s="67"/>
      <c r="M167" s="66"/>
      <c r="N167" s="116"/>
      <c r="O167" s="263">
        <v>350000</v>
      </c>
      <c r="P167" s="53" t="b">
        <v>1</v>
      </c>
      <c r="Q167" s="269" t="s">
        <v>274</v>
      </c>
      <c r="R167" s="264" t="s">
        <v>275</v>
      </c>
      <c r="S167" s="67"/>
      <c r="T167" s="67"/>
      <c r="U167" s="67"/>
      <c r="V167" s="67"/>
      <c r="W167" s="67"/>
      <c r="X167" s="67"/>
      <c r="Y167" s="83">
        <f t="shared" si="49"/>
        <v>350000</v>
      </c>
      <c r="Z167" s="67"/>
      <c r="AA167" s="67"/>
      <c r="AB167" s="67"/>
      <c r="AC167" s="68"/>
      <c r="AD167" s="68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140"/>
      <c r="AS167" s="141"/>
      <c r="AT167" s="140"/>
      <c r="AU167" s="141"/>
      <c r="AV167" s="169"/>
      <c r="AW167" s="71"/>
    </row>
    <row r="168" spans="1:49" ht="18.75" customHeight="1" x14ac:dyDescent="0.2">
      <c r="A168" s="39"/>
      <c r="B168" s="233"/>
      <c r="C168" s="80"/>
      <c r="D168" s="42"/>
      <c r="E168" s="60" t="s">
        <v>276</v>
      </c>
      <c r="F168" s="111"/>
      <c r="G168" s="44"/>
      <c r="H168" s="140">
        <v>2</v>
      </c>
      <c r="I168" s="141" t="s">
        <v>49</v>
      </c>
      <c r="J168" s="140">
        <v>1</v>
      </c>
      <c r="K168" s="141" t="s">
        <v>109</v>
      </c>
      <c r="L168" s="67"/>
      <c r="M168" s="66"/>
      <c r="N168" s="116"/>
      <c r="O168" s="263">
        <v>350000</v>
      </c>
      <c r="P168" s="53" t="b">
        <v>1</v>
      </c>
      <c r="Q168" s="264" t="s">
        <v>277</v>
      </c>
      <c r="R168" s="269" t="s">
        <v>278</v>
      </c>
      <c r="S168" s="67"/>
      <c r="T168" s="67"/>
      <c r="U168" s="67"/>
      <c r="V168" s="67"/>
      <c r="W168" s="67"/>
      <c r="X168" s="67"/>
      <c r="Y168" s="83">
        <f t="shared" si="49"/>
        <v>350000</v>
      </c>
      <c r="Z168" s="67"/>
      <c r="AA168" s="67"/>
      <c r="AB168" s="67">
        <f>O168-(SUM(S168:Z168))</f>
        <v>0</v>
      </c>
      <c r="AC168" s="68"/>
      <c r="AD168" s="68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140"/>
      <c r="AS168" s="141"/>
      <c r="AT168" s="140"/>
      <c r="AU168" s="141"/>
      <c r="AV168" s="169"/>
      <c r="AW168" s="71"/>
    </row>
    <row r="169" spans="1:49" ht="18.75" customHeight="1" x14ac:dyDescent="0.15">
      <c r="A169" s="39"/>
      <c r="B169" s="233"/>
      <c r="C169" s="80"/>
      <c r="D169" s="42"/>
      <c r="E169" s="60"/>
      <c r="F169" s="111"/>
      <c r="G169" s="44"/>
      <c r="H169" s="140"/>
      <c r="I169" s="141"/>
      <c r="J169" s="140"/>
      <c r="K169" s="141"/>
      <c r="L169" s="67"/>
      <c r="M169" s="66"/>
      <c r="N169" s="116"/>
      <c r="O169" s="263">
        <v>350000</v>
      </c>
      <c r="P169" s="53" t="b">
        <v>1</v>
      </c>
      <c r="Q169" s="269" t="s">
        <v>279</v>
      </c>
      <c r="R169" s="269" t="s">
        <v>280</v>
      </c>
      <c r="S169" s="67"/>
      <c r="T169" s="67"/>
      <c r="U169" s="67"/>
      <c r="V169" s="67"/>
      <c r="W169" s="67"/>
      <c r="X169" s="67"/>
      <c r="Y169" s="83">
        <f t="shared" si="49"/>
        <v>350000</v>
      </c>
      <c r="Z169" s="67"/>
      <c r="AA169" s="67"/>
      <c r="AB169" s="67"/>
      <c r="AC169" s="68"/>
      <c r="AD169" s="68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140"/>
      <c r="AS169" s="141"/>
      <c r="AT169" s="140"/>
      <c r="AU169" s="141"/>
      <c r="AV169" s="169"/>
      <c r="AW169" s="71"/>
    </row>
    <row r="170" spans="1:49" ht="18.75" customHeight="1" x14ac:dyDescent="0.15">
      <c r="A170" s="39"/>
      <c r="B170" s="233"/>
      <c r="C170" s="80"/>
      <c r="D170" s="60" t="s">
        <v>281</v>
      </c>
      <c r="E170" s="42"/>
      <c r="F170" s="111"/>
      <c r="G170" s="44"/>
      <c r="H170" s="140">
        <v>4</v>
      </c>
      <c r="I170" s="141" t="s">
        <v>49</v>
      </c>
      <c r="J170" s="140">
        <v>1</v>
      </c>
      <c r="K170" s="141" t="s">
        <v>20</v>
      </c>
      <c r="L170" s="67">
        <v>1000000</v>
      </c>
      <c r="M170" s="66">
        <f>L170*J170*H170</f>
        <v>4000000</v>
      </c>
      <c r="N170" s="116"/>
      <c r="O170" s="263">
        <v>4000000</v>
      </c>
      <c r="P170" s="53" t="b">
        <v>1</v>
      </c>
      <c r="Q170" s="272" t="s">
        <v>282</v>
      </c>
      <c r="R170" s="272" t="s">
        <v>283</v>
      </c>
      <c r="S170" s="67"/>
      <c r="T170" s="67"/>
      <c r="U170" s="67"/>
      <c r="V170" s="67"/>
      <c r="W170" s="67"/>
      <c r="X170" s="67"/>
      <c r="Y170" s="83">
        <f t="shared" si="49"/>
        <v>4000000</v>
      </c>
      <c r="Z170" s="67"/>
      <c r="AA170" s="67"/>
      <c r="AB170" s="67">
        <f>O170-(SUM(S170:Z170))</f>
        <v>0</v>
      </c>
      <c r="AC170" s="68"/>
      <c r="AD170" s="68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140">
        <v>4</v>
      </c>
      <c r="AS170" s="141" t="s">
        <v>49</v>
      </c>
      <c r="AT170" s="140">
        <v>1</v>
      </c>
      <c r="AU170" s="141" t="s">
        <v>20</v>
      </c>
      <c r="AV170" s="169">
        <v>1500000</v>
      </c>
      <c r="AW170" s="71">
        <f>AV170*AT170*AR170</f>
        <v>6000000</v>
      </c>
    </row>
    <row r="171" spans="1:49" ht="18.75" customHeight="1" x14ac:dyDescent="0.2">
      <c r="A171" s="39"/>
      <c r="B171" s="233"/>
      <c r="C171" s="80"/>
      <c r="D171" s="60"/>
      <c r="E171" s="42"/>
      <c r="F171" s="111"/>
      <c r="G171" s="44"/>
      <c r="H171" s="140"/>
      <c r="I171" s="141"/>
      <c r="J171" s="140"/>
      <c r="K171" s="141"/>
      <c r="L171" s="67"/>
      <c r="M171" s="66"/>
      <c r="N171" s="116"/>
      <c r="O171" s="263"/>
      <c r="P171" s="53"/>
      <c r="Q171" s="264"/>
      <c r="R171" s="53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8"/>
      <c r="AD171" s="68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140"/>
      <c r="AS171" s="141"/>
      <c r="AT171" s="140"/>
      <c r="AU171" s="141"/>
      <c r="AV171" s="169"/>
      <c r="AW171" s="71"/>
    </row>
    <row r="172" spans="1:49" ht="18.75" customHeight="1" x14ac:dyDescent="0.2">
      <c r="A172" s="39"/>
      <c r="B172" s="233"/>
      <c r="C172" s="80"/>
      <c r="D172" s="60" t="s">
        <v>284</v>
      </c>
      <c r="E172" s="42"/>
      <c r="F172" s="111"/>
      <c r="G172" s="44"/>
      <c r="H172" s="140">
        <v>1</v>
      </c>
      <c r="I172" s="141" t="s">
        <v>49</v>
      </c>
      <c r="J172" s="140">
        <v>1</v>
      </c>
      <c r="K172" s="141" t="s">
        <v>223</v>
      </c>
      <c r="L172" s="67">
        <v>3500000</v>
      </c>
      <c r="M172" s="66">
        <f>L172*J172*H172</f>
        <v>3500000</v>
      </c>
      <c r="N172" s="116"/>
      <c r="O172" s="263"/>
      <c r="P172" s="53"/>
      <c r="Q172" s="269"/>
      <c r="R172" s="264"/>
      <c r="S172" s="67"/>
      <c r="T172" s="67"/>
      <c r="U172" s="67"/>
      <c r="V172" s="67"/>
      <c r="W172" s="67"/>
      <c r="X172" s="67"/>
      <c r="Y172" s="67">
        <f>O172</f>
        <v>0</v>
      </c>
      <c r="Z172" s="67"/>
      <c r="AA172" s="67"/>
      <c r="AB172" s="67">
        <f>O172-(SUM(S172:Z172))</f>
        <v>0</v>
      </c>
      <c r="AC172" s="68"/>
      <c r="AD172" s="68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140">
        <v>1</v>
      </c>
      <c r="AS172" s="141" t="s">
        <v>49</v>
      </c>
      <c r="AT172" s="140">
        <v>1</v>
      </c>
      <c r="AU172" s="141" t="s">
        <v>223</v>
      </c>
      <c r="AV172" s="169">
        <v>5000000</v>
      </c>
      <c r="AW172" s="71">
        <f>AV172*AT172*AR172</f>
        <v>5000000</v>
      </c>
    </row>
    <row r="173" spans="1:49" ht="18.75" customHeight="1" x14ac:dyDescent="0.2">
      <c r="A173" s="39"/>
      <c r="B173" s="233"/>
      <c r="C173" s="80"/>
      <c r="D173" s="60"/>
      <c r="E173" s="60" t="s">
        <v>285</v>
      </c>
      <c r="F173" s="111"/>
      <c r="G173" s="44"/>
      <c r="H173" s="140">
        <v>2</v>
      </c>
      <c r="I173" s="141" t="s">
        <v>49</v>
      </c>
      <c r="J173" s="140">
        <v>1</v>
      </c>
      <c r="K173" s="141" t="s">
        <v>109</v>
      </c>
      <c r="L173" s="67"/>
      <c r="M173" s="66"/>
      <c r="N173" s="116"/>
      <c r="O173" s="263"/>
      <c r="P173" s="53"/>
      <c r="Q173" s="269"/>
      <c r="R173" s="264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8"/>
      <c r="AD173" s="68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140"/>
      <c r="AS173" s="141"/>
      <c r="AT173" s="140"/>
      <c r="AU173" s="141"/>
      <c r="AV173" s="169"/>
      <c r="AW173" s="71"/>
    </row>
    <row r="174" spans="1:49" ht="18.75" customHeight="1" x14ac:dyDescent="0.15">
      <c r="A174" s="39"/>
      <c r="B174" s="233"/>
      <c r="C174" s="80"/>
      <c r="D174" s="42"/>
      <c r="E174" s="60" t="s">
        <v>286</v>
      </c>
      <c r="F174" s="111"/>
      <c r="G174" s="44"/>
      <c r="H174" s="140">
        <v>1</v>
      </c>
      <c r="I174" s="141" t="s">
        <v>49</v>
      </c>
      <c r="J174" s="140">
        <v>1</v>
      </c>
      <c r="K174" s="141" t="s">
        <v>223</v>
      </c>
      <c r="L174" s="67">
        <v>1000000</v>
      </c>
      <c r="M174" s="66">
        <f t="shared" ref="M174:M176" si="54">L174*J174*H174</f>
        <v>1000000</v>
      </c>
      <c r="N174" s="116"/>
      <c r="O174" s="263">
        <v>400000</v>
      </c>
      <c r="P174" s="53" t="b">
        <v>1</v>
      </c>
      <c r="Q174" s="273" t="s">
        <v>287</v>
      </c>
      <c r="R174" s="272" t="s">
        <v>288</v>
      </c>
      <c r="S174" s="67"/>
      <c r="T174" s="67"/>
      <c r="U174" s="67"/>
      <c r="V174" s="67"/>
      <c r="W174" s="67"/>
      <c r="X174" s="67"/>
      <c r="Y174" s="83">
        <f>O174</f>
        <v>400000</v>
      </c>
      <c r="Z174" s="67"/>
      <c r="AA174" s="67"/>
      <c r="AB174" s="67">
        <f>O174-(SUM(S174:Z174))</f>
        <v>0</v>
      </c>
      <c r="AC174" s="68"/>
      <c r="AD174" s="68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140">
        <v>1</v>
      </c>
      <c r="AS174" s="141" t="s">
        <v>49</v>
      </c>
      <c r="AT174" s="140">
        <v>1</v>
      </c>
      <c r="AU174" s="141" t="s">
        <v>223</v>
      </c>
      <c r="AV174" s="169">
        <v>3000000</v>
      </c>
      <c r="AW174" s="71">
        <f t="shared" ref="AW174:AW176" si="55">AV174*AT174*AR174</f>
        <v>3000000</v>
      </c>
    </row>
    <row r="175" spans="1:49" ht="18.75" customHeight="1" x14ac:dyDescent="0.2">
      <c r="A175" s="39"/>
      <c r="B175" s="233"/>
      <c r="C175" s="80"/>
      <c r="D175" s="42"/>
      <c r="E175" s="60" t="s">
        <v>289</v>
      </c>
      <c r="F175" s="111"/>
      <c r="G175" s="111"/>
      <c r="H175" s="140"/>
      <c r="I175" s="141" t="s">
        <v>49</v>
      </c>
      <c r="J175" s="140">
        <v>1</v>
      </c>
      <c r="K175" s="141" t="s">
        <v>223</v>
      </c>
      <c r="L175" s="67"/>
      <c r="M175" s="66">
        <f t="shared" si="54"/>
        <v>0</v>
      </c>
      <c r="N175" s="116"/>
      <c r="O175" s="263"/>
      <c r="P175" s="53"/>
      <c r="Q175" s="269"/>
      <c r="R175" s="264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8"/>
      <c r="AD175" s="68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268">
        <v>0</v>
      </c>
      <c r="AS175" s="267" t="s">
        <v>49</v>
      </c>
      <c r="AT175" s="268">
        <v>1</v>
      </c>
      <c r="AU175" s="267" t="s">
        <v>223</v>
      </c>
      <c r="AV175" s="188">
        <v>3000000</v>
      </c>
      <c r="AW175" s="189">
        <f t="shared" si="55"/>
        <v>0</v>
      </c>
    </row>
    <row r="176" spans="1:49" ht="18.75" customHeight="1" x14ac:dyDescent="0.2">
      <c r="A176" s="39"/>
      <c r="B176" s="233"/>
      <c r="C176" s="80"/>
      <c r="D176" s="42"/>
      <c r="E176" s="42"/>
      <c r="F176" s="146" t="s">
        <v>290</v>
      </c>
      <c r="G176" s="111"/>
      <c r="H176" s="140">
        <v>2</v>
      </c>
      <c r="I176" s="141" t="s">
        <v>49</v>
      </c>
      <c r="J176" s="140">
        <v>1</v>
      </c>
      <c r="K176" s="141" t="s">
        <v>109</v>
      </c>
      <c r="L176" s="67">
        <v>500000</v>
      </c>
      <c r="M176" s="66">
        <f t="shared" si="54"/>
        <v>1000000</v>
      </c>
      <c r="N176" s="116"/>
      <c r="O176" s="263">
        <v>400000</v>
      </c>
      <c r="P176" s="53" t="b">
        <v>1</v>
      </c>
      <c r="Q176" s="269" t="s">
        <v>291</v>
      </c>
      <c r="R176" s="264" t="s">
        <v>292</v>
      </c>
      <c r="S176" s="67"/>
      <c r="T176" s="67"/>
      <c r="U176" s="67"/>
      <c r="V176" s="67"/>
      <c r="W176" s="67"/>
      <c r="X176" s="67"/>
      <c r="Y176" s="83">
        <f t="shared" ref="Y176:Y177" si="56">O176</f>
        <v>400000</v>
      </c>
      <c r="Z176" s="67"/>
      <c r="AA176" s="67"/>
      <c r="AB176" s="67">
        <f>O176-(SUM(S176:Z176))</f>
        <v>0</v>
      </c>
      <c r="AC176" s="68"/>
      <c r="AD176" s="68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140">
        <v>2</v>
      </c>
      <c r="AS176" s="141" t="s">
        <v>49</v>
      </c>
      <c r="AT176" s="140">
        <v>1</v>
      </c>
      <c r="AU176" s="141" t="s">
        <v>109</v>
      </c>
      <c r="AV176" s="169">
        <v>1000000</v>
      </c>
      <c r="AW176" s="71">
        <f t="shared" si="55"/>
        <v>2000000</v>
      </c>
    </row>
    <row r="177" spans="1:49" ht="18.75" customHeight="1" x14ac:dyDescent="0.15">
      <c r="A177" s="39"/>
      <c r="B177" s="233"/>
      <c r="C177" s="80"/>
      <c r="D177" s="42"/>
      <c r="E177" s="42"/>
      <c r="F177" s="146"/>
      <c r="G177" s="44"/>
      <c r="H177" s="140"/>
      <c r="I177" s="141"/>
      <c r="J177" s="140"/>
      <c r="K177" s="141"/>
      <c r="L177" s="67"/>
      <c r="M177" s="66"/>
      <c r="N177" s="116"/>
      <c r="O177" s="263">
        <v>400000</v>
      </c>
      <c r="P177" s="53" t="b">
        <v>1</v>
      </c>
      <c r="Q177" s="271" t="s">
        <v>293</v>
      </c>
      <c r="R177" s="269" t="s">
        <v>294</v>
      </c>
      <c r="S177" s="67"/>
      <c r="T177" s="67"/>
      <c r="U177" s="67"/>
      <c r="V177" s="67"/>
      <c r="W177" s="67"/>
      <c r="X177" s="67"/>
      <c r="Y177" s="83">
        <f t="shared" si="56"/>
        <v>400000</v>
      </c>
      <c r="Z177" s="67"/>
      <c r="AA177" s="67"/>
      <c r="AB177" s="67"/>
      <c r="AC177" s="68"/>
      <c r="AD177" s="68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140"/>
      <c r="AS177" s="141"/>
      <c r="AT177" s="140"/>
      <c r="AU177" s="141"/>
      <c r="AV177" s="169"/>
      <c r="AW177" s="71"/>
    </row>
    <row r="178" spans="1:49" ht="18.75" customHeight="1" x14ac:dyDescent="0.15">
      <c r="A178" s="39"/>
      <c r="B178" s="233"/>
      <c r="C178" s="80"/>
      <c r="D178" s="42"/>
      <c r="E178" s="60" t="s">
        <v>295</v>
      </c>
      <c r="F178" s="111"/>
      <c r="G178" s="44"/>
      <c r="H178" s="140"/>
      <c r="I178" s="141" t="s">
        <v>49</v>
      </c>
      <c r="J178" s="140">
        <v>1</v>
      </c>
      <c r="K178" s="141" t="s">
        <v>109</v>
      </c>
      <c r="L178" s="67"/>
      <c r="M178" s="66">
        <f t="shared" ref="M178:M181" si="57">L178*J178*H178</f>
        <v>0</v>
      </c>
      <c r="N178" s="116"/>
      <c r="O178" s="148"/>
      <c r="P178" s="53"/>
      <c r="Q178" s="53"/>
      <c r="R178" s="53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8"/>
      <c r="AD178" s="68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112"/>
      <c r="AS178" s="141" t="s">
        <v>49</v>
      </c>
      <c r="AT178" s="140">
        <v>1</v>
      </c>
      <c r="AU178" s="141" t="s">
        <v>109</v>
      </c>
      <c r="AV178" s="169">
        <v>1500000</v>
      </c>
      <c r="AW178" s="71">
        <f t="shared" ref="AW178:AW182" si="58">AV178*AT178*AR178</f>
        <v>0</v>
      </c>
    </row>
    <row r="179" spans="1:49" ht="18.75" customHeight="1" x14ac:dyDescent="0.15">
      <c r="A179" s="39"/>
      <c r="B179" s="233"/>
      <c r="C179" s="80"/>
      <c r="D179" s="42"/>
      <c r="E179" s="42"/>
      <c r="F179" s="146" t="s">
        <v>296</v>
      </c>
      <c r="G179" s="44"/>
      <c r="H179" s="140"/>
      <c r="I179" s="141" t="s">
        <v>49</v>
      </c>
      <c r="J179" s="140">
        <v>1</v>
      </c>
      <c r="K179" s="141" t="s">
        <v>109</v>
      </c>
      <c r="L179" s="67"/>
      <c r="M179" s="66">
        <f t="shared" si="57"/>
        <v>0</v>
      </c>
      <c r="N179" s="116"/>
      <c r="O179" s="148"/>
      <c r="P179" s="53"/>
      <c r="Q179" s="53"/>
      <c r="R179" s="53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8"/>
      <c r="AD179" s="68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268">
        <v>0</v>
      </c>
      <c r="AS179" s="267" t="s">
        <v>49</v>
      </c>
      <c r="AT179" s="268">
        <v>1</v>
      </c>
      <c r="AU179" s="267" t="s">
        <v>109</v>
      </c>
      <c r="AV179" s="188">
        <v>750000</v>
      </c>
      <c r="AW179" s="189">
        <f t="shared" si="58"/>
        <v>0</v>
      </c>
    </row>
    <row r="180" spans="1:49" ht="18.75" customHeight="1" x14ac:dyDescent="0.15">
      <c r="A180" s="39"/>
      <c r="B180" s="233"/>
      <c r="C180" s="80"/>
      <c r="D180" s="42"/>
      <c r="E180" s="60" t="s">
        <v>297</v>
      </c>
      <c r="F180" s="111"/>
      <c r="G180" s="44"/>
      <c r="H180" s="140"/>
      <c r="I180" s="141" t="s">
        <v>49</v>
      </c>
      <c r="J180" s="140">
        <v>1</v>
      </c>
      <c r="K180" s="141" t="s">
        <v>109</v>
      </c>
      <c r="L180" s="67"/>
      <c r="M180" s="66">
        <f t="shared" si="57"/>
        <v>0</v>
      </c>
      <c r="N180" s="116"/>
      <c r="O180" s="148"/>
      <c r="P180" s="53"/>
      <c r="Q180" s="53"/>
      <c r="R180" s="53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8"/>
      <c r="AD180" s="68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112"/>
      <c r="AS180" s="141" t="s">
        <v>49</v>
      </c>
      <c r="AT180" s="140">
        <v>1</v>
      </c>
      <c r="AU180" s="141" t="s">
        <v>109</v>
      </c>
      <c r="AV180" s="169">
        <v>2500000</v>
      </c>
      <c r="AW180" s="71">
        <f t="shared" si="58"/>
        <v>0</v>
      </c>
    </row>
    <row r="181" spans="1:49" ht="18.75" customHeight="1" x14ac:dyDescent="0.15">
      <c r="A181" s="39"/>
      <c r="B181" s="233"/>
      <c r="C181" s="80"/>
      <c r="D181" s="42"/>
      <c r="E181" s="42"/>
      <c r="F181" s="146" t="s">
        <v>298</v>
      </c>
      <c r="G181" s="44"/>
      <c r="H181" s="140"/>
      <c r="I181" s="141" t="s">
        <v>49</v>
      </c>
      <c r="J181" s="140">
        <v>1</v>
      </c>
      <c r="K181" s="141" t="s">
        <v>109</v>
      </c>
      <c r="L181" s="67"/>
      <c r="M181" s="66">
        <f t="shared" si="57"/>
        <v>0</v>
      </c>
      <c r="N181" s="116"/>
      <c r="O181" s="148"/>
      <c r="P181" s="274"/>
      <c r="Q181" s="53"/>
      <c r="R181" s="274"/>
      <c r="S181" s="275"/>
      <c r="T181" s="275"/>
      <c r="U181" s="275"/>
      <c r="V181" s="275"/>
      <c r="W181" s="275"/>
      <c r="X181" s="275"/>
      <c r="Y181" s="275"/>
      <c r="Z181" s="275"/>
      <c r="AA181" s="275"/>
      <c r="AB181" s="67"/>
      <c r="AC181" s="276"/>
      <c r="AD181" s="276"/>
      <c r="AE181" s="197"/>
      <c r="AF181" s="197"/>
      <c r="AG181" s="197"/>
      <c r="AH181" s="197"/>
      <c r="AI181" s="197"/>
      <c r="AJ181" s="197"/>
      <c r="AK181" s="197"/>
      <c r="AL181" s="197"/>
      <c r="AM181" s="197"/>
      <c r="AN181" s="197"/>
      <c r="AO181" s="197"/>
      <c r="AP181" s="197"/>
      <c r="AQ181" s="197"/>
      <c r="AR181" s="112"/>
      <c r="AS181" s="141" t="s">
        <v>49</v>
      </c>
      <c r="AT181" s="140">
        <v>1</v>
      </c>
      <c r="AU181" s="141" t="s">
        <v>109</v>
      </c>
      <c r="AV181" s="169">
        <v>750000</v>
      </c>
      <c r="AW181" s="71">
        <f t="shared" si="58"/>
        <v>0</v>
      </c>
    </row>
    <row r="182" spans="1:49" ht="18.75" customHeight="1" x14ac:dyDescent="0.15">
      <c r="A182" s="39"/>
      <c r="B182" s="40"/>
      <c r="C182" s="80"/>
      <c r="D182" s="60" t="s">
        <v>299</v>
      </c>
      <c r="E182" s="42"/>
      <c r="F182" s="111"/>
      <c r="G182" s="139" t="s">
        <v>300</v>
      </c>
      <c r="H182" s="62"/>
      <c r="I182" s="277" t="s">
        <v>19</v>
      </c>
      <c r="J182" s="278" t="s">
        <v>29</v>
      </c>
      <c r="K182" s="278" t="s">
        <v>109</v>
      </c>
      <c r="L182" s="67" t="s">
        <v>38</v>
      </c>
      <c r="M182" s="96" t="s">
        <v>38</v>
      </c>
      <c r="N182" s="56"/>
      <c r="O182" s="148"/>
      <c r="P182" s="117"/>
      <c r="Q182" s="163"/>
      <c r="R182" s="117"/>
      <c r="S182" s="118"/>
      <c r="T182" s="118"/>
      <c r="U182" s="118"/>
      <c r="V182" s="118"/>
      <c r="W182" s="118"/>
      <c r="X182" s="118"/>
      <c r="Y182" s="118"/>
      <c r="Z182" s="118"/>
      <c r="AA182" s="118"/>
      <c r="AB182" s="67"/>
      <c r="AC182" s="119"/>
      <c r="AD182" s="119"/>
      <c r="AE182" s="116"/>
      <c r="AF182" s="116"/>
      <c r="AG182" s="116"/>
      <c r="AH182" s="116"/>
      <c r="AI182" s="116"/>
      <c r="AJ182" s="116"/>
      <c r="AK182" s="116"/>
      <c r="AL182" s="116"/>
      <c r="AM182" s="116"/>
      <c r="AN182" s="116"/>
      <c r="AO182" s="116"/>
      <c r="AP182" s="116"/>
      <c r="AQ182" s="116"/>
      <c r="AR182" s="97">
        <v>0</v>
      </c>
      <c r="AS182" s="279" t="s">
        <v>19</v>
      </c>
      <c r="AT182" s="280" t="s">
        <v>29</v>
      </c>
      <c r="AU182" s="280" t="s">
        <v>109</v>
      </c>
      <c r="AV182" s="188">
        <v>15000000</v>
      </c>
      <c r="AW182" s="189">
        <f t="shared" si="58"/>
        <v>0</v>
      </c>
    </row>
    <row r="183" spans="1:49" ht="18.75" customHeight="1" x14ac:dyDescent="0.15">
      <c r="A183" s="19"/>
      <c r="B183" s="233"/>
      <c r="C183" s="80"/>
      <c r="D183" s="42"/>
      <c r="E183" s="42"/>
      <c r="F183" s="111"/>
      <c r="G183" s="44"/>
      <c r="H183" s="112"/>
      <c r="I183" s="113"/>
      <c r="J183" s="112"/>
      <c r="K183" s="113"/>
      <c r="L183" s="67"/>
      <c r="M183" s="281"/>
      <c r="N183" s="116"/>
      <c r="O183" s="282"/>
      <c r="P183" s="179"/>
      <c r="Q183" s="163"/>
      <c r="R183" s="179"/>
      <c r="S183" s="283"/>
      <c r="T183" s="283"/>
      <c r="U183" s="283"/>
      <c r="V183" s="283"/>
      <c r="W183" s="283"/>
      <c r="X183" s="283"/>
      <c r="Y183" s="283"/>
      <c r="Z183" s="283"/>
      <c r="AA183" s="283"/>
      <c r="AB183" s="67"/>
      <c r="AC183" s="34"/>
      <c r="AD183" s="34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112"/>
      <c r="AS183" s="113"/>
      <c r="AT183" s="112"/>
      <c r="AU183" s="113"/>
      <c r="AV183" s="57"/>
      <c r="AW183" s="241"/>
    </row>
    <row r="184" spans="1:49" ht="18.75" customHeight="1" x14ac:dyDescent="0.15">
      <c r="A184" s="39"/>
      <c r="B184" s="103" t="s">
        <v>219</v>
      </c>
      <c r="C184" s="229" t="s">
        <v>301</v>
      </c>
      <c r="D184" s="230"/>
      <c r="E184" s="230"/>
      <c r="F184" s="284"/>
      <c r="G184" s="23"/>
      <c r="H184" s="231"/>
      <c r="I184" s="36"/>
      <c r="J184" s="231"/>
      <c r="K184" s="36"/>
      <c r="L184" s="107"/>
      <c r="M184" s="232"/>
      <c r="N184" s="116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19"/>
      <c r="AD184" s="119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116"/>
      <c r="AQ184" s="116"/>
      <c r="AR184" s="231"/>
      <c r="AS184" s="36"/>
      <c r="AT184" s="231"/>
      <c r="AU184" s="36"/>
      <c r="AV184" s="37"/>
      <c r="AW184" s="38"/>
    </row>
    <row r="185" spans="1:49" ht="18.75" customHeight="1" x14ac:dyDescent="0.15">
      <c r="A185" s="39"/>
      <c r="B185" s="40"/>
      <c r="C185" s="41" t="s">
        <v>302</v>
      </c>
      <c r="D185" s="42"/>
      <c r="E185" s="42"/>
      <c r="F185" s="43"/>
      <c r="G185" s="44"/>
      <c r="H185" s="170"/>
      <c r="I185" s="113"/>
      <c r="J185" s="112"/>
      <c r="K185" s="113"/>
      <c r="L185" s="67"/>
      <c r="M185" s="137"/>
      <c r="N185" s="116"/>
      <c r="O185" s="67"/>
      <c r="P185" s="53"/>
      <c r="Q185" s="179"/>
      <c r="R185" s="53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8"/>
      <c r="AD185" s="68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170"/>
      <c r="AS185" s="113"/>
      <c r="AT185" s="112"/>
      <c r="AU185" s="113"/>
      <c r="AV185" s="57"/>
      <c r="AW185" s="138"/>
    </row>
    <row r="186" spans="1:49" ht="18.75" customHeight="1" x14ac:dyDescent="0.15">
      <c r="A186" s="39"/>
      <c r="B186" s="40"/>
      <c r="C186" s="80"/>
      <c r="D186" s="60" t="s">
        <v>303</v>
      </c>
      <c r="E186" s="42"/>
      <c r="F186" s="43"/>
      <c r="G186" s="139" t="s">
        <v>304</v>
      </c>
      <c r="H186" s="172">
        <v>35</v>
      </c>
      <c r="I186" s="141" t="s">
        <v>49</v>
      </c>
      <c r="J186" s="140">
        <v>4</v>
      </c>
      <c r="K186" s="141" t="s">
        <v>305</v>
      </c>
      <c r="L186" s="67">
        <v>30000</v>
      </c>
      <c r="M186" s="66">
        <f t="shared" ref="M186:M188" si="59">L186*J186*H186</f>
        <v>4200000</v>
      </c>
      <c r="N186" s="116"/>
      <c r="O186" s="81">
        <v>9380000</v>
      </c>
      <c r="P186" s="285" t="b">
        <v>0</v>
      </c>
      <c r="Q186" s="286" t="s">
        <v>306</v>
      </c>
      <c r="R186" s="287" t="s">
        <v>307</v>
      </c>
      <c r="S186" s="81"/>
      <c r="T186" s="81"/>
      <c r="U186" s="288">
        <f>O186*50%</f>
        <v>4690000</v>
      </c>
      <c r="V186" s="81"/>
      <c r="W186" s="81"/>
      <c r="X186" s="288">
        <f>O186-U186</f>
        <v>4690000</v>
      </c>
      <c r="Y186" s="81"/>
      <c r="Z186" s="81"/>
      <c r="AA186" s="67"/>
      <c r="AB186" s="81">
        <f>O186-(SUM(S186:Z186))</f>
        <v>0</v>
      </c>
      <c r="AC186" s="68"/>
      <c r="AD186" s="68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172">
        <v>35</v>
      </c>
      <c r="AS186" s="141" t="s">
        <v>49</v>
      </c>
      <c r="AT186" s="140">
        <v>4</v>
      </c>
      <c r="AU186" s="141" t="s">
        <v>305</v>
      </c>
      <c r="AV186" s="169">
        <v>65000</v>
      </c>
      <c r="AW186" s="71">
        <f t="shared" ref="AW186:AW188" si="60">AV186*AT186*AR186</f>
        <v>9100000</v>
      </c>
    </row>
    <row r="187" spans="1:49" ht="18.75" customHeight="1" x14ac:dyDescent="0.15">
      <c r="A187" s="39"/>
      <c r="B187" s="40"/>
      <c r="C187" s="80"/>
      <c r="D187" s="60" t="s">
        <v>308</v>
      </c>
      <c r="E187" s="42"/>
      <c r="F187" s="43"/>
      <c r="G187" s="139" t="s">
        <v>304</v>
      </c>
      <c r="H187" s="140">
        <v>50</v>
      </c>
      <c r="I187" s="141" t="s">
        <v>49</v>
      </c>
      <c r="J187" s="140">
        <v>4</v>
      </c>
      <c r="K187" s="141" t="s">
        <v>305</v>
      </c>
      <c r="L187" s="67">
        <v>30000</v>
      </c>
      <c r="M187" s="66">
        <f t="shared" si="59"/>
        <v>6000000</v>
      </c>
      <c r="N187" s="116"/>
      <c r="O187" s="87"/>
      <c r="P187" s="87"/>
      <c r="Q187" s="87"/>
      <c r="R187" s="205"/>
      <c r="S187" s="87"/>
      <c r="T187" s="87"/>
      <c r="U187" s="87"/>
      <c r="V187" s="87"/>
      <c r="W187" s="87"/>
      <c r="X187" s="87"/>
      <c r="Y187" s="87"/>
      <c r="Z187" s="87"/>
      <c r="AA187" s="67"/>
      <c r="AB187" s="87"/>
      <c r="AC187" s="68"/>
      <c r="AD187" s="68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140">
        <v>50</v>
      </c>
      <c r="AS187" s="141" t="s">
        <v>49</v>
      </c>
      <c r="AT187" s="140">
        <v>4</v>
      </c>
      <c r="AU187" s="141" t="s">
        <v>305</v>
      </c>
      <c r="AV187" s="169">
        <v>65000</v>
      </c>
      <c r="AW187" s="71">
        <f t="shared" si="60"/>
        <v>13000000</v>
      </c>
    </row>
    <row r="188" spans="1:49" ht="18.75" customHeight="1" x14ac:dyDescent="0.15">
      <c r="A188" s="39"/>
      <c r="B188" s="40"/>
      <c r="C188" s="80"/>
      <c r="D188" s="60" t="s">
        <v>309</v>
      </c>
      <c r="E188" s="42"/>
      <c r="F188" s="43"/>
      <c r="G188" s="44"/>
      <c r="H188" s="140">
        <v>10</v>
      </c>
      <c r="I188" s="141" t="s">
        <v>49</v>
      </c>
      <c r="J188" s="140">
        <v>4</v>
      </c>
      <c r="K188" s="141" t="s">
        <v>305</v>
      </c>
      <c r="L188" s="67">
        <v>30000</v>
      </c>
      <c r="M188" s="66">
        <f t="shared" si="59"/>
        <v>1200000</v>
      </c>
      <c r="N188" s="116"/>
      <c r="O188" s="133"/>
      <c r="P188" s="133"/>
      <c r="Q188" s="133"/>
      <c r="R188" s="206"/>
      <c r="S188" s="133"/>
      <c r="T188" s="133"/>
      <c r="U188" s="133"/>
      <c r="V188" s="133"/>
      <c r="W188" s="133"/>
      <c r="X188" s="133"/>
      <c r="Y188" s="133"/>
      <c r="Z188" s="133"/>
      <c r="AA188" s="67"/>
      <c r="AB188" s="133"/>
      <c r="AC188" s="68"/>
      <c r="AD188" s="68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140">
        <v>10</v>
      </c>
      <c r="AS188" s="141" t="s">
        <v>49</v>
      </c>
      <c r="AT188" s="140">
        <v>4</v>
      </c>
      <c r="AU188" s="141" t="s">
        <v>305</v>
      </c>
      <c r="AV188" s="169">
        <v>50000</v>
      </c>
      <c r="AW188" s="71">
        <f t="shared" si="60"/>
        <v>2000000</v>
      </c>
    </row>
    <row r="189" spans="1:49" ht="18.75" customHeight="1" x14ac:dyDescent="0.15">
      <c r="A189" s="39"/>
      <c r="B189" s="40"/>
      <c r="C189" s="80"/>
      <c r="D189" s="60"/>
      <c r="E189" s="42"/>
      <c r="F189" s="43"/>
      <c r="G189" s="44"/>
      <c r="H189" s="140"/>
      <c r="I189" s="141"/>
      <c r="J189" s="140"/>
      <c r="K189" s="141"/>
      <c r="L189" s="67"/>
      <c r="M189" s="66"/>
      <c r="N189" s="116"/>
      <c r="O189" s="67">
        <v>536000</v>
      </c>
      <c r="P189" s="53" t="b">
        <v>0</v>
      </c>
      <c r="Q189" s="117" t="s">
        <v>306</v>
      </c>
      <c r="R189" s="289" t="s">
        <v>307</v>
      </c>
      <c r="S189" s="67"/>
      <c r="T189" s="67"/>
      <c r="U189" s="67"/>
      <c r="V189" s="67"/>
      <c r="W189" s="67"/>
      <c r="X189" s="83">
        <f>O189</f>
        <v>536000</v>
      </c>
      <c r="Y189" s="67"/>
      <c r="Z189" s="67"/>
      <c r="AA189" s="67"/>
      <c r="AB189" s="67"/>
      <c r="AC189" s="68"/>
      <c r="AD189" s="68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140"/>
      <c r="AS189" s="141"/>
      <c r="AT189" s="140"/>
      <c r="AU189" s="141"/>
      <c r="AV189" s="169"/>
      <c r="AW189" s="71"/>
    </row>
    <row r="190" spans="1:49" ht="18.75" customHeight="1" x14ac:dyDescent="0.15">
      <c r="A190" s="39"/>
      <c r="B190" s="40"/>
      <c r="C190" s="41"/>
      <c r="D190" s="60" t="s">
        <v>310</v>
      </c>
      <c r="E190" s="42"/>
      <c r="F190" s="43"/>
      <c r="G190" s="139"/>
      <c r="H190" s="140"/>
      <c r="I190" s="141"/>
      <c r="J190" s="140"/>
      <c r="K190" s="141"/>
      <c r="L190" s="67"/>
      <c r="M190" s="66"/>
      <c r="N190" s="116"/>
      <c r="O190" s="67">
        <v>1300000</v>
      </c>
      <c r="P190" s="53" t="b">
        <v>0</v>
      </c>
      <c r="Q190" s="53" t="s">
        <v>311</v>
      </c>
      <c r="R190" s="117" t="s">
        <v>312</v>
      </c>
      <c r="S190" s="67"/>
      <c r="T190" s="67"/>
      <c r="U190" s="83">
        <f>O190</f>
        <v>1300000</v>
      </c>
      <c r="V190" s="67"/>
      <c r="W190" s="67"/>
      <c r="X190" s="67"/>
      <c r="Y190" s="67"/>
      <c r="Z190" s="67"/>
      <c r="AA190" s="67"/>
      <c r="AB190" s="67"/>
      <c r="AC190" s="68"/>
      <c r="AD190" s="68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238"/>
      <c r="AS190" s="141"/>
      <c r="AT190" s="140"/>
      <c r="AU190" s="141"/>
      <c r="AV190" s="169"/>
      <c r="AW190" s="71"/>
    </row>
    <row r="191" spans="1:49" ht="18.75" customHeight="1" x14ac:dyDescent="0.15">
      <c r="A191" s="39"/>
      <c r="B191" s="40"/>
      <c r="C191" s="41"/>
      <c r="D191" s="60" t="s">
        <v>313</v>
      </c>
      <c r="E191" s="42"/>
      <c r="F191" s="43"/>
      <c r="G191" s="139"/>
      <c r="H191" s="140"/>
      <c r="I191" s="141"/>
      <c r="J191" s="140"/>
      <c r="K191" s="141"/>
      <c r="L191" s="67"/>
      <c r="M191" s="66"/>
      <c r="N191" s="116"/>
      <c r="O191" s="67">
        <v>700000</v>
      </c>
      <c r="P191" s="53" t="b">
        <v>0</v>
      </c>
      <c r="Q191" s="53"/>
      <c r="R191" s="53" t="s">
        <v>115</v>
      </c>
      <c r="S191" s="67"/>
      <c r="T191" s="67"/>
      <c r="U191" s="67"/>
      <c r="V191" s="83">
        <f>O191</f>
        <v>700000</v>
      </c>
      <c r="W191" s="67"/>
      <c r="X191" s="67"/>
      <c r="Y191" s="67"/>
      <c r="Z191" s="67"/>
      <c r="AA191" s="67"/>
      <c r="AB191" s="67"/>
      <c r="AC191" s="68"/>
      <c r="AD191" s="68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238"/>
      <c r="AS191" s="141"/>
      <c r="AT191" s="140"/>
      <c r="AU191" s="141"/>
      <c r="AV191" s="169"/>
      <c r="AW191" s="71"/>
    </row>
    <row r="192" spans="1:49" ht="18.75" customHeight="1" x14ac:dyDescent="0.15">
      <c r="A192" s="39"/>
      <c r="B192" s="40"/>
      <c r="C192" s="41" t="s">
        <v>314</v>
      </c>
      <c r="D192" s="42"/>
      <c r="E192" s="42"/>
      <c r="F192" s="43"/>
      <c r="G192" s="139" t="s">
        <v>315</v>
      </c>
      <c r="H192" s="140">
        <v>10</v>
      </c>
      <c r="I192" s="141" t="s">
        <v>316</v>
      </c>
      <c r="J192" s="140">
        <v>2</v>
      </c>
      <c r="K192" s="141" t="s">
        <v>109</v>
      </c>
      <c r="L192" s="67">
        <v>40000</v>
      </c>
      <c r="M192" s="66">
        <f t="shared" ref="M192:M193" si="61">L192*J192*H192</f>
        <v>800000</v>
      </c>
      <c r="N192" s="116"/>
      <c r="O192" s="67"/>
      <c r="P192" s="53"/>
      <c r="Q192" s="53"/>
      <c r="R192" s="53"/>
      <c r="S192" s="67"/>
      <c r="T192" s="67"/>
      <c r="U192" s="67"/>
      <c r="V192" s="67"/>
      <c r="W192" s="67"/>
      <c r="X192" s="67"/>
      <c r="Y192" s="67"/>
      <c r="Z192" s="67"/>
      <c r="AA192" s="67"/>
      <c r="AB192" s="67">
        <f>O192-(SUM(S192:Z192))</f>
        <v>0</v>
      </c>
      <c r="AC192" s="68"/>
      <c r="AD192" s="68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238">
        <v>10</v>
      </c>
      <c r="AS192" s="141" t="s">
        <v>316</v>
      </c>
      <c r="AT192" s="140">
        <v>2</v>
      </c>
      <c r="AU192" s="141" t="s">
        <v>109</v>
      </c>
      <c r="AV192" s="169">
        <v>65000</v>
      </c>
      <c r="AW192" s="71">
        <f t="shared" ref="AW192:AW193" si="62">AV192*AT192*AR192</f>
        <v>1300000</v>
      </c>
    </row>
    <row r="193" spans="1:49" ht="18.75" customHeight="1" x14ac:dyDescent="0.15">
      <c r="A193" s="39"/>
      <c r="B193" s="40"/>
      <c r="C193" s="41" t="s">
        <v>317</v>
      </c>
      <c r="D193" s="42"/>
      <c r="E193" s="42"/>
      <c r="F193" s="43"/>
      <c r="G193" s="44"/>
      <c r="H193" s="140">
        <v>0</v>
      </c>
      <c r="I193" s="141" t="s">
        <v>19</v>
      </c>
      <c r="J193" s="140">
        <v>1</v>
      </c>
      <c r="K193" s="141" t="s">
        <v>20</v>
      </c>
      <c r="L193" s="67"/>
      <c r="M193" s="66">
        <f t="shared" si="61"/>
        <v>0</v>
      </c>
      <c r="N193" s="116"/>
      <c r="O193" s="67"/>
      <c r="P193" s="53"/>
      <c r="Q193" s="53"/>
      <c r="R193" s="53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8"/>
      <c r="AD193" s="68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268">
        <v>0</v>
      </c>
      <c r="AS193" s="267" t="s">
        <v>19</v>
      </c>
      <c r="AT193" s="268">
        <v>1</v>
      </c>
      <c r="AU193" s="267" t="s">
        <v>20</v>
      </c>
      <c r="AV193" s="188">
        <v>1500000</v>
      </c>
      <c r="AW193" s="189">
        <f t="shared" si="62"/>
        <v>0</v>
      </c>
    </row>
    <row r="194" spans="1:49" ht="18.75" customHeight="1" x14ac:dyDescent="0.15">
      <c r="A194" s="39"/>
      <c r="B194" s="40"/>
      <c r="C194" s="80"/>
      <c r="D194" s="42"/>
      <c r="E194" s="42"/>
      <c r="F194" s="43"/>
      <c r="G194" s="44"/>
      <c r="H194" s="112"/>
      <c r="I194" s="113"/>
      <c r="J194" s="112"/>
      <c r="K194" s="113"/>
      <c r="L194" s="67"/>
      <c r="M194" s="66"/>
      <c r="N194" s="116"/>
      <c r="O194" s="67"/>
      <c r="P194" s="53"/>
      <c r="Q194" s="53"/>
      <c r="R194" s="53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8"/>
      <c r="AD194" s="68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112"/>
      <c r="AS194" s="113"/>
      <c r="AT194" s="112"/>
      <c r="AU194" s="113"/>
      <c r="AV194" s="57"/>
      <c r="AW194" s="79"/>
    </row>
    <row r="195" spans="1:49" ht="18.75" customHeight="1" x14ac:dyDescent="0.15">
      <c r="A195" s="39"/>
      <c r="B195" s="40"/>
      <c r="C195" s="41" t="s">
        <v>318</v>
      </c>
      <c r="D195" s="42"/>
      <c r="E195" s="42"/>
      <c r="F195" s="43"/>
      <c r="G195" s="44"/>
      <c r="H195" s="112"/>
      <c r="I195" s="113"/>
      <c r="J195" s="112"/>
      <c r="K195" s="113"/>
      <c r="L195" s="67"/>
      <c r="M195" s="66"/>
      <c r="N195" s="116"/>
      <c r="O195" s="67"/>
      <c r="P195" s="53"/>
      <c r="Q195" s="274"/>
      <c r="R195" s="53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8"/>
      <c r="AD195" s="68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112"/>
      <c r="AS195" s="113"/>
      <c r="AT195" s="112"/>
      <c r="AU195" s="113"/>
      <c r="AV195" s="57"/>
      <c r="AW195" s="79"/>
    </row>
    <row r="196" spans="1:49" ht="18.75" customHeight="1" x14ac:dyDescent="0.15">
      <c r="A196" s="39"/>
      <c r="B196" s="40"/>
      <c r="C196" s="80"/>
      <c r="D196" s="60" t="s">
        <v>319</v>
      </c>
      <c r="E196" s="42"/>
      <c r="F196" s="43"/>
      <c r="G196" s="139" t="s">
        <v>320</v>
      </c>
      <c r="H196" s="140">
        <v>2</v>
      </c>
      <c r="I196" s="141" t="s">
        <v>54</v>
      </c>
      <c r="J196" s="140">
        <v>2</v>
      </c>
      <c r="K196" s="141" t="s">
        <v>109</v>
      </c>
      <c r="L196" s="67">
        <v>650000</v>
      </c>
      <c r="M196" s="66">
        <f t="shared" ref="M196:M197" si="63">L196*J196*H196</f>
        <v>2600000</v>
      </c>
      <c r="N196" s="116"/>
      <c r="O196" s="67">
        <v>1700000</v>
      </c>
      <c r="P196" s="53" t="b">
        <v>0</v>
      </c>
      <c r="Q196" s="52" t="s">
        <v>114</v>
      </c>
      <c r="R196" s="53" t="s">
        <v>115</v>
      </c>
      <c r="S196" s="67"/>
      <c r="T196" s="67"/>
      <c r="U196" s="83">
        <f>O196</f>
        <v>1700000</v>
      </c>
      <c r="V196" s="67"/>
      <c r="W196" s="67"/>
      <c r="X196" s="67"/>
      <c r="Y196" s="67"/>
      <c r="Z196" s="67"/>
      <c r="AA196" s="67"/>
      <c r="AB196" s="67">
        <f>O196-(SUM(S196:Z196))</f>
        <v>0</v>
      </c>
      <c r="AC196" s="68"/>
      <c r="AD196" s="68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140">
        <v>2</v>
      </c>
      <c r="AS196" s="141" t="s">
        <v>54</v>
      </c>
      <c r="AT196" s="140">
        <v>2</v>
      </c>
      <c r="AU196" s="141" t="s">
        <v>109</v>
      </c>
      <c r="AV196" s="169">
        <v>900000</v>
      </c>
      <c r="AW196" s="71">
        <f t="shared" ref="AW196:AW197" si="64">AV196*AT196*AR196</f>
        <v>3600000</v>
      </c>
    </row>
    <row r="197" spans="1:49" ht="18.75" customHeight="1" x14ac:dyDescent="0.15">
      <c r="A197" s="39"/>
      <c r="B197" s="40"/>
      <c r="C197" s="80"/>
      <c r="D197" s="60" t="s">
        <v>321</v>
      </c>
      <c r="E197" s="42"/>
      <c r="F197" s="43"/>
      <c r="G197" s="139" t="s">
        <v>320</v>
      </c>
      <c r="H197" s="140">
        <v>0</v>
      </c>
      <c r="I197" s="141" t="s">
        <v>54</v>
      </c>
      <c r="J197" s="140">
        <v>2</v>
      </c>
      <c r="K197" s="141" t="s">
        <v>109</v>
      </c>
      <c r="L197" s="67"/>
      <c r="M197" s="66">
        <f t="shared" si="63"/>
        <v>0</v>
      </c>
      <c r="N197" s="116"/>
      <c r="O197" s="67"/>
      <c r="P197" s="53"/>
      <c r="Q197" s="179"/>
      <c r="R197" s="53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8"/>
      <c r="AD197" s="68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268">
        <v>0</v>
      </c>
      <c r="AS197" s="267" t="s">
        <v>54</v>
      </c>
      <c r="AT197" s="268">
        <v>2</v>
      </c>
      <c r="AU197" s="267" t="s">
        <v>109</v>
      </c>
      <c r="AV197" s="188">
        <v>900000</v>
      </c>
      <c r="AW197" s="189">
        <f t="shared" si="64"/>
        <v>0</v>
      </c>
    </row>
    <row r="198" spans="1:49" ht="18.75" customHeight="1" x14ac:dyDescent="0.15">
      <c r="A198" s="39"/>
      <c r="B198" s="40"/>
      <c r="C198" s="80"/>
      <c r="D198" s="42"/>
      <c r="E198" s="42"/>
      <c r="F198" s="43"/>
      <c r="G198" s="44"/>
      <c r="H198" s="112"/>
      <c r="I198" s="113"/>
      <c r="J198" s="112"/>
      <c r="K198" s="113"/>
      <c r="L198" s="67"/>
      <c r="M198" s="66"/>
      <c r="N198" s="116"/>
      <c r="O198" s="67"/>
      <c r="P198" s="53"/>
      <c r="Q198" s="117"/>
      <c r="R198" s="53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8"/>
      <c r="AD198" s="68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112"/>
      <c r="AS198" s="113"/>
      <c r="AT198" s="112"/>
      <c r="AU198" s="113"/>
      <c r="AV198" s="57"/>
      <c r="AW198" s="79"/>
    </row>
    <row r="199" spans="1:49" ht="18.75" customHeight="1" x14ac:dyDescent="0.15">
      <c r="A199" s="39"/>
      <c r="B199" s="40"/>
      <c r="C199" s="41" t="s">
        <v>322</v>
      </c>
      <c r="D199" s="42"/>
      <c r="E199" s="42"/>
      <c r="F199" s="43"/>
      <c r="G199" s="44"/>
      <c r="H199" s="140">
        <v>2</v>
      </c>
      <c r="I199" s="141" t="s">
        <v>323</v>
      </c>
      <c r="J199" s="140">
        <v>1</v>
      </c>
      <c r="K199" s="141" t="s">
        <v>324</v>
      </c>
      <c r="L199" s="67">
        <v>350000</v>
      </c>
      <c r="M199" s="66">
        <f>L199*J199*H199</f>
        <v>700000</v>
      </c>
      <c r="N199" s="116"/>
      <c r="O199" s="67">
        <f>M199</f>
        <v>700000</v>
      </c>
      <c r="P199" s="53"/>
      <c r="Q199" s="117" t="s">
        <v>325</v>
      </c>
      <c r="R199" s="117" t="s">
        <v>312</v>
      </c>
      <c r="S199" s="67"/>
      <c r="T199" s="67"/>
      <c r="U199" s="149"/>
      <c r="V199" s="83">
        <f>O199</f>
        <v>700000</v>
      </c>
      <c r="W199" s="67"/>
      <c r="X199" s="67"/>
      <c r="Y199" s="67"/>
      <c r="Z199" s="67"/>
      <c r="AA199" s="67"/>
      <c r="AB199" s="67">
        <f>O199-(SUM(S199:Z199))</f>
        <v>0</v>
      </c>
      <c r="AC199" s="68"/>
      <c r="AD199" s="68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140">
        <v>2</v>
      </c>
      <c r="AS199" s="141" t="s">
        <v>323</v>
      </c>
      <c r="AT199" s="140">
        <v>1</v>
      </c>
      <c r="AU199" s="141" t="s">
        <v>324</v>
      </c>
      <c r="AV199" s="169">
        <v>500000</v>
      </c>
      <c r="AW199" s="71">
        <f>AV199*AT199*AR199</f>
        <v>1000000</v>
      </c>
    </row>
    <row r="200" spans="1:49" ht="18.75" customHeight="1" x14ac:dyDescent="0.15">
      <c r="A200" s="39"/>
      <c r="B200" s="40"/>
      <c r="C200" s="41" t="s">
        <v>326</v>
      </c>
      <c r="D200" s="42"/>
      <c r="E200" s="42"/>
      <c r="F200" s="43"/>
      <c r="G200" s="44"/>
      <c r="H200" s="112"/>
      <c r="I200" s="113"/>
      <c r="J200" s="112"/>
      <c r="K200" s="113"/>
      <c r="L200" s="67"/>
      <c r="M200" s="66"/>
      <c r="N200" s="116"/>
      <c r="O200" s="67"/>
      <c r="P200" s="53"/>
      <c r="Q200" s="53"/>
      <c r="R200" s="53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8"/>
      <c r="AD200" s="68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112"/>
      <c r="AS200" s="113"/>
      <c r="AT200" s="112"/>
      <c r="AU200" s="113"/>
      <c r="AV200" s="57"/>
      <c r="AW200" s="79"/>
    </row>
    <row r="201" spans="1:49" ht="18.75" customHeight="1" x14ac:dyDescent="0.15">
      <c r="A201" s="39"/>
      <c r="B201" s="40"/>
      <c r="C201" s="80"/>
      <c r="D201" s="60" t="s">
        <v>327</v>
      </c>
      <c r="E201" s="42"/>
      <c r="F201" s="43"/>
      <c r="G201" s="44" t="s">
        <v>328</v>
      </c>
      <c r="H201" s="140">
        <v>30</v>
      </c>
      <c r="I201" s="141" t="s">
        <v>54</v>
      </c>
      <c r="J201" s="140">
        <v>2</v>
      </c>
      <c r="K201" s="141" t="s">
        <v>109</v>
      </c>
      <c r="L201" s="67">
        <v>50000</v>
      </c>
      <c r="M201" s="66">
        <f t="shared" ref="M201:M203" si="65">L201*J201*H201</f>
        <v>3000000</v>
      </c>
      <c r="N201" s="197"/>
      <c r="O201" s="67">
        <v>3640000</v>
      </c>
      <c r="P201" s="53"/>
      <c r="Q201" s="52" t="s">
        <v>114</v>
      </c>
      <c r="R201" s="53" t="s">
        <v>115</v>
      </c>
      <c r="S201" s="67"/>
      <c r="T201" s="67"/>
      <c r="U201" s="83">
        <f>O201</f>
        <v>3640000</v>
      </c>
      <c r="V201" s="67"/>
      <c r="W201" s="67"/>
      <c r="X201" s="67"/>
      <c r="Y201" s="67"/>
      <c r="Z201" s="67"/>
      <c r="AA201" s="67"/>
      <c r="AB201" s="67">
        <f t="shared" ref="AB201:AB202" si="66">O201-(SUM(S201:Z201))</f>
        <v>0</v>
      </c>
      <c r="AC201" s="68"/>
      <c r="AD201" s="68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140">
        <v>30</v>
      </c>
      <c r="AS201" s="141" t="s">
        <v>54</v>
      </c>
      <c r="AT201" s="140">
        <v>2</v>
      </c>
      <c r="AU201" s="141" t="s">
        <v>109</v>
      </c>
      <c r="AV201" s="169">
        <v>90000</v>
      </c>
      <c r="AW201" s="71">
        <f t="shared" ref="AW201:AW203" si="67">AV201*AT201*AR201</f>
        <v>5400000</v>
      </c>
    </row>
    <row r="202" spans="1:49" ht="18.75" customHeight="1" x14ac:dyDescent="0.2">
      <c r="A202" s="39"/>
      <c r="B202" s="40"/>
      <c r="C202" s="80"/>
      <c r="D202" s="60" t="s">
        <v>329</v>
      </c>
      <c r="E202" s="42"/>
      <c r="F202" s="43"/>
      <c r="G202" s="44"/>
      <c r="H202" s="140">
        <v>7</v>
      </c>
      <c r="I202" s="141" t="s">
        <v>54</v>
      </c>
      <c r="J202" s="140">
        <v>2</v>
      </c>
      <c r="K202" s="141" t="s">
        <v>109</v>
      </c>
      <c r="L202" s="67">
        <v>150000</v>
      </c>
      <c r="M202" s="66">
        <f t="shared" si="65"/>
        <v>2100000</v>
      </c>
      <c r="N202" s="197"/>
      <c r="O202" s="67">
        <v>2000000</v>
      </c>
      <c r="P202" s="53" t="b">
        <v>1</v>
      </c>
      <c r="Q202" s="264" t="s">
        <v>251</v>
      </c>
      <c r="R202" s="264" t="s">
        <v>252</v>
      </c>
      <c r="S202" s="67"/>
      <c r="U202" s="149"/>
      <c r="V202" s="67"/>
      <c r="W202" s="67"/>
      <c r="X202" s="67"/>
      <c r="Y202" s="83">
        <f>O202</f>
        <v>2000000</v>
      </c>
      <c r="Z202" s="67"/>
      <c r="AA202" s="67"/>
      <c r="AB202" s="67">
        <f t="shared" si="66"/>
        <v>0</v>
      </c>
      <c r="AC202" s="68"/>
      <c r="AD202" s="68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140">
        <v>7</v>
      </c>
      <c r="AS202" s="141" t="s">
        <v>54</v>
      </c>
      <c r="AT202" s="140">
        <v>2</v>
      </c>
      <c r="AU202" s="141" t="s">
        <v>109</v>
      </c>
      <c r="AV202" s="169">
        <v>350000</v>
      </c>
      <c r="AW202" s="71">
        <f t="shared" si="67"/>
        <v>4900000</v>
      </c>
    </row>
    <row r="203" spans="1:49" ht="18.75" customHeight="1" x14ac:dyDescent="0.15">
      <c r="A203" s="39"/>
      <c r="B203" s="40"/>
      <c r="C203" s="80"/>
      <c r="D203" s="60" t="s">
        <v>330</v>
      </c>
      <c r="E203" s="42"/>
      <c r="F203" s="43"/>
      <c r="G203" s="139" t="s">
        <v>331</v>
      </c>
      <c r="H203" s="140">
        <v>1</v>
      </c>
      <c r="I203" s="141" t="s">
        <v>19</v>
      </c>
      <c r="J203" s="140">
        <v>1</v>
      </c>
      <c r="K203" s="141" t="s">
        <v>20</v>
      </c>
      <c r="L203" s="67">
        <v>1000000</v>
      </c>
      <c r="M203" s="66">
        <f t="shared" si="65"/>
        <v>1000000</v>
      </c>
      <c r="N203" s="197"/>
      <c r="O203" s="67"/>
      <c r="P203" s="53"/>
      <c r="Q203" s="53"/>
      <c r="R203" s="53"/>
      <c r="S203" s="67"/>
      <c r="T203" s="67"/>
      <c r="U203" s="67">
        <f>O203</f>
        <v>0</v>
      </c>
      <c r="V203" s="67"/>
      <c r="W203" s="67"/>
      <c r="X203" s="67"/>
      <c r="Y203" s="67"/>
      <c r="Z203" s="67"/>
      <c r="AA203" s="67"/>
      <c r="AB203" s="67"/>
      <c r="AC203" s="68"/>
      <c r="AD203" s="68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238">
        <v>1</v>
      </c>
      <c r="AS203" s="141" t="s">
        <v>19</v>
      </c>
      <c r="AT203" s="140">
        <v>1</v>
      </c>
      <c r="AU203" s="141" t="s">
        <v>20</v>
      </c>
      <c r="AV203" s="169">
        <v>2000000</v>
      </c>
      <c r="AW203" s="71">
        <f t="shared" si="67"/>
        <v>2000000</v>
      </c>
    </row>
    <row r="204" spans="1:49" ht="18.75" customHeight="1" x14ac:dyDescent="0.15">
      <c r="A204" s="39"/>
      <c r="B204" s="40"/>
      <c r="C204" s="80"/>
      <c r="D204" s="42"/>
      <c r="E204" s="42"/>
      <c r="F204" s="43"/>
      <c r="G204" s="44"/>
      <c r="H204" s="112"/>
      <c r="I204" s="113"/>
      <c r="J204" s="112"/>
      <c r="K204" s="113"/>
      <c r="L204" s="67"/>
      <c r="M204" s="66"/>
      <c r="N204" s="197"/>
      <c r="O204" s="67"/>
      <c r="P204" s="53"/>
      <c r="Q204" s="53"/>
      <c r="R204" s="53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8"/>
      <c r="AD204" s="68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112"/>
      <c r="AS204" s="113"/>
      <c r="AT204" s="112"/>
      <c r="AU204" s="113"/>
      <c r="AV204" s="57"/>
      <c r="AW204" s="79"/>
    </row>
    <row r="205" spans="1:49" ht="18.75" customHeight="1" x14ac:dyDescent="0.15">
      <c r="A205" s="39"/>
      <c r="B205" s="233"/>
      <c r="C205" s="41" t="s">
        <v>332</v>
      </c>
      <c r="D205" s="42"/>
      <c r="E205" s="60"/>
      <c r="F205" s="111"/>
      <c r="G205" s="139" t="s">
        <v>333</v>
      </c>
      <c r="H205" s="140">
        <v>4</v>
      </c>
      <c r="I205" s="141" t="s">
        <v>54</v>
      </c>
      <c r="J205" s="140">
        <v>1</v>
      </c>
      <c r="K205" s="141" t="s">
        <v>20</v>
      </c>
      <c r="L205" s="67">
        <v>300000</v>
      </c>
      <c r="M205" s="66">
        <f t="shared" ref="M205:M206" si="68">L205*J205*H205</f>
        <v>1200000</v>
      </c>
      <c r="N205" s="116"/>
      <c r="O205" s="67"/>
      <c r="P205" s="53"/>
      <c r="Q205" s="53"/>
      <c r="R205" s="53"/>
      <c r="S205" s="67"/>
      <c r="T205" s="67"/>
      <c r="V205" s="67"/>
      <c r="W205" s="67"/>
      <c r="X205" s="67"/>
      <c r="Y205" s="67"/>
      <c r="Z205" s="67"/>
      <c r="AA205" s="67"/>
      <c r="AB205" s="67"/>
      <c r="AC205" s="68"/>
      <c r="AD205" s="68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140">
        <v>4</v>
      </c>
      <c r="AS205" s="141" t="s">
        <v>54</v>
      </c>
      <c r="AT205" s="140">
        <v>1</v>
      </c>
      <c r="AU205" s="141" t="s">
        <v>20</v>
      </c>
      <c r="AV205" s="169">
        <v>500000</v>
      </c>
      <c r="AW205" s="71">
        <f t="shared" ref="AW205:AW206" si="69">AV205*AT205*AR205</f>
        <v>2000000</v>
      </c>
    </row>
    <row r="206" spans="1:49" ht="18.75" customHeight="1" x14ac:dyDescent="0.15">
      <c r="A206" s="39"/>
      <c r="B206" s="40"/>
      <c r="C206" s="41" t="s">
        <v>334</v>
      </c>
      <c r="D206" s="42"/>
      <c r="E206" s="42"/>
      <c r="F206" s="43"/>
      <c r="G206" s="44"/>
      <c r="H206" s="140">
        <v>1</v>
      </c>
      <c r="I206" s="141" t="s">
        <v>19</v>
      </c>
      <c r="J206" s="140">
        <v>1</v>
      </c>
      <c r="K206" s="141" t="s">
        <v>20</v>
      </c>
      <c r="L206" s="67">
        <v>1000000</v>
      </c>
      <c r="M206" s="66">
        <f t="shared" si="68"/>
        <v>1000000</v>
      </c>
      <c r="N206" s="197"/>
      <c r="O206" s="67">
        <v>300000</v>
      </c>
      <c r="P206" s="53"/>
      <c r="Q206" s="52" t="s">
        <v>114</v>
      </c>
      <c r="R206" s="53" t="s">
        <v>115</v>
      </c>
      <c r="S206" s="67"/>
      <c r="T206" s="67"/>
      <c r="U206" s="83">
        <f>O206</f>
        <v>300000</v>
      </c>
      <c r="V206" s="67"/>
      <c r="W206" s="67"/>
      <c r="X206" s="67"/>
      <c r="Y206" s="67"/>
      <c r="Z206" s="67"/>
      <c r="AA206" s="67"/>
      <c r="AB206" s="67">
        <f t="shared" ref="AB206:AB209" si="70">O206-(SUM(S206:Z206))</f>
        <v>0</v>
      </c>
      <c r="AC206" s="68"/>
      <c r="AD206" s="68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140">
        <v>1</v>
      </c>
      <c r="AS206" s="141" t="s">
        <v>19</v>
      </c>
      <c r="AT206" s="140">
        <v>1</v>
      </c>
      <c r="AU206" s="141" t="s">
        <v>20</v>
      </c>
      <c r="AV206" s="169">
        <v>1500000</v>
      </c>
      <c r="AW206" s="71">
        <f t="shared" si="69"/>
        <v>1500000</v>
      </c>
    </row>
    <row r="207" spans="1:49" ht="18.75" customHeight="1" x14ac:dyDescent="0.15">
      <c r="A207" s="39"/>
      <c r="B207" s="40"/>
      <c r="C207" s="41"/>
      <c r="D207" s="42"/>
      <c r="E207" s="42"/>
      <c r="F207" s="43"/>
      <c r="G207" s="44"/>
      <c r="H207" s="140"/>
      <c r="I207" s="141"/>
      <c r="J207" s="140"/>
      <c r="K207" s="141"/>
      <c r="L207" s="67"/>
      <c r="M207" s="66"/>
      <c r="N207" s="197"/>
      <c r="O207" s="67">
        <v>80000</v>
      </c>
      <c r="P207" s="53"/>
      <c r="Q207" s="52" t="s">
        <v>60</v>
      </c>
      <c r="R207" s="53"/>
      <c r="S207" s="67"/>
      <c r="T207" s="67"/>
      <c r="U207" s="67"/>
      <c r="V207" s="67"/>
      <c r="W207" s="67"/>
      <c r="X207" s="83">
        <f t="shared" ref="X207:X208" si="71">O207</f>
        <v>80000</v>
      </c>
      <c r="Y207" s="67"/>
      <c r="Z207" s="67"/>
      <c r="AA207" s="67"/>
      <c r="AB207" s="67">
        <f t="shared" si="70"/>
        <v>0</v>
      </c>
      <c r="AC207" s="68"/>
      <c r="AD207" s="68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140"/>
      <c r="AS207" s="141"/>
      <c r="AT207" s="140"/>
      <c r="AU207" s="141"/>
      <c r="AV207" s="169"/>
      <c r="AW207" s="71"/>
    </row>
    <row r="208" spans="1:49" ht="18.75" customHeight="1" x14ac:dyDescent="0.15">
      <c r="A208" s="39"/>
      <c r="B208" s="40"/>
      <c r="C208" s="41" t="s">
        <v>335</v>
      </c>
      <c r="D208" s="42"/>
      <c r="E208" s="42"/>
      <c r="F208" s="43"/>
      <c r="G208" s="44"/>
      <c r="H208" s="140"/>
      <c r="I208" s="141"/>
      <c r="J208" s="140"/>
      <c r="K208" s="141"/>
      <c r="L208" s="67"/>
      <c r="M208" s="66"/>
      <c r="N208" s="197"/>
      <c r="O208" s="67">
        <v>100000</v>
      </c>
      <c r="P208" s="53"/>
      <c r="Q208" s="53" t="s">
        <v>60</v>
      </c>
      <c r="R208" s="53"/>
      <c r="S208" s="67"/>
      <c r="T208" s="67"/>
      <c r="U208" s="67"/>
      <c r="V208" s="67"/>
      <c r="W208" s="67"/>
      <c r="X208" s="83">
        <f t="shared" si="71"/>
        <v>100000</v>
      </c>
      <c r="Y208" s="67"/>
      <c r="Z208" s="67"/>
      <c r="AA208" s="67"/>
      <c r="AB208" s="67">
        <f t="shared" si="70"/>
        <v>0</v>
      </c>
      <c r="AC208" s="68"/>
      <c r="AD208" s="68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140"/>
      <c r="AS208" s="141"/>
      <c r="AT208" s="140"/>
      <c r="AU208" s="141"/>
      <c r="AV208" s="169"/>
      <c r="AW208" s="71"/>
    </row>
    <row r="209" spans="1:49" ht="18.75" customHeight="1" x14ac:dyDescent="0.15">
      <c r="A209" s="39"/>
      <c r="B209" s="40"/>
      <c r="C209" s="41" t="s">
        <v>336</v>
      </c>
      <c r="D209" s="42"/>
      <c r="E209" s="42"/>
      <c r="F209" s="43"/>
      <c r="G209" s="44"/>
      <c r="H209" s="140">
        <v>0</v>
      </c>
      <c r="I209" s="141" t="s">
        <v>54</v>
      </c>
      <c r="J209" s="140">
        <v>1</v>
      </c>
      <c r="K209" s="141" t="s">
        <v>109</v>
      </c>
      <c r="L209" s="67" t="s">
        <v>43</v>
      </c>
      <c r="M209" s="96" t="s">
        <v>43</v>
      </c>
      <c r="N209" s="197"/>
      <c r="O209" s="67"/>
      <c r="P209" s="53"/>
      <c r="Q209" s="53"/>
      <c r="R209" s="53"/>
      <c r="S209" s="67"/>
      <c r="T209" s="67"/>
      <c r="U209" s="67"/>
      <c r="V209" s="67"/>
      <c r="W209" s="67"/>
      <c r="X209" s="67"/>
      <c r="Y209" s="67"/>
      <c r="Z209" s="67"/>
      <c r="AA209" s="67"/>
      <c r="AB209" s="67">
        <f t="shared" si="70"/>
        <v>0</v>
      </c>
      <c r="AC209" s="68"/>
      <c r="AD209" s="68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268">
        <v>0</v>
      </c>
      <c r="AS209" s="267" t="s">
        <v>54</v>
      </c>
      <c r="AT209" s="268">
        <v>1</v>
      </c>
      <c r="AU209" s="267" t="s">
        <v>109</v>
      </c>
      <c r="AV209" s="188">
        <v>500000</v>
      </c>
      <c r="AW209" s="189">
        <f>AV209*AT209*AR209</f>
        <v>0</v>
      </c>
    </row>
    <row r="210" spans="1:49" ht="18.75" customHeight="1" x14ac:dyDescent="0.15">
      <c r="A210" s="39"/>
      <c r="B210" s="40"/>
      <c r="C210" s="80"/>
      <c r="D210" s="42"/>
      <c r="E210" s="42"/>
      <c r="F210" s="43"/>
      <c r="G210" s="44"/>
      <c r="H210" s="112"/>
      <c r="I210" s="113"/>
      <c r="J210" s="112"/>
      <c r="K210" s="113"/>
      <c r="L210" s="67"/>
      <c r="M210" s="137"/>
      <c r="N210" s="197"/>
      <c r="O210" s="67"/>
      <c r="P210" s="117"/>
      <c r="Q210" s="117"/>
      <c r="R210" s="117"/>
      <c r="S210" s="118"/>
      <c r="T210" s="118"/>
      <c r="U210" s="118"/>
      <c r="V210" s="118"/>
      <c r="W210" s="118"/>
      <c r="X210" s="118"/>
      <c r="Y210" s="118"/>
      <c r="Z210" s="118"/>
      <c r="AA210" s="118"/>
      <c r="AB210" s="67"/>
      <c r="AC210" s="119"/>
      <c r="AD210" s="119"/>
      <c r="AE210" s="116"/>
      <c r="AF210" s="116"/>
      <c r="AG210" s="116"/>
      <c r="AH210" s="116"/>
      <c r="AI210" s="116"/>
      <c r="AJ210" s="116"/>
      <c r="AK210" s="116"/>
      <c r="AL210" s="116"/>
      <c r="AM210" s="116"/>
      <c r="AN210" s="116"/>
      <c r="AO210" s="116"/>
      <c r="AP210" s="116"/>
      <c r="AQ210" s="116"/>
      <c r="AR210" s="112"/>
      <c r="AS210" s="113"/>
      <c r="AT210" s="112"/>
      <c r="AU210" s="113"/>
      <c r="AV210" s="57"/>
      <c r="AW210" s="138"/>
    </row>
    <row r="211" spans="1:49" ht="18.75" customHeight="1" thickBot="1" x14ac:dyDescent="0.2">
      <c r="A211" s="39"/>
      <c r="B211" s="290"/>
      <c r="C211" s="291"/>
      <c r="D211" s="292"/>
      <c r="E211" s="292"/>
      <c r="F211" s="293"/>
      <c r="G211" s="294"/>
      <c r="H211" s="295"/>
      <c r="I211" s="296"/>
      <c r="J211" s="296"/>
      <c r="K211" s="297"/>
      <c r="L211" s="298"/>
      <c r="M211" s="299"/>
      <c r="N211" s="56"/>
      <c r="O211" s="67"/>
      <c r="P211" s="117"/>
      <c r="Q211" s="117"/>
      <c r="R211" s="117"/>
      <c r="S211" s="118"/>
      <c r="T211" s="118"/>
      <c r="U211" s="118"/>
      <c r="V211" s="118"/>
      <c r="W211" s="118"/>
      <c r="X211" s="118"/>
      <c r="Y211" s="118"/>
      <c r="Z211" s="118"/>
      <c r="AA211" s="118"/>
      <c r="AB211" s="67"/>
      <c r="AC211" s="276"/>
      <c r="AD211" s="276"/>
      <c r="AE211" s="197"/>
      <c r="AF211" s="197"/>
      <c r="AG211" s="197"/>
      <c r="AH211" s="197"/>
      <c r="AI211" s="197"/>
      <c r="AJ211" s="197"/>
      <c r="AK211" s="197"/>
      <c r="AL211" s="197"/>
      <c r="AM211" s="197"/>
      <c r="AN211" s="197"/>
      <c r="AO211" s="197"/>
      <c r="AP211" s="197"/>
      <c r="AQ211" s="197"/>
      <c r="AR211" s="295"/>
      <c r="AS211" s="296"/>
      <c r="AT211" s="296"/>
      <c r="AU211" s="297"/>
      <c r="AV211" s="300"/>
      <c r="AW211" s="301"/>
    </row>
    <row r="212" spans="1:49" ht="18.75" customHeight="1" x14ac:dyDescent="0.15">
      <c r="A212" s="302"/>
      <c r="B212" s="302"/>
      <c r="C212" s="207"/>
      <c r="D212" s="207"/>
      <c r="E212" s="207"/>
      <c r="F212" s="303"/>
      <c r="G212" s="303"/>
      <c r="H212" s="304"/>
      <c r="I212" s="305"/>
      <c r="J212" s="305"/>
      <c r="K212" s="306" t="s">
        <v>337</v>
      </c>
      <c r="L212" s="307">
        <f>SUM(M4:M211)</f>
        <v>271657000</v>
      </c>
      <c r="M212" s="308"/>
      <c r="N212" s="56"/>
      <c r="O212" s="67"/>
      <c r="P212" s="117"/>
      <c r="Q212" s="117"/>
      <c r="R212" s="117"/>
      <c r="S212" s="118"/>
      <c r="T212" s="118"/>
      <c r="U212" s="118"/>
      <c r="V212" s="118"/>
      <c r="W212" s="118"/>
      <c r="X212" s="118"/>
      <c r="Y212" s="118"/>
      <c r="Z212" s="118"/>
      <c r="AA212" s="118"/>
      <c r="AB212" s="67"/>
      <c r="AC212" s="309"/>
      <c r="AD212" s="309"/>
      <c r="AE212" s="310"/>
      <c r="AF212" s="310"/>
      <c r="AG212" s="310"/>
      <c r="AH212" s="310"/>
      <c r="AI212" s="310"/>
      <c r="AJ212" s="310"/>
      <c r="AK212" s="310"/>
      <c r="AL212" s="310"/>
      <c r="AM212" s="310"/>
      <c r="AN212" s="310"/>
      <c r="AO212" s="310"/>
      <c r="AP212" s="310"/>
      <c r="AQ212" s="310"/>
      <c r="AR212" s="207"/>
      <c r="AS212" s="207"/>
      <c r="AT212" s="207"/>
      <c r="AU212" s="311" t="s">
        <v>337</v>
      </c>
      <c r="AV212" s="206"/>
      <c r="AW212" s="312">
        <f>SUM(AW4:AW211)</f>
        <v>321675000</v>
      </c>
    </row>
    <row r="213" spans="1:49" ht="18.75" customHeight="1" x14ac:dyDescent="0.15">
      <c r="A213" s="302"/>
      <c r="B213" s="302"/>
      <c r="C213" s="207"/>
      <c r="D213" s="207"/>
      <c r="E213" s="207"/>
      <c r="F213" s="303"/>
      <c r="G213" s="303"/>
      <c r="H213" s="313"/>
      <c r="I213" s="314"/>
      <c r="J213" s="315"/>
      <c r="K213" s="316" t="s">
        <v>338</v>
      </c>
      <c r="L213" s="317">
        <v>5000000</v>
      </c>
      <c r="M213" s="318"/>
      <c r="N213" s="56"/>
      <c r="O213" s="81">
        <v>5000000</v>
      </c>
      <c r="P213" s="117"/>
      <c r="Q213" s="117" t="s">
        <v>325</v>
      </c>
      <c r="R213" s="117" t="s">
        <v>312</v>
      </c>
      <c r="S213" s="118"/>
      <c r="T213" s="118"/>
      <c r="U213" s="240">
        <f>2000000</f>
        <v>2000000</v>
      </c>
      <c r="V213" s="240">
        <v>1300000</v>
      </c>
      <c r="W213" s="118"/>
      <c r="X213" s="118"/>
      <c r="Y213" s="118"/>
      <c r="Z213" s="118"/>
      <c r="AA213" s="118"/>
      <c r="AB213" s="81">
        <f>O213-U213-V213-V214-W215-X215</f>
        <v>173209</v>
      </c>
      <c r="AC213" s="309"/>
      <c r="AD213" s="309"/>
      <c r="AE213" s="310"/>
      <c r="AF213" s="310"/>
      <c r="AG213" s="310"/>
      <c r="AH213" s="310"/>
      <c r="AI213" s="310"/>
      <c r="AJ213" s="310"/>
      <c r="AK213" s="310"/>
      <c r="AL213" s="310"/>
      <c r="AM213" s="310"/>
      <c r="AN213" s="310"/>
      <c r="AO213" s="310"/>
      <c r="AP213" s="310"/>
      <c r="AQ213" s="310"/>
      <c r="AR213" s="207"/>
      <c r="AS213" s="207"/>
      <c r="AT213" s="207"/>
      <c r="AU213" s="319"/>
      <c r="AV213" s="319"/>
      <c r="AW213" s="312"/>
    </row>
    <row r="214" spans="1:49" ht="18.75" customHeight="1" x14ac:dyDescent="0.15">
      <c r="A214" s="302"/>
      <c r="B214" s="302"/>
      <c r="C214" s="207"/>
      <c r="D214" s="207"/>
      <c r="E214" s="207"/>
      <c r="F214" s="303"/>
      <c r="G214" s="303"/>
      <c r="H214" s="313"/>
      <c r="I214" s="314"/>
      <c r="J214" s="315"/>
      <c r="K214" s="316"/>
      <c r="L214" s="320"/>
      <c r="M214" s="318"/>
      <c r="N214" s="56"/>
      <c r="O214" s="87"/>
      <c r="P214" s="117"/>
      <c r="Q214" s="117"/>
      <c r="R214" s="117" t="s">
        <v>339</v>
      </c>
      <c r="S214" s="118"/>
      <c r="T214" s="118"/>
      <c r="U214" s="118"/>
      <c r="V214" s="240">
        <v>1000000</v>
      </c>
      <c r="W214" s="118"/>
      <c r="X214" s="118"/>
      <c r="Y214" s="118"/>
      <c r="Z214" s="118"/>
      <c r="AA214" s="118"/>
      <c r="AB214" s="87"/>
      <c r="AC214" s="309"/>
      <c r="AD214" s="309"/>
      <c r="AE214" s="310"/>
      <c r="AF214" s="310"/>
      <c r="AG214" s="310"/>
      <c r="AH214" s="310"/>
      <c r="AI214" s="310"/>
      <c r="AJ214" s="310"/>
      <c r="AK214" s="310"/>
      <c r="AL214" s="310"/>
      <c r="AM214" s="310"/>
      <c r="AN214" s="310"/>
      <c r="AO214" s="310"/>
      <c r="AP214" s="310"/>
      <c r="AQ214" s="310"/>
      <c r="AR214" s="207"/>
      <c r="AS214" s="207"/>
      <c r="AT214" s="207"/>
      <c r="AU214" s="319"/>
      <c r="AV214" s="319"/>
      <c r="AW214" s="312"/>
    </row>
    <row r="215" spans="1:49" ht="18.75" customHeight="1" x14ac:dyDescent="0.15">
      <c r="A215" s="302"/>
      <c r="B215" s="302"/>
      <c r="C215" s="207"/>
      <c r="D215" s="207"/>
      <c r="E215" s="207"/>
      <c r="F215" s="303"/>
      <c r="G215" s="303"/>
      <c r="H215" s="313"/>
      <c r="I215" s="314"/>
      <c r="J215" s="315"/>
      <c r="K215" s="316"/>
      <c r="L215" s="321"/>
      <c r="M215" s="322"/>
      <c r="N215" s="56"/>
      <c r="O215" s="133"/>
      <c r="P215" s="117"/>
      <c r="Q215" s="117"/>
      <c r="R215" s="53" t="s">
        <v>115</v>
      </c>
      <c r="S215" s="118"/>
      <c r="T215" s="118"/>
      <c r="U215" s="118"/>
      <c r="V215" s="118"/>
      <c r="W215" s="240">
        <v>500000</v>
      </c>
      <c r="X215" s="240">
        <v>26791</v>
      </c>
      <c r="Y215" s="118"/>
      <c r="Z215" s="118"/>
      <c r="AA215" s="118"/>
      <c r="AB215" s="133"/>
      <c r="AC215" s="309"/>
      <c r="AD215" s="309"/>
      <c r="AE215" s="310"/>
      <c r="AF215" s="310"/>
      <c r="AG215" s="310"/>
      <c r="AH215" s="310"/>
      <c r="AI215" s="310"/>
      <c r="AJ215" s="310"/>
      <c r="AK215" s="310"/>
      <c r="AL215" s="310"/>
      <c r="AM215" s="310"/>
      <c r="AN215" s="310"/>
      <c r="AO215" s="310"/>
      <c r="AP215" s="310"/>
      <c r="AQ215" s="310"/>
      <c r="AR215" s="207"/>
      <c r="AS215" s="207"/>
      <c r="AT215" s="207"/>
      <c r="AU215" s="319"/>
      <c r="AV215" s="319"/>
      <c r="AW215" s="312"/>
    </row>
    <row r="216" spans="1:49" ht="18.75" customHeight="1" x14ac:dyDescent="0.15">
      <c r="A216" s="302"/>
      <c r="B216" s="302"/>
      <c r="C216" s="207"/>
      <c r="D216" s="207"/>
      <c r="E216" s="207"/>
      <c r="F216" s="303"/>
      <c r="G216" s="303"/>
      <c r="H216" s="313"/>
      <c r="I216" s="314"/>
      <c r="J216" s="315"/>
      <c r="K216" s="323" t="s">
        <v>340</v>
      </c>
      <c r="L216" s="324">
        <v>10000000</v>
      </c>
      <c r="M216" s="322"/>
      <c r="N216" s="56"/>
      <c r="O216" s="67"/>
      <c r="P216" s="117"/>
      <c r="Q216" s="117"/>
      <c r="R216" s="117"/>
      <c r="S216" s="118"/>
      <c r="T216" s="118"/>
      <c r="U216" s="118"/>
      <c r="V216" s="118"/>
      <c r="W216" s="118"/>
      <c r="X216" s="118"/>
      <c r="Y216" s="118">
        <f>O216</f>
        <v>0</v>
      </c>
      <c r="Z216" s="118"/>
      <c r="AA216" s="118"/>
      <c r="AB216" s="67">
        <f>O216-(SUM(S216:Z216))</f>
        <v>0</v>
      </c>
      <c r="AC216" s="309"/>
      <c r="AD216" s="309"/>
      <c r="AE216" s="310"/>
      <c r="AF216" s="310"/>
      <c r="AG216" s="310"/>
      <c r="AH216" s="310"/>
      <c r="AI216" s="310"/>
      <c r="AJ216" s="310"/>
      <c r="AK216" s="310"/>
      <c r="AL216" s="310"/>
      <c r="AM216" s="310"/>
      <c r="AN216" s="310"/>
      <c r="AO216" s="310"/>
      <c r="AP216" s="310"/>
      <c r="AQ216" s="310"/>
      <c r="AR216" s="207"/>
      <c r="AS216" s="207"/>
      <c r="AT216" s="207"/>
      <c r="AU216" s="325" t="s">
        <v>341</v>
      </c>
      <c r="AV216" s="13"/>
      <c r="AW216" s="326">
        <f>AW212*10%</f>
        <v>32167500</v>
      </c>
    </row>
    <row r="217" spans="1:49" ht="18.75" customHeight="1" x14ac:dyDescent="0.15">
      <c r="A217" s="302"/>
      <c r="B217" s="302"/>
      <c r="C217" s="207"/>
      <c r="D217" s="207"/>
      <c r="E217" s="207"/>
      <c r="F217" s="303"/>
      <c r="G217" s="303"/>
      <c r="H217" s="313"/>
      <c r="I217" s="314"/>
      <c r="J217" s="315"/>
      <c r="K217" s="323"/>
      <c r="L217" s="324"/>
      <c r="M217" s="322"/>
      <c r="N217" s="56"/>
      <c r="O217" s="327">
        <v>4000000</v>
      </c>
      <c r="P217" s="117"/>
      <c r="Q217" s="117" t="s">
        <v>342</v>
      </c>
      <c r="R217" s="117" t="s">
        <v>339</v>
      </c>
      <c r="S217" s="118"/>
      <c r="T217" s="118"/>
      <c r="U217" s="118"/>
      <c r="V217" s="118"/>
      <c r="W217" s="118"/>
      <c r="X217" s="118"/>
      <c r="Y217" s="118"/>
      <c r="Z217" s="328">
        <f t="shared" ref="Z217:Z224" si="72">O217</f>
        <v>4000000</v>
      </c>
      <c r="AA217" s="118"/>
      <c r="AB217" s="67"/>
      <c r="AC217" s="309"/>
      <c r="AD217" s="309"/>
      <c r="AE217" s="310"/>
      <c r="AF217" s="310"/>
      <c r="AG217" s="310"/>
      <c r="AH217" s="310"/>
      <c r="AI217" s="310"/>
      <c r="AJ217" s="310"/>
      <c r="AK217" s="310"/>
      <c r="AL217" s="310"/>
      <c r="AM217" s="310"/>
      <c r="AN217" s="310"/>
      <c r="AO217" s="310"/>
      <c r="AP217" s="310"/>
      <c r="AQ217" s="310"/>
      <c r="AR217" s="207"/>
      <c r="AS217" s="207"/>
      <c r="AT217" s="207"/>
      <c r="AU217" s="329"/>
      <c r="AV217" s="329"/>
      <c r="AW217" s="326"/>
    </row>
    <row r="218" spans="1:49" ht="18.75" customHeight="1" x14ac:dyDescent="0.15">
      <c r="A218" s="302"/>
      <c r="B218" s="302"/>
      <c r="C218" s="207"/>
      <c r="D218" s="207"/>
      <c r="E218" s="207"/>
      <c r="F218" s="303"/>
      <c r="G218" s="303"/>
      <c r="H218" s="313"/>
      <c r="I218" s="314"/>
      <c r="J218" s="315"/>
      <c r="K218" s="323"/>
      <c r="L218" s="324"/>
      <c r="M218" s="322"/>
      <c r="N218" s="56"/>
      <c r="O218" s="327">
        <v>500000</v>
      </c>
      <c r="P218" s="117"/>
      <c r="Q218" s="117" t="s">
        <v>343</v>
      </c>
      <c r="R218" s="117" t="s">
        <v>344</v>
      </c>
      <c r="S218" s="118"/>
      <c r="T218" s="118"/>
      <c r="U218" s="118"/>
      <c r="V218" s="118"/>
      <c r="W218" s="118"/>
      <c r="X218" s="118"/>
      <c r="Y218" s="118"/>
      <c r="Z218" s="328">
        <f t="shared" si="72"/>
        <v>500000</v>
      </c>
      <c r="AA218" s="118"/>
      <c r="AB218" s="67"/>
      <c r="AC218" s="309"/>
      <c r="AD218" s="309"/>
      <c r="AE218" s="310"/>
      <c r="AF218" s="310"/>
      <c r="AG218" s="310"/>
      <c r="AH218" s="310"/>
      <c r="AI218" s="310"/>
      <c r="AJ218" s="310"/>
      <c r="AK218" s="310"/>
      <c r="AL218" s="310"/>
      <c r="AM218" s="310"/>
      <c r="AN218" s="310"/>
      <c r="AO218" s="310"/>
      <c r="AP218" s="310"/>
      <c r="AQ218" s="310"/>
      <c r="AR218" s="207"/>
      <c r="AS218" s="207"/>
      <c r="AT218" s="207"/>
      <c r="AU218" s="329"/>
      <c r="AV218" s="329"/>
      <c r="AW218" s="326"/>
    </row>
    <row r="219" spans="1:49" ht="18.75" customHeight="1" x14ac:dyDescent="0.15">
      <c r="A219" s="302"/>
      <c r="B219" s="302"/>
      <c r="C219" s="207"/>
      <c r="D219" s="207"/>
      <c r="E219" s="207"/>
      <c r="F219" s="303"/>
      <c r="G219" s="303"/>
      <c r="H219" s="313"/>
      <c r="I219" s="314"/>
      <c r="J219" s="315"/>
      <c r="K219" s="323"/>
      <c r="L219" s="324"/>
      <c r="M219" s="322"/>
      <c r="N219" s="56"/>
      <c r="O219" s="327">
        <v>2500000</v>
      </c>
      <c r="P219" s="117"/>
      <c r="Q219" s="117" t="s">
        <v>345</v>
      </c>
      <c r="R219" s="117" t="s">
        <v>346</v>
      </c>
      <c r="S219" s="118"/>
      <c r="T219" s="118"/>
      <c r="U219" s="118"/>
      <c r="V219" s="118"/>
      <c r="W219" s="118"/>
      <c r="X219" s="118"/>
      <c r="Y219" s="118"/>
      <c r="Z219" s="328">
        <f t="shared" si="72"/>
        <v>2500000</v>
      </c>
      <c r="AA219" s="118"/>
      <c r="AB219" s="67"/>
      <c r="AC219" s="309"/>
      <c r="AD219" s="309"/>
      <c r="AE219" s="310"/>
      <c r="AF219" s="310"/>
      <c r="AG219" s="310"/>
      <c r="AH219" s="310"/>
      <c r="AI219" s="310"/>
      <c r="AJ219" s="310"/>
      <c r="AK219" s="310"/>
      <c r="AL219" s="310"/>
      <c r="AM219" s="310"/>
      <c r="AN219" s="310"/>
      <c r="AO219" s="310"/>
      <c r="AP219" s="310"/>
      <c r="AQ219" s="310"/>
      <c r="AR219" s="207"/>
      <c r="AS219" s="207"/>
      <c r="AT219" s="207"/>
      <c r="AU219" s="329"/>
      <c r="AV219" s="329"/>
      <c r="AW219" s="326"/>
    </row>
    <row r="220" spans="1:49" ht="18.75" customHeight="1" x14ac:dyDescent="0.15">
      <c r="A220" s="302"/>
      <c r="B220" s="302"/>
      <c r="C220" s="207"/>
      <c r="D220" s="207"/>
      <c r="E220" s="207"/>
      <c r="F220" s="303"/>
      <c r="G220" s="303"/>
      <c r="H220" s="313"/>
      <c r="I220" s="314"/>
      <c r="J220" s="315"/>
      <c r="K220" s="323"/>
      <c r="L220" s="324"/>
      <c r="M220" s="322"/>
      <c r="N220" s="56"/>
      <c r="O220" s="327">
        <v>4000000</v>
      </c>
      <c r="P220" s="117"/>
      <c r="Q220" s="117" t="s">
        <v>347</v>
      </c>
      <c r="R220" s="117" t="s">
        <v>348</v>
      </c>
      <c r="S220" s="118"/>
      <c r="T220" s="118"/>
      <c r="U220" s="118"/>
      <c r="V220" s="118"/>
      <c r="W220" s="118"/>
      <c r="X220" s="118"/>
      <c r="Y220" s="118"/>
      <c r="Z220" s="328">
        <f t="shared" si="72"/>
        <v>4000000</v>
      </c>
      <c r="AA220" s="118"/>
      <c r="AB220" s="67"/>
      <c r="AC220" s="309"/>
      <c r="AD220" s="309"/>
      <c r="AE220" s="310"/>
      <c r="AF220" s="310"/>
      <c r="AG220" s="310"/>
      <c r="AH220" s="310"/>
      <c r="AI220" s="310"/>
      <c r="AJ220" s="310"/>
      <c r="AK220" s="310"/>
      <c r="AL220" s="310"/>
      <c r="AM220" s="310"/>
      <c r="AN220" s="310"/>
      <c r="AO220" s="310"/>
      <c r="AP220" s="310"/>
      <c r="AQ220" s="310"/>
      <c r="AR220" s="207"/>
      <c r="AS220" s="207"/>
      <c r="AT220" s="207"/>
      <c r="AU220" s="329"/>
      <c r="AV220" s="329"/>
      <c r="AW220" s="326"/>
    </row>
    <row r="221" spans="1:49" ht="18.75" customHeight="1" x14ac:dyDescent="0.15">
      <c r="A221" s="302"/>
      <c r="B221" s="302"/>
      <c r="C221" s="207"/>
      <c r="D221" s="207"/>
      <c r="E221" s="207"/>
      <c r="F221" s="303"/>
      <c r="G221" s="303"/>
      <c r="H221" s="313"/>
      <c r="I221" s="314"/>
      <c r="J221" s="315"/>
      <c r="K221" s="323"/>
      <c r="L221" s="324"/>
      <c r="M221" s="322"/>
      <c r="N221" s="56"/>
      <c r="O221" s="327">
        <v>1000000</v>
      </c>
      <c r="P221" s="117"/>
      <c r="Q221" s="117" t="s">
        <v>349</v>
      </c>
      <c r="R221" s="117" t="s">
        <v>350</v>
      </c>
      <c r="S221" s="118"/>
      <c r="T221" s="118"/>
      <c r="U221" s="118"/>
      <c r="V221" s="118"/>
      <c r="W221" s="118"/>
      <c r="X221" s="118"/>
      <c r="Y221" s="118"/>
      <c r="Z221" s="328">
        <f t="shared" si="72"/>
        <v>1000000</v>
      </c>
      <c r="AA221" s="118"/>
      <c r="AB221" s="67"/>
      <c r="AC221" s="309"/>
      <c r="AD221" s="309"/>
      <c r="AE221" s="310"/>
      <c r="AF221" s="310"/>
      <c r="AG221" s="310"/>
      <c r="AH221" s="310"/>
      <c r="AI221" s="310"/>
      <c r="AJ221" s="310"/>
      <c r="AK221" s="310"/>
      <c r="AL221" s="310"/>
      <c r="AM221" s="310"/>
      <c r="AN221" s="310"/>
      <c r="AO221" s="310"/>
      <c r="AP221" s="310"/>
      <c r="AQ221" s="310"/>
      <c r="AR221" s="207"/>
      <c r="AS221" s="207"/>
      <c r="AT221" s="207"/>
      <c r="AU221" s="329"/>
      <c r="AV221" s="329"/>
      <c r="AW221" s="326"/>
    </row>
    <row r="222" spans="1:49" ht="18.75" customHeight="1" x14ac:dyDescent="0.15">
      <c r="A222" s="302"/>
      <c r="B222" s="302"/>
      <c r="C222" s="207"/>
      <c r="D222" s="207"/>
      <c r="E222" s="207"/>
      <c r="F222" s="303"/>
      <c r="G222" s="303"/>
      <c r="H222" s="313"/>
      <c r="I222" s="314"/>
      <c r="J222" s="315"/>
      <c r="K222" s="323"/>
      <c r="L222" s="324"/>
      <c r="M222" s="322"/>
      <c r="N222" s="56"/>
      <c r="O222" s="327">
        <v>500000</v>
      </c>
      <c r="P222" s="117"/>
      <c r="Q222" s="117" t="s">
        <v>351</v>
      </c>
      <c r="R222" s="117" t="s">
        <v>352</v>
      </c>
      <c r="S222" s="118"/>
      <c r="T222" s="118"/>
      <c r="U222" s="118"/>
      <c r="V222" s="118"/>
      <c r="W222" s="118"/>
      <c r="X222" s="118"/>
      <c r="Y222" s="118"/>
      <c r="Z222" s="328">
        <f t="shared" si="72"/>
        <v>500000</v>
      </c>
      <c r="AA222" s="118"/>
      <c r="AB222" s="67"/>
      <c r="AC222" s="309"/>
      <c r="AD222" s="309"/>
      <c r="AE222" s="310"/>
      <c r="AF222" s="310"/>
      <c r="AG222" s="310"/>
      <c r="AH222" s="310"/>
      <c r="AI222" s="310"/>
      <c r="AJ222" s="310"/>
      <c r="AK222" s="310"/>
      <c r="AL222" s="310"/>
      <c r="AM222" s="310"/>
      <c r="AN222" s="310"/>
      <c r="AO222" s="310"/>
      <c r="AP222" s="310"/>
      <c r="AQ222" s="310"/>
      <c r="AR222" s="207"/>
      <c r="AS222" s="207"/>
      <c r="AT222" s="207"/>
      <c r="AU222" s="329"/>
      <c r="AV222" s="329"/>
      <c r="AW222" s="326"/>
    </row>
    <row r="223" spans="1:49" ht="18.75" customHeight="1" x14ac:dyDescent="0.15">
      <c r="A223" s="302"/>
      <c r="B223" s="302"/>
      <c r="C223" s="207"/>
      <c r="D223" s="207"/>
      <c r="E223" s="207"/>
      <c r="F223" s="303"/>
      <c r="G223" s="303"/>
      <c r="H223" s="313"/>
      <c r="I223" s="314"/>
      <c r="J223" s="315"/>
      <c r="K223" s="323"/>
      <c r="L223" s="324"/>
      <c r="M223" s="322"/>
      <c r="N223" s="56"/>
      <c r="O223" s="327">
        <v>1500000</v>
      </c>
      <c r="P223" s="117"/>
      <c r="Q223" s="117" t="s">
        <v>353</v>
      </c>
      <c r="R223" s="117" t="s">
        <v>354</v>
      </c>
      <c r="S223" s="118"/>
      <c r="T223" s="118"/>
      <c r="U223" s="118"/>
      <c r="V223" s="118"/>
      <c r="W223" s="118"/>
      <c r="X223" s="118"/>
      <c r="Y223" s="118"/>
      <c r="Z223" s="328">
        <f t="shared" si="72"/>
        <v>1500000</v>
      </c>
      <c r="AA223" s="118"/>
      <c r="AB223" s="67"/>
      <c r="AC223" s="309"/>
      <c r="AD223" s="309"/>
      <c r="AE223" s="310"/>
      <c r="AF223" s="310"/>
      <c r="AG223" s="310"/>
      <c r="AH223" s="310"/>
      <c r="AI223" s="310"/>
      <c r="AJ223" s="310"/>
      <c r="AK223" s="310"/>
      <c r="AL223" s="310"/>
      <c r="AM223" s="310"/>
      <c r="AN223" s="310"/>
      <c r="AO223" s="310"/>
      <c r="AP223" s="310"/>
      <c r="AQ223" s="310"/>
      <c r="AR223" s="207"/>
      <c r="AS223" s="207"/>
      <c r="AT223" s="207"/>
      <c r="AU223" s="329"/>
      <c r="AV223" s="329"/>
      <c r="AW223" s="326"/>
    </row>
    <row r="224" spans="1:49" ht="18.75" customHeight="1" x14ac:dyDescent="0.15">
      <c r="A224" s="302"/>
      <c r="B224" s="302"/>
      <c r="C224" s="207"/>
      <c r="D224" s="207"/>
      <c r="E224" s="207"/>
      <c r="F224" s="303"/>
      <c r="G224" s="303"/>
      <c r="H224" s="313"/>
      <c r="I224" s="314"/>
      <c r="J224" s="315"/>
      <c r="K224" s="323"/>
      <c r="L224" s="324"/>
      <c r="M224" s="322"/>
      <c r="N224" s="56"/>
      <c r="O224" s="327">
        <v>2000000</v>
      </c>
      <c r="P224" s="117"/>
      <c r="Q224" s="117" t="s">
        <v>355</v>
      </c>
      <c r="R224" s="117" t="s">
        <v>356</v>
      </c>
      <c r="S224" s="118"/>
      <c r="T224" s="118"/>
      <c r="U224" s="118"/>
      <c r="V224" s="118"/>
      <c r="W224" s="118"/>
      <c r="X224" s="118"/>
      <c r="Y224" s="118"/>
      <c r="Z224" s="328">
        <f t="shared" si="72"/>
        <v>2000000</v>
      </c>
      <c r="AA224" s="118"/>
      <c r="AB224" s="67"/>
      <c r="AC224" s="309"/>
      <c r="AD224" s="309"/>
      <c r="AE224" s="310"/>
      <c r="AF224" s="310"/>
      <c r="AG224" s="310"/>
      <c r="AH224" s="310"/>
      <c r="AI224" s="310"/>
      <c r="AJ224" s="310"/>
      <c r="AK224" s="310"/>
      <c r="AL224" s="310"/>
      <c r="AM224" s="310"/>
      <c r="AN224" s="310"/>
      <c r="AO224" s="310"/>
      <c r="AP224" s="310"/>
      <c r="AQ224" s="310"/>
      <c r="AR224" s="207"/>
      <c r="AS224" s="207"/>
      <c r="AT224" s="207"/>
      <c r="AU224" s="329"/>
      <c r="AV224" s="329"/>
      <c r="AW224" s="326"/>
    </row>
    <row r="225" spans="1:49" ht="18.75" hidden="1" customHeight="1" x14ac:dyDescent="0.15">
      <c r="A225" s="302"/>
      <c r="B225" s="302"/>
      <c r="C225" s="207"/>
      <c r="D225" s="207"/>
      <c r="E225" s="207"/>
      <c r="F225" s="303"/>
      <c r="G225" s="303"/>
      <c r="H225" s="313"/>
      <c r="I225" s="314"/>
      <c r="J225" s="314"/>
      <c r="K225" s="330"/>
      <c r="L225" s="331"/>
      <c r="M225" s="322"/>
      <c r="N225" s="56" t="s">
        <v>357</v>
      </c>
      <c r="O225" s="67"/>
      <c r="P225" s="274"/>
      <c r="Q225" s="274"/>
      <c r="R225" s="274"/>
      <c r="S225" s="275"/>
      <c r="T225" s="275"/>
      <c r="U225" s="275"/>
      <c r="V225" s="275"/>
      <c r="W225" s="275"/>
      <c r="X225" s="275"/>
      <c r="Y225" s="275"/>
      <c r="Z225" s="275"/>
      <c r="AA225" s="275"/>
      <c r="AB225" s="67">
        <f>O225-(SUM(S225:Z225))</f>
        <v>0</v>
      </c>
      <c r="AC225" s="309"/>
      <c r="AD225" s="309"/>
      <c r="AE225" s="310"/>
      <c r="AF225" s="310"/>
      <c r="AG225" s="310"/>
      <c r="AH225" s="310"/>
      <c r="AI225" s="310"/>
      <c r="AJ225" s="310"/>
      <c r="AK225" s="310"/>
      <c r="AL225" s="310"/>
      <c r="AM225" s="310"/>
      <c r="AN225" s="310"/>
      <c r="AO225" s="310"/>
      <c r="AP225" s="310"/>
      <c r="AQ225" s="310"/>
      <c r="AR225" s="207"/>
      <c r="AS225" s="207"/>
      <c r="AT225" s="207"/>
      <c r="AU225" s="332" t="s">
        <v>358</v>
      </c>
      <c r="AV225" s="13"/>
      <c r="AW225" s="326">
        <f>AW212+AW216</f>
        <v>353842500</v>
      </c>
    </row>
    <row r="226" spans="1:49" ht="18.75" hidden="1" customHeight="1" x14ac:dyDescent="0.15">
      <c r="A226" s="302"/>
      <c r="B226" s="302"/>
      <c r="C226" s="207"/>
      <c r="D226" s="207"/>
      <c r="E226" s="207"/>
      <c r="F226" s="303"/>
      <c r="G226" s="303"/>
      <c r="H226" s="313"/>
      <c r="I226" s="314"/>
      <c r="J226" s="314"/>
      <c r="K226" s="330"/>
      <c r="L226" s="331"/>
      <c r="M226" s="322"/>
      <c r="N226" s="56" t="s">
        <v>359</v>
      </c>
      <c r="O226" s="28"/>
      <c r="P226" s="309"/>
      <c r="Q226" s="309"/>
      <c r="R226" s="309"/>
      <c r="S226" s="310">
        <f t="shared" ref="S226:U226" si="73">SUM(S3:S225)</f>
        <v>52600000</v>
      </c>
      <c r="T226" s="310">
        <f t="shared" si="73"/>
        <v>4125000</v>
      </c>
      <c r="U226" s="310">
        <f t="shared" si="73"/>
        <v>44832500</v>
      </c>
      <c r="V226" s="310"/>
      <c r="W226" s="310">
        <f t="shared" ref="W226:Z226" si="74">SUM(W3:W225)</f>
        <v>1875000</v>
      </c>
      <c r="X226" s="310">
        <f t="shared" si="74"/>
        <v>60604991</v>
      </c>
      <c r="Y226" s="310">
        <f t="shared" si="74"/>
        <v>47350000</v>
      </c>
      <c r="Z226" s="310">
        <f t="shared" si="74"/>
        <v>53099999.999999993</v>
      </c>
      <c r="AA226" s="310"/>
      <c r="AB226" s="310">
        <f>SUM(AB3:AB225)</f>
        <v>173209</v>
      </c>
      <c r="AC226" s="309"/>
      <c r="AD226" s="309"/>
      <c r="AE226" s="310"/>
      <c r="AF226" s="310"/>
      <c r="AG226" s="310"/>
      <c r="AH226" s="310"/>
      <c r="AI226" s="310"/>
      <c r="AJ226" s="310"/>
      <c r="AK226" s="310"/>
      <c r="AL226" s="310"/>
      <c r="AM226" s="310"/>
      <c r="AN226" s="310"/>
      <c r="AO226" s="310"/>
      <c r="AP226" s="310"/>
      <c r="AQ226" s="310"/>
      <c r="AR226" s="207"/>
      <c r="AS226" s="207"/>
      <c r="AT226" s="207"/>
      <c r="AU226" s="333" t="s">
        <v>360</v>
      </c>
      <c r="AV226" s="13"/>
      <c r="AW226" s="334">
        <v>0</v>
      </c>
    </row>
    <row r="227" spans="1:49" ht="18.75" hidden="1" customHeight="1" x14ac:dyDescent="0.15">
      <c r="A227" s="302"/>
      <c r="B227" s="302"/>
      <c r="C227" s="207"/>
      <c r="D227" s="207"/>
      <c r="E227" s="207"/>
      <c r="F227" s="303"/>
      <c r="G227" s="303"/>
      <c r="H227" s="313"/>
      <c r="I227" s="314"/>
      <c r="J227" s="314"/>
      <c r="K227" s="330"/>
      <c r="L227" s="331"/>
      <c r="M227" s="322"/>
      <c r="N227" s="56" t="s">
        <v>349</v>
      </c>
      <c r="O227" s="28"/>
      <c r="P227" s="309"/>
      <c r="Q227" s="309"/>
      <c r="R227" s="309"/>
      <c r="S227" s="310"/>
      <c r="T227" s="310"/>
      <c r="U227" s="310"/>
      <c r="V227" s="310"/>
      <c r="W227" s="310"/>
      <c r="X227" s="310"/>
      <c r="Y227" s="310"/>
      <c r="Z227" s="310"/>
      <c r="AA227" s="310"/>
      <c r="AB227" s="310"/>
      <c r="AC227" s="309"/>
      <c r="AD227" s="309"/>
      <c r="AE227" s="310"/>
      <c r="AF227" s="310"/>
      <c r="AG227" s="310"/>
      <c r="AH227" s="310"/>
      <c r="AI227" s="310"/>
      <c r="AJ227" s="310"/>
      <c r="AK227" s="310"/>
      <c r="AL227" s="310"/>
      <c r="AM227" s="310"/>
      <c r="AN227" s="310"/>
      <c r="AO227" s="310"/>
      <c r="AP227" s="310"/>
      <c r="AQ227" s="310"/>
      <c r="AR227" s="207"/>
      <c r="AS227" s="207"/>
      <c r="AT227" s="207"/>
      <c r="AU227" s="333" t="s">
        <v>361</v>
      </c>
      <c r="AV227" s="13"/>
      <c r="AW227" s="334">
        <v>0</v>
      </c>
    </row>
    <row r="228" spans="1:49" ht="18.75" hidden="1" customHeight="1" x14ac:dyDescent="0.15">
      <c r="A228" s="302"/>
      <c r="B228" s="302"/>
      <c r="C228" s="207"/>
      <c r="D228" s="207"/>
      <c r="E228" s="207"/>
      <c r="F228" s="303"/>
      <c r="G228" s="303"/>
      <c r="H228" s="313"/>
      <c r="I228" s="314"/>
      <c r="J228" s="314"/>
      <c r="K228" s="330"/>
      <c r="L228" s="331"/>
      <c r="M228" s="322"/>
      <c r="N228" s="56" t="s">
        <v>362</v>
      </c>
      <c r="O228" s="28">
        <v>53000000</v>
      </c>
      <c r="P228" s="309"/>
      <c r="Q228" s="335"/>
      <c r="R228" s="309"/>
      <c r="S228" s="310"/>
      <c r="T228" s="310"/>
      <c r="U228" s="310"/>
      <c r="V228" s="310"/>
      <c r="W228" s="310"/>
      <c r="X228" s="310"/>
      <c r="Y228" s="310"/>
      <c r="Z228" s="310"/>
      <c r="AA228" s="310"/>
      <c r="AB228" s="310"/>
      <c r="AC228" s="309"/>
      <c r="AD228" s="309"/>
      <c r="AE228" s="310"/>
      <c r="AF228" s="310"/>
      <c r="AG228" s="310"/>
      <c r="AH228" s="310"/>
      <c r="AI228" s="310"/>
      <c r="AJ228" s="310"/>
      <c r="AK228" s="310"/>
      <c r="AL228" s="310"/>
      <c r="AM228" s="310"/>
      <c r="AN228" s="310"/>
      <c r="AO228" s="310"/>
      <c r="AP228" s="310"/>
      <c r="AQ228" s="310"/>
      <c r="AR228" s="207"/>
      <c r="AS228" s="207"/>
      <c r="AT228" s="207"/>
      <c r="AU228" s="333" t="s">
        <v>363</v>
      </c>
      <c r="AV228" s="13"/>
      <c r="AW228" s="334">
        <f>AW225+AW227</f>
        <v>353842500</v>
      </c>
    </row>
    <row r="229" spans="1:49" ht="18.75" hidden="1" customHeight="1" x14ac:dyDescent="0.15">
      <c r="A229" s="302"/>
      <c r="B229" s="302"/>
      <c r="C229" s="310"/>
      <c r="D229" s="310"/>
      <c r="E229" s="310"/>
      <c r="F229" s="310"/>
      <c r="G229" s="310"/>
      <c r="H229" s="336"/>
      <c r="I229" s="337"/>
      <c r="J229" s="337"/>
      <c r="K229" s="337"/>
      <c r="L229" s="331"/>
      <c r="M229" s="322"/>
      <c r="N229" s="56" t="s">
        <v>355</v>
      </c>
      <c r="O229" s="28"/>
      <c r="P229" s="309"/>
      <c r="Q229" s="335">
        <f t="shared" ref="Q229:Q230" si="75">O41*O263</f>
        <v>0</v>
      </c>
      <c r="R229" s="309"/>
      <c r="S229" s="310"/>
      <c r="T229" s="310"/>
      <c r="U229" s="310"/>
      <c r="V229" s="310"/>
      <c r="W229" s="310"/>
      <c r="X229" s="310"/>
      <c r="Y229" s="310"/>
      <c r="Z229" s="310"/>
      <c r="AA229" s="310"/>
      <c r="AB229" s="310"/>
      <c r="AC229" s="309"/>
      <c r="AD229" s="309"/>
      <c r="AE229" s="310"/>
      <c r="AF229" s="310"/>
      <c r="AG229" s="310"/>
      <c r="AH229" s="310"/>
      <c r="AI229" s="310"/>
      <c r="AJ229" s="310"/>
      <c r="AK229" s="310"/>
      <c r="AL229" s="310"/>
      <c r="AM229" s="310"/>
      <c r="AN229" s="310"/>
      <c r="AO229" s="310"/>
      <c r="AP229" s="310"/>
      <c r="AQ229" s="310"/>
      <c r="AR229" s="310"/>
      <c r="AS229" s="310"/>
      <c r="AT229" s="310"/>
      <c r="AU229" s="310"/>
      <c r="AV229" s="310"/>
      <c r="AW229" s="310"/>
    </row>
    <row r="230" spans="1:49" ht="18.75" hidden="1" customHeight="1" x14ac:dyDescent="0.15">
      <c r="A230" s="302"/>
      <c r="B230" s="302"/>
      <c r="C230" s="310"/>
      <c r="D230" s="310"/>
      <c r="E230" s="310"/>
      <c r="F230" s="310"/>
      <c r="G230" s="310"/>
      <c r="H230" s="338"/>
      <c r="I230" s="339"/>
      <c r="J230" s="339"/>
      <c r="K230" s="339"/>
      <c r="L230" s="331"/>
      <c r="M230" s="322"/>
      <c r="N230" s="56" t="s">
        <v>343</v>
      </c>
      <c r="O230" s="28"/>
      <c r="P230" s="309"/>
      <c r="Q230" s="335">
        <f t="shared" si="75"/>
        <v>0</v>
      </c>
      <c r="R230" s="309"/>
      <c r="S230" s="310"/>
      <c r="T230" s="310"/>
      <c r="U230" s="310"/>
      <c r="V230" s="310"/>
      <c r="W230" s="310"/>
      <c r="X230" s="310"/>
      <c r="Y230" s="310"/>
      <c r="Z230" s="310"/>
      <c r="AA230" s="310"/>
      <c r="AB230" s="310"/>
      <c r="AC230" s="309"/>
      <c r="AD230" s="309"/>
      <c r="AE230" s="310"/>
      <c r="AF230" s="310"/>
      <c r="AG230" s="310"/>
      <c r="AH230" s="310"/>
      <c r="AI230" s="310"/>
      <c r="AJ230" s="310"/>
      <c r="AK230" s="310"/>
      <c r="AL230" s="310"/>
      <c r="AM230" s="310"/>
      <c r="AN230" s="310"/>
      <c r="AO230" s="310"/>
      <c r="AP230" s="310"/>
      <c r="AQ230" s="310"/>
      <c r="AR230" s="310"/>
      <c r="AS230" s="310"/>
      <c r="AT230" s="310"/>
      <c r="AU230" s="310"/>
      <c r="AV230" s="310"/>
      <c r="AW230" s="310"/>
    </row>
    <row r="231" spans="1:49" ht="18.75" customHeight="1" thickBot="1" x14ac:dyDescent="0.2">
      <c r="A231" s="302"/>
      <c r="B231" s="302"/>
      <c r="C231" s="310"/>
      <c r="D231" s="310"/>
      <c r="E231" s="310"/>
      <c r="F231" s="310"/>
      <c r="G231" s="310"/>
      <c r="H231" s="340"/>
      <c r="I231" s="341"/>
      <c r="J231" s="341"/>
      <c r="K231" s="341" t="s">
        <v>363</v>
      </c>
      <c r="L231" s="342">
        <f>SUM(L212:M229)</f>
        <v>286657000</v>
      </c>
      <c r="M231" s="343"/>
      <c r="N231" s="56"/>
      <c r="O231" s="310">
        <f>SUM(O3:O224)</f>
        <v>283260700</v>
      </c>
      <c r="P231" s="309"/>
      <c r="Q231" s="335"/>
      <c r="R231" s="309"/>
      <c r="S231" s="344">
        <f t="shared" ref="S231:X231" si="76">SUM(S3:S216)</f>
        <v>52600000</v>
      </c>
      <c r="T231" s="344">
        <f t="shared" si="76"/>
        <v>4125000</v>
      </c>
      <c r="U231" s="344">
        <f t="shared" si="76"/>
        <v>44832500</v>
      </c>
      <c r="V231" s="344">
        <f t="shared" si="76"/>
        <v>8600000</v>
      </c>
      <c r="W231" s="344">
        <f t="shared" si="76"/>
        <v>1875000</v>
      </c>
      <c r="X231" s="344">
        <f t="shared" si="76"/>
        <v>60604991</v>
      </c>
      <c r="Y231" s="344">
        <f t="shared" ref="Y231:AA231" si="77">SUM(Y3:Y224)</f>
        <v>47350000</v>
      </c>
      <c r="Z231" s="310">
        <f t="shared" si="77"/>
        <v>53099999.999999993</v>
      </c>
      <c r="AA231" s="310">
        <f t="shared" si="77"/>
        <v>10000000</v>
      </c>
      <c r="AB231" s="310">
        <f>SUM(AB3:AB216)</f>
        <v>173209</v>
      </c>
      <c r="AC231" s="309"/>
      <c r="AD231" s="309"/>
      <c r="AE231" s="310"/>
      <c r="AF231" s="310"/>
      <c r="AG231" s="310"/>
      <c r="AH231" s="310"/>
      <c r="AI231" s="310"/>
      <c r="AJ231" s="310"/>
      <c r="AK231" s="310"/>
      <c r="AL231" s="310"/>
      <c r="AM231" s="310"/>
      <c r="AN231" s="310"/>
      <c r="AO231" s="310"/>
      <c r="AP231" s="310"/>
      <c r="AQ231" s="310"/>
      <c r="AR231" s="310"/>
      <c r="AS231" s="310"/>
      <c r="AT231" s="310"/>
      <c r="AU231" s="310"/>
      <c r="AV231" s="310"/>
      <c r="AW231" s="310"/>
    </row>
    <row r="232" spans="1:49" ht="15.75" customHeight="1" x14ac:dyDescent="0.15">
      <c r="A232" s="56"/>
      <c r="B232" s="56"/>
      <c r="C232" s="310"/>
      <c r="D232" s="310"/>
      <c r="E232" s="310"/>
      <c r="F232" s="310"/>
      <c r="G232" s="310"/>
      <c r="H232" s="310"/>
      <c r="I232" s="310"/>
      <c r="J232" s="310"/>
      <c r="K232" s="310"/>
      <c r="L232" s="345"/>
      <c r="M232" s="345"/>
      <c r="N232" s="56"/>
      <c r="O232" s="28"/>
      <c r="P232" s="309"/>
      <c r="Q232" s="335"/>
      <c r="R232" s="309"/>
      <c r="S232" s="310"/>
      <c r="T232" s="310"/>
      <c r="U232" s="310"/>
      <c r="V232" s="310"/>
      <c r="W232" s="310"/>
      <c r="X232" s="310"/>
      <c r="Y232" s="310"/>
      <c r="Z232" s="310"/>
      <c r="AA232" s="310"/>
      <c r="AB232" s="310"/>
      <c r="AC232" s="55"/>
      <c r="AD232" s="55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310"/>
      <c r="AS232" s="310"/>
      <c r="AT232" s="310"/>
      <c r="AU232" s="310"/>
      <c r="AV232" s="310"/>
      <c r="AW232" s="310"/>
    </row>
    <row r="233" spans="1:49" ht="15.75" customHeight="1" x14ac:dyDescent="0.15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345"/>
      <c r="M233" s="346">
        <v>286657000</v>
      </c>
      <c r="N233" s="56"/>
      <c r="O233" s="28">
        <f>M233-O231</f>
        <v>3396300</v>
      </c>
      <c r="P233" s="347" t="s">
        <v>364</v>
      </c>
      <c r="Q233" s="335"/>
      <c r="R233" s="309"/>
      <c r="S233" s="310">
        <f>SUM(S231:AB231)</f>
        <v>283260700</v>
      </c>
      <c r="T233" s="310"/>
      <c r="U233" s="310"/>
      <c r="V233" s="310"/>
      <c r="W233" s="310"/>
      <c r="X233" s="310"/>
      <c r="Y233" s="310"/>
      <c r="Z233" s="310"/>
      <c r="AA233" s="310"/>
      <c r="AB233" s="310"/>
      <c r="AC233" s="55"/>
      <c r="AD233" s="55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</row>
    <row r="234" spans="1:49" ht="15.75" customHeight="1" x14ac:dyDescent="0.15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345"/>
      <c r="N234" s="56"/>
      <c r="O234" s="28"/>
      <c r="P234" s="309"/>
      <c r="Q234" s="335"/>
      <c r="R234" s="309"/>
      <c r="S234" s="310">
        <f>O231-S233</f>
        <v>0</v>
      </c>
      <c r="T234" s="310"/>
      <c r="U234" s="310"/>
      <c r="V234" s="310"/>
      <c r="W234" s="310"/>
      <c r="X234" s="310"/>
      <c r="Y234" s="310"/>
      <c r="Z234" s="310"/>
      <c r="AA234" s="310"/>
      <c r="AB234" s="310"/>
      <c r="AC234" s="55"/>
      <c r="AD234" s="55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</row>
    <row r="235" spans="1:49" ht="15.75" customHeight="1" x14ac:dyDescent="0.15">
      <c r="A235" s="56"/>
      <c r="B235" s="348" t="s">
        <v>365</v>
      </c>
      <c r="C235" s="56"/>
      <c r="D235" s="56"/>
      <c r="E235" s="56"/>
      <c r="F235" s="56"/>
      <c r="G235" s="56"/>
      <c r="H235" s="56"/>
      <c r="I235" s="56"/>
      <c r="J235" s="56"/>
      <c r="K235" s="56"/>
      <c r="L235" s="349"/>
      <c r="M235" s="349"/>
      <c r="N235" s="56"/>
      <c r="O235" s="302"/>
      <c r="P235" s="309"/>
      <c r="Q235" s="335"/>
      <c r="R235" s="309"/>
      <c r="S235" s="310"/>
      <c r="T235" s="310"/>
      <c r="U235" s="310"/>
      <c r="V235" s="310"/>
      <c r="W235" s="310"/>
      <c r="X235" s="310"/>
      <c r="Y235" s="310"/>
      <c r="Z235" s="310"/>
      <c r="AA235" s="310"/>
      <c r="AB235" s="310"/>
      <c r="AC235" s="55"/>
      <c r="AD235" s="55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</row>
    <row r="236" spans="1:49" ht="15.75" customHeight="1" x14ac:dyDescent="0.15">
      <c r="A236" s="56"/>
      <c r="B236" s="254" t="s">
        <v>193</v>
      </c>
      <c r="C236" s="229" t="s">
        <v>194</v>
      </c>
      <c r="D236" s="230"/>
      <c r="E236" s="230"/>
      <c r="F236" s="104"/>
      <c r="G236" s="255"/>
      <c r="H236" s="256"/>
      <c r="I236" s="256"/>
      <c r="J236" s="256"/>
      <c r="K236" s="257"/>
      <c r="L236" s="258"/>
      <c r="M236" s="259"/>
      <c r="N236" s="56"/>
      <c r="O236" s="350"/>
      <c r="P236" s="55"/>
      <c r="Q236" s="335"/>
      <c r="R236" s="55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5"/>
      <c r="AD236" s="55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</row>
    <row r="237" spans="1:49" ht="18.75" customHeight="1" x14ac:dyDescent="0.2">
      <c r="A237" s="39"/>
      <c r="B237" s="233"/>
      <c r="C237" s="41"/>
      <c r="D237" s="60" t="s">
        <v>366</v>
      </c>
      <c r="E237" s="42"/>
      <c r="F237" s="111"/>
      <c r="G237" s="139"/>
      <c r="H237" s="140">
        <v>1</v>
      </c>
      <c r="I237" s="141"/>
      <c r="J237" s="140">
        <v>1</v>
      </c>
      <c r="K237" s="141"/>
      <c r="L237" s="351">
        <v>500000</v>
      </c>
      <c r="M237" s="66">
        <f>L237*J237*H237</f>
        <v>500000</v>
      </c>
      <c r="N237" s="116"/>
      <c r="O237" s="67">
        <v>500000</v>
      </c>
      <c r="P237" s="53"/>
      <c r="Q237" s="117" t="s">
        <v>206</v>
      </c>
      <c r="R237" s="53" t="s">
        <v>207</v>
      </c>
      <c r="S237" s="67"/>
      <c r="T237" s="67"/>
      <c r="U237" s="67"/>
      <c r="V237" s="83">
        <f>O237</f>
        <v>500000</v>
      </c>
      <c r="W237" s="67"/>
      <c r="X237" s="67"/>
      <c r="Y237" s="67"/>
      <c r="Z237" s="67"/>
      <c r="AA237" s="67"/>
      <c r="AB237" s="67"/>
      <c r="AC237" s="68"/>
      <c r="AD237" s="68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140"/>
      <c r="AS237" s="141"/>
      <c r="AT237" s="140"/>
      <c r="AU237" s="141"/>
      <c r="AV237" s="169"/>
      <c r="AW237" s="71"/>
    </row>
    <row r="238" spans="1:49" ht="15.75" customHeight="1" x14ac:dyDescent="0.2">
      <c r="A238" s="56"/>
      <c r="B238" s="352"/>
      <c r="C238" s="353" t="s">
        <v>217</v>
      </c>
      <c r="D238" s="354"/>
      <c r="E238" s="354"/>
      <c r="F238" s="355"/>
      <c r="G238" s="356"/>
      <c r="H238" s="357"/>
      <c r="I238" s="358"/>
      <c r="J238" s="357"/>
      <c r="K238" s="358"/>
      <c r="L238" s="359"/>
      <c r="M238" s="360"/>
      <c r="N238" s="56"/>
      <c r="O238" s="361"/>
      <c r="P238" s="52"/>
      <c r="Q238" s="62"/>
      <c r="R238" s="52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5"/>
      <c r="AD238" s="55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</row>
    <row r="239" spans="1:49" ht="15.75" customHeight="1" x14ac:dyDescent="0.2">
      <c r="A239" s="56"/>
      <c r="B239" s="352"/>
      <c r="C239" s="362"/>
      <c r="D239" s="363" t="s">
        <v>367</v>
      </c>
      <c r="E239" s="354"/>
      <c r="F239" s="355"/>
      <c r="G239" s="364"/>
      <c r="H239" s="357">
        <v>1</v>
      </c>
      <c r="I239" s="358" t="s">
        <v>49</v>
      </c>
      <c r="J239" s="357">
        <v>1</v>
      </c>
      <c r="K239" s="358" t="s">
        <v>20</v>
      </c>
      <c r="L239" s="359">
        <v>1200000</v>
      </c>
      <c r="M239" s="66">
        <f>L239*J239*H239</f>
        <v>1200000</v>
      </c>
      <c r="N239" s="56"/>
      <c r="O239" s="67">
        <v>1200000</v>
      </c>
      <c r="P239" s="117"/>
      <c r="Q239" s="117"/>
      <c r="R239" s="117" t="s">
        <v>368</v>
      </c>
      <c r="S239" s="54"/>
      <c r="T239" s="54"/>
      <c r="U239" s="54"/>
      <c r="V239" s="54"/>
      <c r="W239" s="83">
        <f>M239</f>
        <v>1200000</v>
      </c>
      <c r="X239" s="54"/>
      <c r="Y239" s="54"/>
      <c r="Z239" s="54"/>
      <c r="AA239" s="54"/>
      <c r="AB239" s="54"/>
      <c r="AC239" s="55"/>
      <c r="AD239" s="55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</row>
    <row r="240" spans="1:49" ht="15.75" customHeight="1" x14ac:dyDescent="0.2">
      <c r="A240" s="56"/>
      <c r="B240" s="365"/>
      <c r="C240" s="366"/>
      <c r="D240" s="367" t="s">
        <v>369</v>
      </c>
      <c r="E240" s="368"/>
      <c r="F240" s="369"/>
      <c r="G240" s="370"/>
      <c r="H240" s="371">
        <v>1</v>
      </c>
      <c r="I240" s="372" t="s">
        <v>49</v>
      </c>
      <c r="J240" s="371">
        <v>1</v>
      </c>
      <c r="K240" s="372" t="s">
        <v>20</v>
      </c>
      <c r="L240" s="373"/>
      <c r="M240" s="281"/>
      <c r="N240" s="56"/>
      <c r="O240" s="361"/>
      <c r="P240" s="52"/>
      <c r="Q240" s="62"/>
      <c r="R240" s="52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5"/>
      <c r="AD240" s="55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</row>
    <row r="241" spans="1:49" ht="15.75" customHeight="1" thickBot="1" x14ac:dyDescent="0.25">
      <c r="A241" s="56"/>
      <c r="B241" s="290"/>
      <c r="C241" s="374"/>
      <c r="D241" s="375" t="s">
        <v>370</v>
      </c>
      <c r="E241" s="376"/>
      <c r="F241" s="377"/>
      <c r="G241" s="378"/>
      <c r="H241" s="379">
        <v>1</v>
      </c>
      <c r="I241" s="380" t="s">
        <v>49</v>
      </c>
      <c r="J241" s="379">
        <v>1</v>
      </c>
      <c r="K241" s="380" t="s">
        <v>20</v>
      </c>
      <c r="L241" s="381"/>
      <c r="M241" s="382"/>
      <c r="N241" s="56"/>
      <c r="O241" s="361"/>
      <c r="P241" s="52"/>
      <c r="Q241" s="62"/>
      <c r="R241" s="52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5"/>
      <c r="AD241" s="55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</row>
    <row r="242" spans="1:49" ht="15.75" customHeight="1" x14ac:dyDescent="0.15">
      <c r="A242" s="56"/>
      <c r="B242" s="56"/>
      <c r="C242" s="56"/>
      <c r="D242" s="383"/>
      <c r="E242" s="383"/>
      <c r="F242" s="383"/>
      <c r="G242" s="383"/>
      <c r="H242" s="383"/>
      <c r="I242" s="384"/>
      <c r="J242" s="385"/>
      <c r="K242" s="384"/>
      <c r="L242" s="384"/>
      <c r="M242" s="349"/>
      <c r="N242" s="56"/>
      <c r="O242" s="350"/>
      <c r="P242" s="55"/>
      <c r="Q242" s="335"/>
      <c r="R242" s="55"/>
      <c r="S242" s="310">
        <f t="shared" ref="S242:Z242" si="78">SUM(S237:S241)</f>
        <v>0</v>
      </c>
      <c r="T242" s="310">
        <f t="shared" si="78"/>
        <v>0</v>
      </c>
      <c r="U242" s="310">
        <f t="shared" si="78"/>
        <v>0</v>
      </c>
      <c r="V242" s="344">
        <f t="shared" si="78"/>
        <v>500000</v>
      </c>
      <c r="W242" s="344">
        <f t="shared" si="78"/>
        <v>1200000</v>
      </c>
      <c r="X242" s="310">
        <f t="shared" si="78"/>
        <v>0</v>
      </c>
      <c r="Y242" s="310">
        <f t="shared" si="78"/>
        <v>0</v>
      </c>
      <c r="Z242" s="310">
        <f t="shared" si="78"/>
        <v>0</v>
      </c>
      <c r="AA242" s="310"/>
      <c r="AB242" s="310">
        <f>SUM(AB237:AB241)</f>
        <v>0</v>
      </c>
      <c r="AC242" s="55"/>
      <c r="AD242" s="55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</row>
    <row r="243" spans="1:49" ht="15.75" customHeight="1" x14ac:dyDescent="0.15">
      <c r="A243" s="56"/>
      <c r="B243" s="56"/>
      <c r="C243" s="56"/>
      <c r="D243" s="383"/>
      <c r="E243" s="383"/>
      <c r="F243" s="383"/>
      <c r="G243" s="383"/>
      <c r="H243" s="383"/>
      <c r="I243" s="384"/>
      <c r="J243" s="385"/>
      <c r="K243" s="384"/>
      <c r="L243" s="384"/>
      <c r="M243" s="349"/>
      <c r="N243" s="56"/>
      <c r="O243" s="350"/>
      <c r="P243" s="55"/>
      <c r="Q243" s="335"/>
      <c r="R243" s="55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5"/>
      <c r="AD243" s="55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</row>
    <row r="244" spans="1:49" ht="15.75" customHeight="1" x14ac:dyDescent="0.15">
      <c r="A244" s="56"/>
      <c r="B244" s="56"/>
      <c r="C244" s="56"/>
      <c r="D244" s="383"/>
      <c r="E244" s="383"/>
      <c r="F244" s="383"/>
      <c r="G244" s="383"/>
      <c r="H244" s="383"/>
      <c r="I244" s="384"/>
      <c r="J244" s="385"/>
      <c r="K244" s="384"/>
      <c r="L244" s="384"/>
      <c r="M244" s="349"/>
      <c r="N244" s="56"/>
      <c r="O244" s="345">
        <f>SUM(O242:W242)</f>
        <v>1700000</v>
      </c>
      <c r="P244" s="55"/>
      <c r="Q244" s="347"/>
      <c r="R244" s="309">
        <f>L231-(O231+O244)</f>
        <v>1696300</v>
      </c>
      <c r="S244" s="345">
        <f>SUM(S242:AB242)</f>
        <v>1700000</v>
      </c>
      <c r="T244" s="56"/>
      <c r="U244" s="56"/>
      <c r="V244" s="56"/>
      <c r="W244" s="56"/>
      <c r="X244" s="56"/>
      <c r="Y244" s="347" t="s">
        <v>364</v>
      </c>
      <c r="Z244" s="56"/>
      <c r="AA244" s="56"/>
      <c r="AB244" s="56"/>
      <c r="AC244" s="55"/>
      <c r="AD244" s="55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</row>
    <row r="245" spans="1:49" ht="15.75" customHeight="1" x14ac:dyDescent="0.15">
      <c r="A245" s="56"/>
      <c r="B245" s="56"/>
      <c r="C245" s="56"/>
      <c r="D245" s="383"/>
      <c r="E245" s="383"/>
      <c r="F245" s="383"/>
      <c r="G245" s="383"/>
      <c r="H245" s="383"/>
      <c r="I245" s="384"/>
      <c r="J245" s="385"/>
      <c r="K245" s="384"/>
      <c r="L245" s="384"/>
      <c r="M245" s="349"/>
      <c r="N245" s="56"/>
      <c r="O245" s="350"/>
      <c r="P245" s="55"/>
      <c r="Q245" s="335"/>
      <c r="R245" s="55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5"/>
      <c r="AD245" s="55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</row>
    <row r="246" spans="1:49" ht="15.75" customHeight="1" x14ac:dyDescent="0.15">
      <c r="A246" s="56"/>
      <c r="B246" s="56"/>
      <c r="C246" s="56"/>
      <c r="D246" s="383"/>
      <c r="E246" s="383"/>
      <c r="F246" s="383"/>
      <c r="G246" s="383"/>
      <c r="H246" s="383"/>
      <c r="I246" s="384"/>
      <c r="J246" s="385"/>
      <c r="K246" s="384"/>
      <c r="L246" s="384"/>
      <c r="M246" s="349"/>
      <c r="N246" s="56"/>
      <c r="O246" s="386"/>
      <c r="P246" s="55"/>
      <c r="Q246" s="335"/>
      <c r="R246" s="387" t="s">
        <v>371</v>
      </c>
      <c r="S246" s="388">
        <f>S233+S244</f>
        <v>284960700</v>
      </c>
      <c r="T246" s="56"/>
      <c r="U246" s="56"/>
      <c r="V246" s="56"/>
      <c r="W246" s="56"/>
      <c r="X246" s="56"/>
      <c r="Y246" s="56"/>
      <c r="Z246" s="56"/>
      <c r="AA246" s="56"/>
      <c r="AB246" s="56"/>
      <c r="AC246" s="55"/>
      <c r="AD246" s="55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</row>
    <row r="247" spans="1:49" ht="15.75" customHeight="1" x14ac:dyDescent="0.15">
      <c r="A247" s="56"/>
      <c r="B247" s="56"/>
      <c r="C247" s="56"/>
      <c r="D247" s="383"/>
      <c r="E247" s="383"/>
      <c r="F247" s="383"/>
      <c r="G247" s="383"/>
      <c r="H247" s="383"/>
      <c r="I247" s="384"/>
      <c r="J247" s="385"/>
      <c r="K247" s="384"/>
      <c r="L247" s="384"/>
      <c r="M247" s="349"/>
      <c r="N247" s="56"/>
      <c r="O247" s="350"/>
      <c r="P247" s="55"/>
      <c r="Q247" s="335"/>
      <c r="R247" s="55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5"/>
      <c r="AD247" s="55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</row>
    <row r="248" spans="1:49" ht="15.75" customHeight="1" x14ac:dyDescent="0.15">
      <c r="A248" s="56"/>
      <c r="B248" s="56"/>
      <c r="C248" s="56"/>
      <c r="D248" s="383"/>
      <c r="E248" s="383"/>
      <c r="F248" s="383"/>
      <c r="G248" s="383"/>
      <c r="H248" s="383"/>
      <c r="I248" s="384"/>
      <c r="J248" s="385"/>
      <c r="K248" s="384"/>
      <c r="L248" s="384"/>
      <c r="M248" s="349"/>
      <c r="N248" s="56"/>
      <c r="O248" s="350"/>
      <c r="P248" s="55"/>
      <c r="Q248" s="335"/>
      <c r="R248" s="55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5"/>
      <c r="AD248" s="55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</row>
    <row r="249" spans="1:49" ht="15.75" customHeight="1" x14ac:dyDescent="0.15">
      <c r="A249" s="56"/>
      <c r="B249" s="56"/>
      <c r="C249" s="56"/>
      <c r="D249" s="383"/>
      <c r="E249" s="383"/>
      <c r="F249" s="383"/>
      <c r="G249" s="383"/>
      <c r="H249" s="383"/>
      <c r="I249" s="384"/>
      <c r="J249" s="385"/>
      <c r="K249" s="384"/>
      <c r="L249" s="384"/>
      <c r="M249" s="349"/>
      <c r="N249" s="56"/>
      <c r="O249" s="350"/>
      <c r="P249" s="55"/>
      <c r="Q249" s="335"/>
      <c r="R249" s="55"/>
      <c r="S249" s="345">
        <f>M233-S246</f>
        <v>1696300</v>
      </c>
      <c r="T249" s="56"/>
      <c r="U249" s="56"/>
      <c r="V249" s="56"/>
      <c r="W249" s="56"/>
      <c r="X249" s="56"/>
      <c r="Y249" s="56"/>
      <c r="Z249" s="56"/>
      <c r="AA249" s="56"/>
      <c r="AB249" s="56"/>
      <c r="AC249" s="55"/>
      <c r="AD249" s="55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</row>
    <row r="250" spans="1:49" ht="15.75" customHeight="1" x14ac:dyDescent="0.15">
      <c r="A250" s="56"/>
      <c r="B250" s="56"/>
      <c r="C250" s="56"/>
      <c r="D250" s="383"/>
      <c r="E250" s="383"/>
      <c r="F250" s="383"/>
      <c r="G250" s="383"/>
      <c r="H250" s="383"/>
      <c r="I250" s="384"/>
      <c r="J250" s="385"/>
      <c r="K250" s="384"/>
      <c r="L250" s="384"/>
      <c r="M250" s="349"/>
      <c r="N250" s="56"/>
      <c r="O250" s="350"/>
      <c r="P250" s="55"/>
      <c r="Q250" s="335"/>
      <c r="R250" s="55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5"/>
      <c r="AD250" s="55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</row>
    <row r="251" spans="1:49" ht="15.75" customHeight="1" x14ac:dyDescent="0.15">
      <c r="A251" s="56"/>
      <c r="B251" s="56"/>
      <c r="C251" s="56"/>
      <c r="D251" s="383"/>
      <c r="E251" s="383"/>
      <c r="F251" s="383"/>
      <c r="G251" s="383"/>
      <c r="H251" s="383"/>
      <c r="I251" s="384"/>
      <c r="J251" s="385"/>
      <c r="K251" s="384"/>
      <c r="L251" s="384"/>
      <c r="M251" s="349"/>
      <c r="N251" s="56"/>
      <c r="O251" s="389"/>
      <c r="P251" s="55"/>
      <c r="Q251" s="335"/>
      <c r="R251" s="55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5"/>
      <c r="AD251" s="55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</row>
    <row r="252" spans="1:49" ht="15.75" customHeight="1" x14ac:dyDescent="0.15">
      <c r="A252" s="56"/>
      <c r="B252" s="56"/>
      <c r="C252" s="56"/>
      <c r="D252" s="383"/>
      <c r="E252" s="383"/>
      <c r="F252" s="383"/>
      <c r="G252" s="383"/>
      <c r="H252" s="383"/>
      <c r="I252" s="384"/>
      <c r="J252" s="385"/>
      <c r="K252" s="384"/>
      <c r="L252" s="384"/>
      <c r="M252" s="349"/>
      <c r="N252" s="56"/>
      <c r="O252" s="350"/>
      <c r="P252" s="55"/>
      <c r="Q252" s="335"/>
      <c r="R252" s="55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5"/>
      <c r="AD252" s="55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</row>
    <row r="253" spans="1:49" ht="15.75" customHeight="1" x14ac:dyDescent="0.15">
      <c r="A253" s="56"/>
      <c r="B253" s="56"/>
      <c r="C253" s="56"/>
      <c r="D253" s="383"/>
      <c r="E253" s="383"/>
      <c r="F253" s="383"/>
      <c r="G253" s="383"/>
      <c r="H253" s="383"/>
      <c r="I253" s="384"/>
      <c r="J253" s="385"/>
      <c r="K253" s="384"/>
      <c r="L253" s="384"/>
      <c r="M253" s="349"/>
      <c r="N253" s="56"/>
      <c r="O253" s="350"/>
      <c r="P253" s="55"/>
      <c r="Q253" s="335"/>
      <c r="R253" s="55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5"/>
      <c r="AD253" s="55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</row>
    <row r="254" spans="1:49" ht="15.75" customHeight="1" x14ac:dyDescent="0.15">
      <c r="A254" s="56"/>
      <c r="B254" s="56"/>
      <c r="C254" s="56"/>
      <c r="D254" s="383"/>
      <c r="E254" s="383"/>
      <c r="F254" s="383"/>
      <c r="G254" s="383"/>
      <c r="H254" s="383"/>
      <c r="I254" s="384"/>
      <c r="J254" s="385"/>
      <c r="K254" s="384"/>
      <c r="L254" s="384"/>
      <c r="M254" s="349"/>
      <c r="N254" s="56"/>
      <c r="O254" s="350"/>
      <c r="P254" s="55"/>
      <c r="Q254" s="335"/>
      <c r="R254" s="55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5"/>
      <c r="AD254" s="55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</row>
    <row r="255" spans="1:49" ht="15.75" customHeight="1" x14ac:dyDescent="0.15">
      <c r="A255" s="56"/>
      <c r="B255" s="56"/>
      <c r="C255" s="56"/>
      <c r="D255" s="383"/>
      <c r="E255" s="383"/>
      <c r="F255" s="383"/>
      <c r="G255" s="383"/>
      <c r="H255" s="383"/>
      <c r="I255" s="384"/>
      <c r="J255" s="385"/>
      <c r="K255" s="384"/>
      <c r="L255" s="384"/>
      <c r="M255" s="349"/>
      <c r="N255" s="56"/>
      <c r="O255" s="350"/>
      <c r="P255" s="55"/>
      <c r="Q255" s="335"/>
      <c r="R255" s="55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5"/>
      <c r="AD255" s="55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</row>
    <row r="256" spans="1:49" ht="15.75" customHeight="1" x14ac:dyDescent="0.15">
      <c r="A256" s="56"/>
      <c r="B256" s="56"/>
      <c r="C256" s="56"/>
      <c r="D256" s="383"/>
      <c r="E256" s="383"/>
      <c r="F256" s="383"/>
      <c r="G256" s="383"/>
      <c r="H256" s="383"/>
      <c r="I256" s="384"/>
      <c r="J256" s="385"/>
      <c r="K256" s="384"/>
      <c r="L256" s="384"/>
      <c r="M256" s="349"/>
      <c r="N256" s="56"/>
      <c r="O256" s="350"/>
      <c r="P256" s="55"/>
      <c r="Q256" s="335"/>
      <c r="R256" s="55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5"/>
      <c r="AD256" s="55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</row>
    <row r="257" spans="1:49" ht="15.75" customHeight="1" x14ac:dyDescent="0.15">
      <c r="A257" s="56"/>
      <c r="B257" s="56"/>
      <c r="C257" s="56"/>
      <c r="D257" s="383"/>
      <c r="E257" s="383"/>
      <c r="F257" s="383"/>
      <c r="G257" s="383"/>
      <c r="H257" s="383"/>
      <c r="I257" s="384"/>
      <c r="J257" s="385"/>
      <c r="K257" s="384"/>
      <c r="L257" s="384"/>
      <c r="M257" s="349"/>
      <c r="N257" s="56"/>
      <c r="O257" s="350"/>
      <c r="P257" s="55"/>
      <c r="Q257" s="335"/>
      <c r="R257" s="55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5"/>
      <c r="AD257" s="55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</row>
    <row r="258" spans="1:49" ht="15.75" customHeight="1" x14ac:dyDescent="0.15">
      <c r="A258" s="56"/>
      <c r="B258" s="56"/>
      <c r="C258" s="56"/>
      <c r="D258" s="383"/>
      <c r="E258" s="383"/>
      <c r="F258" s="383"/>
      <c r="G258" s="383"/>
      <c r="H258" s="383"/>
      <c r="I258" s="384"/>
      <c r="J258" s="385"/>
      <c r="K258" s="384"/>
      <c r="L258" s="384"/>
      <c r="M258" s="349"/>
      <c r="N258" s="56"/>
      <c r="O258" s="302">
        <v>1000000</v>
      </c>
      <c r="P258" s="55"/>
      <c r="Q258" s="335"/>
      <c r="R258" s="55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5"/>
      <c r="AD258" s="55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</row>
    <row r="259" spans="1:49" ht="15.75" customHeight="1" x14ac:dyDescent="0.15">
      <c r="A259" s="56"/>
      <c r="B259" s="56"/>
      <c r="C259" s="56"/>
      <c r="D259" s="383" t="s">
        <v>372</v>
      </c>
      <c r="E259" s="383"/>
      <c r="F259" s="383"/>
      <c r="G259" s="383"/>
      <c r="H259" s="383"/>
      <c r="I259" s="384"/>
      <c r="J259" s="385"/>
      <c r="K259" s="384"/>
      <c r="L259" s="384"/>
      <c r="M259" s="349"/>
      <c r="N259" s="56"/>
      <c r="O259" s="350">
        <f>O235/O228</f>
        <v>0</v>
      </c>
      <c r="P259" s="55"/>
      <c r="Q259" s="335"/>
      <c r="R259" s="55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5"/>
      <c r="AD259" s="55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</row>
    <row r="260" spans="1:49" ht="15.75" customHeight="1" x14ac:dyDescent="0.15">
      <c r="A260" s="56"/>
      <c r="B260" s="56"/>
      <c r="C260" s="56"/>
      <c r="D260" s="383"/>
      <c r="E260" s="383"/>
      <c r="F260" s="383"/>
      <c r="G260" s="383"/>
      <c r="H260" s="383"/>
      <c r="I260" s="390"/>
      <c r="J260" s="390"/>
      <c r="K260" s="390"/>
      <c r="L260" s="390"/>
      <c r="M260" s="56"/>
      <c r="N260" s="56"/>
      <c r="O260" s="389"/>
      <c r="P260" s="55"/>
      <c r="Q260" s="335"/>
      <c r="R260" s="55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5"/>
      <c r="AD260" s="55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</row>
    <row r="261" spans="1:49" ht="15.75" customHeight="1" x14ac:dyDescent="0.15">
      <c r="A261" s="56"/>
      <c r="B261" s="56"/>
      <c r="C261" s="56"/>
      <c r="D261" s="383" t="s">
        <v>373</v>
      </c>
      <c r="E261" s="383"/>
      <c r="F261" s="383"/>
      <c r="G261" s="383"/>
      <c r="H261" s="383"/>
      <c r="I261" s="391" t="s">
        <v>374</v>
      </c>
      <c r="J261" s="392"/>
      <c r="K261" s="392"/>
      <c r="L261" s="392"/>
      <c r="M261" s="56"/>
      <c r="N261" s="56"/>
      <c r="O261" s="389"/>
      <c r="P261" s="55"/>
      <c r="Q261" s="335"/>
      <c r="R261" s="55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5"/>
      <c r="AD261" s="55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</row>
    <row r="262" spans="1:49" ht="15.75" customHeight="1" x14ac:dyDescent="0.15">
      <c r="A262" s="56"/>
      <c r="B262" s="56"/>
      <c r="C262" s="56"/>
      <c r="D262" s="385"/>
      <c r="E262" s="384"/>
      <c r="F262" s="393"/>
      <c r="G262" s="393"/>
      <c r="H262" s="384"/>
      <c r="I262" s="384"/>
      <c r="J262" s="385"/>
      <c r="K262" s="393"/>
      <c r="L262" s="393"/>
      <c r="M262" s="56"/>
      <c r="N262" s="56"/>
      <c r="O262" s="350">
        <f>53000000/54000000</f>
        <v>0.98148148148148151</v>
      </c>
      <c r="P262" s="55"/>
      <c r="Q262" s="335"/>
      <c r="R262" s="55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5"/>
      <c r="AD262" s="55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</row>
    <row r="263" spans="1:49" ht="15.75" customHeight="1" x14ac:dyDescent="0.15">
      <c r="A263" s="389"/>
      <c r="B263" s="389"/>
      <c r="C263" s="56"/>
      <c r="D263" s="384"/>
      <c r="E263" s="384"/>
      <c r="F263" s="393"/>
      <c r="G263" s="393"/>
      <c r="H263" s="384"/>
      <c r="I263" s="384"/>
      <c r="J263" s="385"/>
      <c r="K263" s="393"/>
      <c r="L263" s="393"/>
      <c r="M263" s="345"/>
      <c r="N263" s="56"/>
      <c r="O263" s="389"/>
      <c r="P263" s="55"/>
      <c r="Q263" s="335"/>
      <c r="R263" s="55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5"/>
      <c r="AD263" s="55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</row>
    <row r="264" spans="1:49" ht="15.75" customHeight="1" x14ac:dyDescent="0.15">
      <c r="A264" s="389"/>
      <c r="B264" s="389"/>
      <c r="C264" s="56"/>
      <c r="D264" s="384"/>
      <c r="E264" s="384"/>
      <c r="F264" s="384"/>
      <c r="G264" s="384"/>
      <c r="H264" s="384"/>
      <c r="I264" s="384"/>
      <c r="J264" s="385"/>
      <c r="K264" s="384"/>
      <c r="L264" s="384"/>
      <c r="M264" s="345"/>
      <c r="N264" s="56"/>
      <c r="O264" s="389"/>
      <c r="P264" s="55"/>
      <c r="Q264" s="335"/>
      <c r="R264" s="55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5"/>
      <c r="AD264" s="55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</row>
    <row r="265" spans="1:49" ht="18.75" customHeight="1" x14ac:dyDescent="0.15">
      <c r="A265" s="56"/>
      <c r="B265" s="56"/>
      <c r="C265" s="56"/>
      <c r="D265" s="384"/>
      <c r="E265" s="384"/>
      <c r="F265" s="384"/>
      <c r="G265" s="384"/>
      <c r="H265" s="384"/>
      <c r="I265" s="384"/>
      <c r="J265" s="385"/>
      <c r="K265" s="384"/>
      <c r="L265" s="384"/>
      <c r="M265" s="345"/>
      <c r="N265" s="56"/>
      <c r="O265" s="389"/>
      <c r="P265" s="55"/>
      <c r="Q265" s="335"/>
      <c r="R265" s="55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5"/>
      <c r="AD265" s="55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</row>
    <row r="266" spans="1:49" ht="18.75" customHeight="1" x14ac:dyDescent="0.15">
      <c r="A266" s="56"/>
      <c r="B266" s="56"/>
      <c r="C266" s="56"/>
      <c r="D266" s="384"/>
      <c r="E266" s="384"/>
      <c r="F266" s="384"/>
      <c r="G266" s="384"/>
      <c r="H266" s="384"/>
      <c r="I266" s="384"/>
      <c r="J266" s="385"/>
      <c r="K266" s="384"/>
      <c r="L266" s="384"/>
      <c r="M266" s="345"/>
      <c r="N266" s="56"/>
      <c r="O266" s="389"/>
      <c r="P266" s="55"/>
      <c r="Q266" s="335"/>
      <c r="R266" s="55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5"/>
      <c r="AD266" s="55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</row>
    <row r="267" spans="1:49" ht="15.75" customHeight="1" x14ac:dyDescent="0.15">
      <c r="A267" s="56"/>
      <c r="B267" s="56"/>
      <c r="C267" s="56"/>
      <c r="D267" s="384"/>
      <c r="E267" s="384"/>
      <c r="F267" s="384"/>
      <c r="G267" s="384"/>
      <c r="H267" s="384"/>
      <c r="I267" s="384"/>
      <c r="J267" s="385"/>
      <c r="K267" s="384"/>
      <c r="L267" s="384"/>
      <c r="M267" s="345"/>
      <c r="N267" s="56"/>
      <c r="O267" s="389"/>
      <c r="P267" s="55"/>
      <c r="Q267" s="335"/>
      <c r="R267" s="55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5"/>
      <c r="AD267" s="55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</row>
    <row r="268" spans="1:49" ht="15.75" customHeight="1" x14ac:dyDescent="0.15">
      <c r="A268" s="56"/>
      <c r="B268" s="56"/>
      <c r="C268" s="56"/>
      <c r="D268" s="390" t="s">
        <v>224</v>
      </c>
      <c r="E268" s="390"/>
      <c r="F268" s="390"/>
      <c r="G268" s="390"/>
      <c r="H268" s="390"/>
      <c r="I268" s="391" t="s">
        <v>375</v>
      </c>
      <c r="J268" s="392"/>
      <c r="K268" s="392"/>
      <c r="L268" s="392"/>
      <c r="M268" s="345"/>
      <c r="N268" s="56"/>
      <c r="O268" s="389"/>
      <c r="P268" s="55"/>
      <c r="Q268" s="55"/>
      <c r="R268" s="55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5"/>
      <c r="AD268" s="55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</row>
    <row r="269" spans="1:49" ht="15.75" customHeight="1" x14ac:dyDescent="0.15">
      <c r="A269" s="56"/>
      <c r="B269" s="56"/>
      <c r="C269" s="56"/>
      <c r="D269" s="394" t="s">
        <v>222</v>
      </c>
      <c r="E269" s="394"/>
      <c r="F269" s="394"/>
      <c r="G269" s="394"/>
      <c r="H269" s="394"/>
      <c r="I269" s="395" t="s">
        <v>376</v>
      </c>
      <c r="J269" s="392"/>
      <c r="K269" s="392"/>
      <c r="L269" s="392"/>
      <c r="M269" s="345"/>
      <c r="N269" s="56"/>
      <c r="O269" s="389"/>
      <c r="P269" s="55"/>
      <c r="Q269" s="55"/>
      <c r="R269" s="55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5"/>
      <c r="AD269" s="55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</row>
    <row r="270" spans="1:49" ht="15.75" customHeight="1" x14ac:dyDescent="0.15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389"/>
      <c r="P270" s="55"/>
      <c r="Q270" s="55"/>
      <c r="R270" s="55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5"/>
      <c r="AD270" s="55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</row>
    <row r="271" spans="1:49" ht="15.75" customHeight="1" x14ac:dyDescent="0.15">
      <c r="A271" s="56"/>
      <c r="B271" s="56"/>
      <c r="C271" s="310"/>
      <c r="D271" s="310"/>
      <c r="E271" s="310"/>
      <c r="F271" s="310"/>
      <c r="G271" s="310"/>
      <c r="H271" s="310"/>
      <c r="I271" s="310"/>
      <c r="J271" s="310"/>
      <c r="K271" s="310"/>
      <c r="L271" s="345"/>
      <c r="M271" s="345"/>
      <c r="N271" s="56"/>
      <c r="O271" s="389"/>
      <c r="P271" s="55"/>
      <c r="Q271" s="55"/>
      <c r="R271" s="55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5"/>
      <c r="AD271" s="55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310"/>
      <c r="AS271" s="310"/>
      <c r="AT271" s="310"/>
      <c r="AU271" s="310"/>
      <c r="AV271" s="310"/>
      <c r="AW271" s="310"/>
    </row>
    <row r="272" spans="1:49" ht="15.75" customHeight="1" x14ac:dyDescent="0.15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345"/>
      <c r="M272" s="345"/>
      <c r="N272" s="56"/>
      <c r="O272" s="389"/>
      <c r="P272" s="55"/>
      <c r="Q272" s="55"/>
      <c r="R272" s="55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5"/>
      <c r="AD272" s="55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</row>
    <row r="273" spans="1:49" ht="15.75" customHeight="1" x14ac:dyDescent="0.15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396" t="s">
        <v>377</v>
      </c>
      <c r="L273" s="392"/>
      <c r="M273" s="397">
        <f>'[1]FINAL QUOT + ADDITIONAL_2703202'!M195+'[1]CE &amp; QUOT ADDITIONAL_29032026'!U56</f>
        <v>390836250</v>
      </c>
      <c r="N273" s="56"/>
      <c r="O273" s="389"/>
      <c r="P273" s="55"/>
      <c r="Q273" s="55"/>
      <c r="R273" s="55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5"/>
      <c r="AD273" s="55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</row>
    <row r="274" spans="1:49" ht="15.75" customHeight="1" x14ac:dyDescent="0.15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396" t="s">
        <v>378</v>
      </c>
      <c r="L274" s="392"/>
      <c r="M274" s="397">
        <f>L231</f>
        <v>286657000</v>
      </c>
      <c r="N274" s="56"/>
      <c r="O274" s="389"/>
      <c r="P274" s="55"/>
      <c r="Q274" s="55"/>
      <c r="R274" s="55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5"/>
      <c r="AD274" s="55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</row>
    <row r="275" spans="1:49" ht="15.75" customHeight="1" x14ac:dyDescent="0.1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396" t="s">
        <v>379</v>
      </c>
      <c r="L275" s="392"/>
      <c r="M275" s="397">
        <f>SUM(M273-M274)</f>
        <v>104179250</v>
      </c>
      <c r="N275" s="56"/>
      <c r="O275" s="386">
        <f>M273-O231</f>
        <v>107575550</v>
      </c>
      <c r="P275" s="55"/>
      <c r="Q275" s="55"/>
      <c r="R275" s="55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5"/>
      <c r="AD275" s="55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</row>
    <row r="276" spans="1:49" ht="15.75" customHeight="1" x14ac:dyDescent="0.15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396" t="s">
        <v>380</v>
      </c>
      <c r="L276" s="392"/>
      <c r="M276" s="398">
        <f>SUM(M275/M273*100)</f>
        <v>26.655472720352837</v>
      </c>
      <c r="N276" s="56"/>
      <c r="O276" s="399">
        <f>O275/M273*100%</f>
        <v>0.27524455574425349</v>
      </c>
      <c r="P276" s="55"/>
      <c r="Q276" s="55"/>
      <c r="R276" s="55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5"/>
      <c r="AD276" s="55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</row>
    <row r="277" spans="1:49" ht="15.75" customHeight="1" x14ac:dyDescent="0.15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400"/>
      <c r="M277" s="400"/>
      <c r="N277" s="56"/>
      <c r="O277" s="389"/>
      <c r="P277" s="55"/>
      <c r="Q277" s="55"/>
      <c r="R277" s="55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5"/>
      <c r="AD277" s="55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</row>
    <row r="278" spans="1:49" ht="15.75" customHeight="1" x14ac:dyDescent="0.15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345"/>
      <c r="M278" s="345">
        <f>'[1]FINAL QUOT + ADDITIONAL_2703202'!M195+18375000</f>
        <v>382987500</v>
      </c>
      <c r="N278" s="56"/>
      <c r="O278" s="389"/>
      <c r="P278" s="55"/>
      <c r="Q278" s="55"/>
      <c r="R278" s="55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5"/>
      <c r="AD278" s="55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</row>
    <row r="279" spans="1:49" ht="15.75" customHeight="1" x14ac:dyDescent="0.15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345" t="s">
        <v>379</v>
      </c>
      <c r="M279" s="345">
        <f>M278-S246</f>
        <v>98026800</v>
      </c>
      <c r="N279" s="56"/>
      <c r="O279" s="389"/>
      <c r="P279" s="55"/>
      <c r="Q279" s="55"/>
      <c r="R279" s="55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5"/>
      <c r="AD279" s="55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</row>
    <row r="280" spans="1:49" ht="15.75" customHeight="1" x14ac:dyDescent="0.15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345"/>
      <c r="M280" s="401">
        <f>M279/M278*100%</f>
        <v>0.25595300107705865</v>
      </c>
      <c r="N280" s="56"/>
      <c r="O280" s="389"/>
      <c r="P280" s="55"/>
      <c r="Q280" s="55"/>
      <c r="R280" s="55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5"/>
      <c r="AD280" s="55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</row>
    <row r="281" spans="1:49" ht="15.75" customHeight="1" x14ac:dyDescent="0.15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345"/>
      <c r="M281" s="345"/>
      <c r="N281" s="56"/>
      <c r="O281" s="389"/>
      <c r="P281" s="55"/>
      <c r="Q281" s="55"/>
      <c r="R281" s="55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5"/>
      <c r="AD281" s="55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</row>
    <row r="282" spans="1:49" ht="15.75" customHeight="1" x14ac:dyDescent="0.15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345"/>
      <c r="M282" s="345"/>
      <c r="N282" s="56"/>
      <c r="O282" s="389"/>
      <c r="P282" s="55"/>
      <c r="Q282" s="55"/>
      <c r="R282" s="55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5"/>
      <c r="AD282" s="55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</row>
    <row r="283" spans="1:49" ht="15.75" customHeight="1" x14ac:dyDescent="0.15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345"/>
      <c r="M283" s="345"/>
      <c r="N283" s="56"/>
      <c r="O283" s="389"/>
      <c r="P283" s="55"/>
      <c r="Q283" s="55"/>
      <c r="R283" s="55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5"/>
      <c r="AD283" s="55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</row>
    <row r="284" spans="1:49" ht="15.75" customHeight="1" x14ac:dyDescent="0.15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345"/>
      <c r="M284" s="345"/>
      <c r="N284" s="56"/>
      <c r="O284" s="389"/>
      <c r="P284" s="55"/>
      <c r="Q284" s="55"/>
      <c r="R284" s="55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5"/>
      <c r="AD284" s="55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</row>
    <row r="285" spans="1:49" ht="15.75" customHeight="1" x14ac:dyDescent="0.1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345"/>
      <c r="M285" s="345"/>
      <c r="N285" s="56"/>
      <c r="O285" s="389"/>
      <c r="P285" s="55"/>
      <c r="Q285" s="55"/>
      <c r="R285" s="55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5"/>
      <c r="AD285" s="55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</row>
    <row r="286" spans="1:49" ht="15.75" customHeight="1" x14ac:dyDescent="0.15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345"/>
      <c r="M286" s="345"/>
      <c r="N286" s="56"/>
      <c r="O286" s="389"/>
      <c r="P286" s="55"/>
      <c r="Q286" s="55"/>
      <c r="R286" s="55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5"/>
      <c r="AD286" s="55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</row>
    <row r="287" spans="1:49" ht="15.75" customHeight="1" x14ac:dyDescent="0.15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345"/>
      <c r="M287" s="345"/>
      <c r="N287" s="56"/>
      <c r="O287" s="389"/>
      <c r="P287" s="55"/>
      <c r="Q287" s="55"/>
      <c r="R287" s="55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5"/>
      <c r="AD287" s="55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</row>
    <row r="288" spans="1:49" ht="15.75" customHeight="1" x14ac:dyDescent="0.15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345"/>
      <c r="M288" s="345"/>
      <c r="N288" s="56"/>
      <c r="O288" s="389"/>
      <c r="P288" s="55"/>
      <c r="Q288" s="55"/>
      <c r="R288" s="55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5"/>
      <c r="AD288" s="55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</row>
    <row r="289" spans="1:49" ht="15.75" customHeight="1" x14ac:dyDescent="0.15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345"/>
      <c r="M289" s="345"/>
      <c r="N289" s="56"/>
      <c r="O289" s="389"/>
      <c r="P289" s="55"/>
      <c r="Q289" s="55"/>
      <c r="R289" s="55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5"/>
      <c r="AD289" s="55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</row>
    <row r="290" spans="1:49" ht="15.75" customHeight="1" x14ac:dyDescent="0.15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345"/>
      <c r="M290" s="345"/>
      <c r="N290" s="56"/>
      <c r="O290" s="389"/>
      <c r="P290" s="55"/>
      <c r="Q290" s="55"/>
      <c r="R290" s="55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5"/>
      <c r="AD290" s="55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</row>
    <row r="291" spans="1:49" ht="15.75" customHeight="1" x14ac:dyDescent="0.15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345"/>
      <c r="M291" s="345"/>
      <c r="N291" s="56"/>
      <c r="O291" s="389"/>
      <c r="P291" s="55"/>
      <c r="Q291" s="55"/>
      <c r="R291" s="55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5"/>
      <c r="AD291" s="55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</row>
    <row r="292" spans="1:49" ht="15.75" customHeight="1" x14ac:dyDescent="0.15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345"/>
      <c r="M292" s="345"/>
      <c r="N292" s="56"/>
      <c r="O292" s="389"/>
      <c r="P292" s="55"/>
      <c r="Q292" s="55"/>
      <c r="R292" s="55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5"/>
      <c r="AD292" s="55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</row>
    <row r="293" spans="1:49" ht="15.75" customHeight="1" x14ac:dyDescent="0.15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345"/>
      <c r="M293" s="345"/>
      <c r="N293" s="56"/>
      <c r="O293" s="389"/>
      <c r="P293" s="55"/>
      <c r="Q293" s="55"/>
      <c r="R293" s="55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5"/>
      <c r="AD293" s="55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</row>
    <row r="294" spans="1:49" ht="15.75" customHeight="1" x14ac:dyDescent="0.15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345"/>
      <c r="M294" s="345"/>
      <c r="N294" s="56"/>
      <c r="O294" s="389"/>
      <c r="P294" s="55"/>
      <c r="Q294" s="55"/>
      <c r="R294" s="55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5"/>
      <c r="AD294" s="55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</row>
    <row r="295" spans="1:49" ht="15.75" customHeight="1" x14ac:dyDescent="0.1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345"/>
      <c r="M295" s="345"/>
      <c r="N295" s="56"/>
      <c r="O295" s="389"/>
      <c r="P295" s="55"/>
      <c r="Q295" s="55"/>
      <c r="R295" s="55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5"/>
      <c r="AD295" s="55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</row>
    <row r="296" spans="1:49" ht="15.75" customHeight="1" x14ac:dyDescent="0.15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349"/>
      <c r="M296" s="349"/>
      <c r="N296" s="56"/>
      <c r="O296" s="389"/>
      <c r="P296" s="55"/>
      <c r="Q296" s="55"/>
      <c r="R296" s="55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5"/>
      <c r="AD296" s="55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</row>
    <row r="297" spans="1:49" ht="15.75" customHeight="1" x14ac:dyDescent="0.15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349"/>
      <c r="M297" s="349"/>
      <c r="N297" s="56"/>
      <c r="O297" s="389"/>
      <c r="P297" s="55"/>
      <c r="Q297" s="55"/>
      <c r="R297" s="55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5"/>
      <c r="AD297" s="55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</row>
    <row r="298" spans="1:49" ht="15.75" customHeight="1" x14ac:dyDescent="0.15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349"/>
      <c r="M298" s="349"/>
      <c r="N298" s="56"/>
      <c r="O298" s="389"/>
      <c r="P298" s="55"/>
      <c r="Q298" s="55"/>
      <c r="R298" s="55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5"/>
      <c r="AD298" s="55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</row>
    <row r="299" spans="1:49" ht="15.75" customHeight="1" x14ac:dyDescent="0.15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349"/>
      <c r="M299" s="349"/>
      <c r="N299" s="56"/>
      <c r="O299" s="389"/>
      <c r="P299" s="55"/>
      <c r="Q299" s="55"/>
      <c r="R299" s="55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5"/>
      <c r="AD299" s="55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</row>
    <row r="300" spans="1:49" ht="15.75" customHeight="1" x14ac:dyDescent="0.15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349"/>
      <c r="M300" s="349"/>
      <c r="N300" s="56"/>
      <c r="O300" s="389"/>
      <c r="P300" s="55"/>
      <c r="Q300" s="55"/>
      <c r="R300" s="55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5"/>
      <c r="AD300" s="55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</row>
    <row r="301" spans="1:49" ht="15.75" customHeight="1" x14ac:dyDescent="0.15">
      <c r="A301" s="389"/>
      <c r="B301" s="389"/>
      <c r="C301" s="56"/>
      <c r="D301" s="56"/>
      <c r="E301" s="56"/>
      <c r="F301" s="56"/>
      <c r="G301" s="56"/>
      <c r="H301" s="56"/>
      <c r="I301" s="56"/>
      <c r="J301" s="56"/>
      <c r="K301" s="56"/>
      <c r="L301" s="349"/>
      <c r="M301" s="349"/>
      <c r="N301" s="56"/>
      <c r="O301" s="389"/>
      <c r="P301" s="55"/>
      <c r="Q301" s="55"/>
      <c r="R301" s="55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5"/>
      <c r="AD301" s="55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</row>
    <row r="302" spans="1:49" ht="15.75" customHeight="1" x14ac:dyDescent="0.15">
      <c r="A302" s="389"/>
      <c r="B302" s="389"/>
      <c r="C302" s="56"/>
      <c r="D302" s="56"/>
      <c r="E302" s="56"/>
      <c r="F302" s="56"/>
      <c r="G302" s="56"/>
      <c r="H302" s="56"/>
      <c r="I302" s="56"/>
      <c r="J302" s="56"/>
      <c r="K302" s="56"/>
      <c r="L302" s="349"/>
      <c r="M302" s="349"/>
      <c r="N302" s="56"/>
      <c r="O302" s="389"/>
      <c r="P302" s="55"/>
      <c r="Q302" s="55"/>
      <c r="R302" s="55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5"/>
      <c r="AD302" s="55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</row>
    <row r="303" spans="1:49" ht="15.75" customHeight="1" x14ac:dyDescent="0.15">
      <c r="A303" s="389"/>
      <c r="B303" s="389"/>
      <c r="C303" s="56"/>
      <c r="D303" s="56"/>
      <c r="E303" s="56"/>
      <c r="F303" s="56"/>
      <c r="G303" s="56"/>
      <c r="H303" s="56"/>
      <c r="I303" s="56"/>
      <c r="J303" s="56"/>
      <c r="K303" s="56"/>
      <c r="L303" s="349"/>
      <c r="M303" s="349"/>
      <c r="N303" s="56"/>
      <c r="O303" s="389"/>
      <c r="P303" s="55"/>
      <c r="Q303" s="55"/>
      <c r="R303" s="55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5"/>
      <c r="AD303" s="55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</row>
    <row r="304" spans="1:49" ht="15.75" customHeight="1" x14ac:dyDescent="0.15">
      <c r="A304" s="389"/>
      <c r="B304" s="389"/>
      <c r="C304" s="56"/>
      <c r="D304" s="56"/>
      <c r="E304" s="56"/>
      <c r="F304" s="56"/>
      <c r="G304" s="56"/>
      <c r="H304" s="56"/>
      <c r="I304" s="56"/>
      <c r="J304" s="56"/>
      <c r="K304" s="56"/>
      <c r="L304" s="349"/>
      <c r="M304" s="349"/>
      <c r="N304" s="56"/>
      <c r="O304" s="389"/>
      <c r="P304" s="55"/>
      <c r="Q304" s="55"/>
      <c r="R304" s="55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5"/>
      <c r="AD304" s="55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</row>
    <row r="305" spans="1:49" ht="15.75" customHeight="1" x14ac:dyDescent="0.15">
      <c r="A305" s="389"/>
      <c r="B305" s="389"/>
      <c r="C305" s="56"/>
      <c r="D305" s="56"/>
      <c r="E305" s="56"/>
      <c r="F305" s="56"/>
      <c r="G305" s="56"/>
      <c r="H305" s="56"/>
      <c r="I305" s="56"/>
      <c r="J305" s="56"/>
      <c r="K305" s="56"/>
      <c r="L305" s="349"/>
      <c r="M305" s="349"/>
      <c r="N305" s="56"/>
      <c r="O305" s="389"/>
      <c r="P305" s="55"/>
      <c r="Q305" s="55"/>
      <c r="R305" s="55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5"/>
      <c r="AD305" s="55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</row>
    <row r="306" spans="1:49" ht="15.75" customHeight="1" x14ac:dyDescent="0.15">
      <c r="A306" s="389"/>
      <c r="B306" s="389"/>
      <c r="C306" s="56"/>
      <c r="D306" s="56"/>
      <c r="E306" s="56"/>
      <c r="F306" s="56"/>
      <c r="G306" s="56"/>
      <c r="H306" s="56"/>
      <c r="I306" s="56"/>
      <c r="J306" s="56"/>
      <c r="K306" s="56"/>
      <c r="L306" s="349"/>
      <c r="M306" s="349"/>
      <c r="N306" s="56"/>
      <c r="O306" s="389"/>
      <c r="P306" s="55"/>
      <c r="Q306" s="55"/>
      <c r="R306" s="55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5"/>
      <c r="AD306" s="55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</row>
    <row r="307" spans="1:49" ht="15.75" customHeight="1" x14ac:dyDescent="0.15">
      <c r="A307" s="389"/>
      <c r="B307" s="389"/>
      <c r="C307" s="56"/>
      <c r="D307" s="56"/>
      <c r="E307" s="56"/>
      <c r="F307" s="56"/>
      <c r="G307" s="56"/>
      <c r="H307" s="56"/>
      <c r="I307" s="56"/>
      <c r="J307" s="56"/>
      <c r="K307" s="56"/>
      <c r="L307" s="349"/>
      <c r="M307" s="349"/>
      <c r="N307" s="56"/>
      <c r="O307" s="389"/>
      <c r="P307" s="55"/>
      <c r="Q307" s="55"/>
      <c r="R307" s="55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5"/>
      <c r="AD307" s="55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</row>
    <row r="308" spans="1:49" ht="15.75" customHeight="1" x14ac:dyDescent="0.15">
      <c r="A308" s="389"/>
      <c r="B308" s="389"/>
      <c r="C308" s="56"/>
      <c r="D308" s="56"/>
      <c r="E308" s="56"/>
      <c r="F308" s="56"/>
      <c r="G308" s="56"/>
      <c r="H308" s="56"/>
      <c r="I308" s="56"/>
      <c r="J308" s="56"/>
      <c r="K308" s="56"/>
      <c r="L308" s="349"/>
      <c r="M308" s="349"/>
      <c r="N308" s="56"/>
      <c r="O308" s="389"/>
      <c r="P308" s="55"/>
      <c r="Q308" s="55"/>
      <c r="R308" s="55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5"/>
      <c r="AD308" s="55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</row>
    <row r="309" spans="1:49" ht="15.75" customHeight="1" x14ac:dyDescent="0.15">
      <c r="A309" s="389"/>
      <c r="B309" s="389"/>
      <c r="C309" s="56"/>
      <c r="D309" s="56"/>
      <c r="E309" s="56"/>
      <c r="F309" s="56"/>
      <c r="G309" s="56"/>
      <c r="H309" s="56"/>
      <c r="I309" s="56"/>
      <c r="J309" s="56"/>
      <c r="K309" s="56"/>
      <c r="L309" s="349"/>
      <c r="M309" s="349"/>
      <c r="N309" s="56"/>
      <c r="O309" s="389"/>
      <c r="P309" s="55"/>
      <c r="Q309" s="55"/>
      <c r="R309" s="55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5"/>
      <c r="AD309" s="55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</row>
    <row r="310" spans="1:49" ht="15.75" customHeight="1" x14ac:dyDescent="0.15">
      <c r="A310" s="389"/>
      <c r="B310" s="389"/>
      <c r="C310" s="56"/>
      <c r="D310" s="56"/>
      <c r="E310" s="56"/>
      <c r="F310" s="56"/>
      <c r="G310" s="56"/>
      <c r="H310" s="56"/>
      <c r="I310" s="56"/>
      <c r="J310" s="56"/>
      <c r="K310" s="56"/>
      <c r="L310" s="349"/>
      <c r="M310" s="349"/>
      <c r="N310" s="56"/>
      <c r="O310" s="389"/>
      <c r="P310" s="55"/>
      <c r="Q310" s="55"/>
      <c r="R310" s="55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5"/>
      <c r="AD310" s="55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</row>
    <row r="311" spans="1:49" ht="15.75" customHeight="1" x14ac:dyDescent="0.15">
      <c r="A311" s="389"/>
      <c r="B311" s="389"/>
      <c r="C311" s="56"/>
      <c r="D311" s="56"/>
      <c r="E311" s="56"/>
      <c r="F311" s="56"/>
      <c r="G311" s="56"/>
      <c r="H311" s="56"/>
      <c r="I311" s="56"/>
      <c r="J311" s="56"/>
      <c r="K311" s="56"/>
      <c r="L311" s="349"/>
      <c r="M311" s="349"/>
      <c r="N311" s="56"/>
      <c r="O311" s="389"/>
      <c r="P311" s="55"/>
      <c r="Q311" s="55"/>
      <c r="R311" s="55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5"/>
      <c r="AD311" s="55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</row>
    <row r="312" spans="1:49" ht="15.75" customHeight="1" x14ac:dyDescent="0.15">
      <c r="A312" s="389"/>
      <c r="B312" s="389"/>
      <c r="C312" s="56"/>
      <c r="D312" s="56"/>
      <c r="E312" s="56"/>
      <c r="F312" s="56"/>
      <c r="G312" s="56"/>
      <c r="H312" s="56"/>
      <c r="I312" s="56"/>
      <c r="J312" s="56"/>
      <c r="K312" s="56"/>
      <c r="L312" s="349"/>
      <c r="M312" s="349"/>
      <c r="N312" s="56"/>
      <c r="O312" s="389"/>
      <c r="P312" s="55"/>
      <c r="Q312" s="55"/>
      <c r="R312" s="55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5"/>
      <c r="AD312" s="55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</row>
    <row r="313" spans="1:49" ht="15.75" customHeight="1" x14ac:dyDescent="0.15">
      <c r="A313" s="389"/>
      <c r="B313" s="389"/>
      <c r="C313" s="56"/>
      <c r="D313" s="56"/>
      <c r="E313" s="56"/>
      <c r="F313" s="56"/>
      <c r="G313" s="56"/>
      <c r="H313" s="56"/>
      <c r="I313" s="56"/>
      <c r="J313" s="56"/>
      <c r="K313" s="56"/>
      <c r="L313" s="349"/>
      <c r="M313" s="349"/>
      <c r="N313" s="56"/>
      <c r="O313" s="389"/>
      <c r="P313" s="55"/>
      <c r="Q313" s="55"/>
      <c r="R313" s="55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5"/>
      <c r="AD313" s="55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</row>
    <row r="314" spans="1:49" ht="15.75" customHeight="1" x14ac:dyDescent="0.15">
      <c r="A314" s="389"/>
      <c r="B314" s="389"/>
      <c r="C314" s="56"/>
      <c r="D314" s="56"/>
      <c r="E314" s="56"/>
      <c r="F314" s="56"/>
      <c r="G314" s="56"/>
      <c r="H314" s="56"/>
      <c r="I314" s="56"/>
      <c r="J314" s="56"/>
      <c r="K314" s="56"/>
      <c r="L314" s="349"/>
      <c r="M314" s="349"/>
      <c r="N314" s="56"/>
      <c r="O314" s="389"/>
      <c r="P314" s="55"/>
      <c r="Q314" s="55"/>
      <c r="R314" s="55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5"/>
      <c r="AD314" s="55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</row>
    <row r="315" spans="1:49" ht="15.75" customHeight="1" x14ac:dyDescent="0.15">
      <c r="A315" s="389"/>
      <c r="B315" s="389"/>
      <c r="C315" s="56"/>
      <c r="D315" s="56"/>
      <c r="E315" s="56"/>
      <c r="F315" s="56"/>
      <c r="G315" s="56"/>
      <c r="H315" s="56"/>
      <c r="I315" s="56"/>
      <c r="J315" s="56"/>
      <c r="K315" s="56"/>
      <c r="L315" s="349"/>
      <c r="M315" s="349"/>
      <c r="N315" s="56"/>
      <c r="O315" s="389"/>
      <c r="P315" s="55"/>
      <c r="Q315" s="55"/>
      <c r="R315" s="55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5"/>
      <c r="AD315" s="55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</row>
    <row r="316" spans="1:49" ht="15.75" customHeight="1" x14ac:dyDescent="0.15">
      <c r="A316" s="389"/>
      <c r="B316" s="389"/>
      <c r="C316" s="56"/>
      <c r="D316" s="56"/>
      <c r="E316" s="56"/>
      <c r="F316" s="56"/>
      <c r="G316" s="56"/>
      <c r="H316" s="56"/>
      <c r="I316" s="56"/>
      <c r="J316" s="56"/>
      <c r="K316" s="56"/>
      <c r="L316" s="349"/>
      <c r="M316" s="349"/>
      <c r="N316" s="56"/>
      <c r="O316" s="389"/>
      <c r="P316" s="55"/>
      <c r="Q316" s="55"/>
      <c r="R316" s="55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5"/>
      <c r="AD316" s="55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</row>
    <row r="317" spans="1:49" ht="15.75" customHeight="1" x14ac:dyDescent="0.15">
      <c r="A317" s="389"/>
      <c r="B317" s="389"/>
      <c r="C317" s="56"/>
      <c r="D317" s="56"/>
      <c r="E317" s="56"/>
      <c r="F317" s="56"/>
      <c r="G317" s="56"/>
      <c r="H317" s="56"/>
      <c r="I317" s="56"/>
      <c r="J317" s="56"/>
      <c r="K317" s="56"/>
      <c r="L317" s="349"/>
      <c r="M317" s="349"/>
      <c r="N317" s="56"/>
      <c r="O317" s="389"/>
      <c r="P317" s="55"/>
      <c r="Q317" s="55"/>
      <c r="R317" s="55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5"/>
      <c r="AD317" s="55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</row>
    <row r="318" spans="1:49" ht="15.75" customHeight="1" x14ac:dyDescent="0.15">
      <c r="A318" s="389"/>
      <c r="B318" s="389"/>
      <c r="C318" s="56"/>
      <c r="D318" s="56"/>
      <c r="E318" s="56"/>
      <c r="F318" s="56"/>
      <c r="G318" s="56"/>
      <c r="H318" s="56"/>
      <c r="I318" s="56"/>
      <c r="J318" s="56"/>
      <c r="K318" s="56"/>
      <c r="L318" s="349"/>
      <c r="M318" s="349"/>
      <c r="N318" s="56"/>
      <c r="O318" s="389"/>
      <c r="P318" s="55"/>
      <c r="Q318" s="55"/>
      <c r="R318" s="55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5"/>
      <c r="AD318" s="55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</row>
    <row r="319" spans="1:49" ht="15.75" customHeight="1" x14ac:dyDescent="0.15">
      <c r="A319" s="389"/>
      <c r="B319" s="389"/>
      <c r="C319" s="56"/>
      <c r="D319" s="56"/>
      <c r="E319" s="56"/>
      <c r="F319" s="56"/>
      <c r="G319" s="56"/>
      <c r="H319" s="56"/>
      <c r="I319" s="56"/>
      <c r="J319" s="56"/>
      <c r="K319" s="56"/>
      <c r="L319" s="349"/>
      <c r="M319" s="349"/>
      <c r="N319" s="56"/>
      <c r="O319" s="389"/>
      <c r="P319" s="55"/>
      <c r="Q319" s="55"/>
      <c r="R319" s="55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5"/>
      <c r="AD319" s="55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</row>
    <row r="320" spans="1:49" ht="15.75" customHeight="1" x14ac:dyDescent="0.15">
      <c r="A320" s="389"/>
      <c r="B320" s="389"/>
      <c r="C320" s="56"/>
      <c r="D320" s="56"/>
      <c r="E320" s="56"/>
      <c r="F320" s="56"/>
      <c r="G320" s="56"/>
      <c r="H320" s="56"/>
      <c r="I320" s="56"/>
      <c r="J320" s="56"/>
      <c r="K320" s="56"/>
      <c r="L320" s="349"/>
      <c r="M320" s="349"/>
      <c r="N320" s="56"/>
      <c r="O320" s="389"/>
      <c r="P320" s="55"/>
      <c r="Q320" s="55"/>
      <c r="R320" s="55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5"/>
      <c r="AD320" s="55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</row>
    <row r="321" spans="1:49" ht="15.75" customHeight="1" x14ac:dyDescent="0.15">
      <c r="A321" s="389"/>
      <c r="B321" s="389"/>
      <c r="C321" s="56"/>
      <c r="D321" s="56"/>
      <c r="E321" s="56"/>
      <c r="F321" s="56"/>
      <c r="G321" s="56"/>
      <c r="H321" s="56"/>
      <c r="I321" s="56"/>
      <c r="J321" s="56"/>
      <c r="K321" s="56"/>
      <c r="L321" s="349"/>
      <c r="M321" s="349"/>
      <c r="N321" s="56"/>
      <c r="O321" s="389"/>
      <c r="P321" s="55"/>
      <c r="Q321" s="55"/>
      <c r="R321" s="55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5"/>
      <c r="AD321" s="55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</row>
    <row r="322" spans="1:49" ht="15.75" customHeight="1" x14ac:dyDescent="0.15">
      <c r="A322" s="389"/>
      <c r="B322" s="389"/>
      <c r="C322" s="56"/>
      <c r="D322" s="56"/>
      <c r="E322" s="56"/>
      <c r="F322" s="56"/>
      <c r="G322" s="56"/>
      <c r="H322" s="56"/>
      <c r="I322" s="56"/>
      <c r="J322" s="56"/>
      <c r="K322" s="56"/>
      <c r="L322" s="349"/>
      <c r="M322" s="349"/>
      <c r="N322" s="56"/>
      <c r="O322" s="389"/>
      <c r="P322" s="55"/>
      <c r="Q322" s="55"/>
      <c r="R322" s="55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5"/>
      <c r="AD322" s="55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</row>
    <row r="323" spans="1:49" ht="15.75" customHeight="1" x14ac:dyDescent="0.15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349"/>
      <c r="M323" s="349"/>
      <c r="N323" s="56"/>
      <c r="O323" s="389"/>
      <c r="P323" s="55"/>
      <c r="Q323" s="55"/>
      <c r="R323" s="55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5"/>
      <c r="AD323" s="55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</row>
    <row r="324" spans="1:49" ht="15.75" customHeight="1" x14ac:dyDescent="0.15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349"/>
      <c r="M324" s="349"/>
      <c r="N324" s="56"/>
      <c r="O324" s="389"/>
      <c r="P324" s="55"/>
      <c r="Q324" s="55"/>
      <c r="R324" s="55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5"/>
      <c r="AD324" s="55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</row>
    <row r="325" spans="1:49" ht="15.75" customHeight="1" x14ac:dyDescent="0.1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349"/>
      <c r="M325" s="349"/>
      <c r="N325" s="56"/>
      <c r="O325" s="389"/>
      <c r="P325" s="55"/>
      <c r="Q325" s="55"/>
      <c r="R325" s="55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5"/>
      <c r="AD325" s="55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</row>
    <row r="326" spans="1:49" ht="15.75" customHeight="1" x14ac:dyDescent="0.15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349"/>
      <c r="M326" s="349"/>
      <c r="N326" s="56"/>
      <c r="O326" s="389"/>
      <c r="P326" s="55"/>
      <c r="Q326" s="55"/>
      <c r="R326" s="55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5"/>
      <c r="AD326" s="55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</row>
    <row r="327" spans="1:49" ht="15.75" customHeight="1" x14ac:dyDescent="0.15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349"/>
      <c r="M327" s="349"/>
      <c r="N327" s="56"/>
      <c r="O327" s="389"/>
      <c r="P327" s="55"/>
      <c r="Q327" s="55"/>
      <c r="R327" s="55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5"/>
      <c r="AD327" s="55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</row>
    <row r="328" spans="1:49" ht="15.75" customHeight="1" x14ac:dyDescent="0.15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349"/>
      <c r="M328" s="349"/>
      <c r="N328" s="56"/>
      <c r="O328" s="389"/>
      <c r="P328" s="55"/>
      <c r="Q328" s="55"/>
      <c r="R328" s="55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5"/>
      <c r="AD328" s="55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</row>
    <row r="329" spans="1:49" ht="15.75" customHeight="1" x14ac:dyDescent="0.15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349"/>
      <c r="M329" s="349"/>
      <c r="N329" s="56"/>
      <c r="O329" s="389"/>
      <c r="P329" s="55"/>
      <c r="Q329" s="55"/>
      <c r="R329" s="55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5"/>
      <c r="AD329" s="55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</row>
    <row r="330" spans="1:49" ht="15.75" customHeight="1" x14ac:dyDescent="0.15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349"/>
      <c r="M330" s="349"/>
      <c r="N330" s="56"/>
      <c r="O330" s="389"/>
      <c r="P330" s="55"/>
      <c r="Q330" s="55"/>
      <c r="R330" s="55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5"/>
      <c r="AD330" s="55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</row>
    <row r="331" spans="1:49" ht="15.75" customHeight="1" x14ac:dyDescent="0.15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349"/>
      <c r="M331" s="349"/>
      <c r="N331" s="56"/>
      <c r="O331" s="389"/>
      <c r="P331" s="55"/>
      <c r="Q331" s="55"/>
      <c r="R331" s="55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5"/>
      <c r="AD331" s="55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</row>
    <row r="332" spans="1:49" ht="15.75" customHeight="1" x14ac:dyDescent="0.15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349"/>
      <c r="M332" s="349"/>
      <c r="N332" s="56"/>
      <c r="O332" s="389"/>
      <c r="P332" s="55"/>
      <c r="Q332" s="55"/>
      <c r="R332" s="55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5"/>
      <c r="AD332" s="55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</row>
    <row r="333" spans="1:49" ht="15.75" customHeight="1" x14ac:dyDescent="0.15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349"/>
      <c r="M333" s="349"/>
      <c r="N333" s="56"/>
      <c r="O333" s="389"/>
      <c r="P333" s="55"/>
      <c r="Q333" s="55"/>
      <c r="R333" s="55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5"/>
      <c r="AD333" s="55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</row>
    <row r="334" spans="1:49" ht="15.75" customHeight="1" x14ac:dyDescent="0.15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349"/>
      <c r="M334" s="349"/>
      <c r="N334" s="56"/>
      <c r="O334" s="389"/>
      <c r="P334" s="55"/>
      <c r="Q334" s="55"/>
      <c r="R334" s="55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5"/>
      <c r="AD334" s="55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</row>
    <row r="335" spans="1:49" ht="15.75" customHeight="1" x14ac:dyDescent="0.1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349"/>
      <c r="M335" s="349"/>
      <c r="N335" s="56"/>
      <c r="O335" s="389"/>
      <c r="P335" s="55"/>
      <c r="Q335" s="55"/>
      <c r="R335" s="55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5"/>
      <c r="AD335" s="55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</row>
    <row r="336" spans="1:49" ht="15.75" customHeight="1" x14ac:dyDescent="0.15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349"/>
      <c r="M336" s="349"/>
      <c r="N336" s="56"/>
      <c r="O336" s="389"/>
      <c r="P336" s="55"/>
      <c r="Q336" s="55"/>
      <c r="R336" s="55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5"/>
      <c r="AD336" s="55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</row>
    <row r="337" spans="1:49" ht="15.75" customHeight="1" x14ac:dyDescent="0.15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349"/>
      <c r="M337" s="349"/>
      <c r="N337" s="56"/>
      <c r="O337" s="389"/>
      <c r="P337" s="55"/>
      <c r="Q337" s="55"/>
      <c r="R337" s="55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5"/>
      <c r="AD337" s="55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</row>
    <row r="338" spans="1:49" ht="15.75" customHeight="1" x14ac:dyDescent="0.15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349"/>
      <c r="M338" s="349"/>
      <c r="N338" s="56"/>
      <c r="O338" s="389"/>
      <c r="P338" s="55"/>
      <c r="Q338" s="55"/>
      <c r="R338" s="55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5"/>
      <c r="AD338" s="55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</row>
    <row r="339" spans="1:49" ht="15.75" customHeight="1" x14ac:dyDescent="0.15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349"/>
      <c r="M339" s="349"/>
      <c r="N339" s="56"/>
      <c r="O339" s="389"/>
      <c r="P339" s="55"/>
      <c r="Q339" s="55"/>
      <c r="R339" s="55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5"/>
      <c r="AD339" s="55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</row>
    <row r="340" spans="1:49" ht="15.75" customHeight="1" x14ac:dyDescent="0.15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349"/>
      <c r="M340" s="349"/>
      <c r="N340" s="56"/>
      <c r="O340" s="389"/>
      <c r="P340" s="55"/>
      <c r="Q340" s="55"/>
      <c r="R340" s="55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5"/>
      <c r="AD340" s="55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</row>
    <row r="341" spans="1:49" ht="15.75" customHeight="1" x14ac:dyDescent="0.15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349"/>
      <c r="M341" s="349"/>
      <c r="N341" s="56"/>
      <c r="O341" s="389"/>
      <c r="P341" s="55"/>
      <c r="Q341" s="55"/>
      <c r="R341" s="55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5"/>
      <c r="AD341" s="55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</row>
    <row r="342" spans="1:49" ht="15.75" customHeight="1" x14ac:dyDescent="0.15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349"/>
      <c r="M342" s="349"/>
      <c r="N342" s="56"/>
      <c r="O342" s="389"/>
      <c r="P342" s="55"/>
      <c r="Q342" s="55"/>
      <c r="R342" s="55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5"/>
      <c r="AD342" s="55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</row>
    <row r="343" spans="1:49" ht="15.75" customHeight="1" x14ac:dyDescent="0.15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349"/>
      <c r="M343" s="349"/>
      <c r="N343" s="56"/>
      <c r="O343" s="389"/>
      <c r="P343" s="55"/>
      <c r="Q343" s="55"/>
      <c r="R343" s="55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5"/>
      <c r="AD343" s="55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</row>
    <row r="344" spans="1:49" ht="15.75" customHeight="1" x14ac:dyDescent="0.15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349"/>
      <c r="M344" s="349"/>
      <c r="N344" s="56"/>
      <c r="O344" s="389"/>
      <c r="P344" s="55"/>
      <c r="Q344" s="55"/>
      <c r="R344" s="55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5"/>
      <c r="AD344" s="55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</row>
    <row r="345" spans="1:49" ht="15.75" customHeight="1" x14ac:dyDescent="0.1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349"/>
      <c r="M345" s="349"/>
      <c r="N345" s="56"/>
      <c r="O345" s="389"/>
      <c r="P345" s="55"/>
      <c r="Q345" s="55"/>
      <c r="R345" s="55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5"/>
      <c r="AD345" s="55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</row>
    <row r="346" spans="1:49" ht="15.75" customHeight="1" x14ac:dyDescent="0.15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349"/>
      <c r="M346" s="349"/>
      <c r="N346" s="56"/>
      <c r="O346" s="389"/>
      <c r="P346" s="55"/>
      <c r="Q346" s="55"/>
      <c r="R346" s="55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5"/>
      <c r="AD346" s="55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</row>
    <row r="347" spans="1:49" ht="15.75" customHeight="1" x14ac:dyDescent="0.15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349"/>
      <c r="M347" s="349"/>
      <c r="N347" s="56"/>
      <c r="O347" s="389"/>
      <c r="P347" s="55"/>
      <c r="Q347" s="55"/>
      <c r="R347" s="55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5"/>
      <c r="AD347" s="55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</row>
    <row r="348" spans="1:49" ht="15.75" customHeight="1" x14ac:dyDescent="0.15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349"/>
      <c r="M348" s="349"/>
      <c r="N348" s="56"/>
      <c r="O348" s="389"/>
      <c r="P348" s="55"/>
      <c r="Q348" s="55"/>
      <c r="R348" s="55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5"/>
      <c r="AD348" s="55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</row>
    <row r="349" spans="1:49" ht="15.75" customHeight="1" x14ac:dyDescent="0.15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349"/>
      <c r="M349" s="349"/>
      <c r="N349" s="56"/>
      <c r="O349" s="389"/>
      <c r="P349" s="55"/>
      <c r="Q349" s="55"/>
      <c r="R349" s="55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5"/>
      <c r="AD349" s="55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</row>
    <row r="350" spans="1:49" ht="15.75" customHeight="1" x14ac:dyDescent="0.15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349"/>
      <c r="M350" s="349"/>
      <c r="N350" s="56"/>
      <c r="O350" s="389"/>
      <c r="P350" s="55"/>
      <c r="Q350" s="55"/>
      <c r="R350" s="55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5"/>
      <c r="AD350" s="55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</row>
    <row r="351" spans="1:49" ht="15.75" customHeight="1" x14ac:dyDescent="0.15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349"/>
      <c r="M351" s="349"/>
      <c r="N351" s="56"/>
      <c r="O351" s="389"/>
      <c r="P351" s="55"/>
      <c r="Q351" s="55"/>
      <c r="R351" s="55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5"/>
      <c r="AD351" s="55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</row>
    <row r="352" spans="1:49" ht="15.75" customHeight="1" x14ac:dyDescent="0.15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349"/>
      <c r="M352" s="349"/>
      <c r="N352" s="56"/>
      <c r="O352" s="389"/>
      <c r="P352" s="55"/>
      <c r="Q352" s="55"/>
      <c r="R352" s="55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5"/>
      <c r="AD352" s="55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</row>
    <row r="353" spans="1:49" ht="15.75" customHeight="1" x14ac:dyDescent="0.15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349"/>
      <c r="M353" s="349"/>
      <c r="N353" s="56"/>
      <c r="O353" s="389"/>
      <c r="P353" s="55"/>
      <c r="Q353" s="55"/>
      <c r="R353" s="55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5"/>
      <c r="AD353" s="55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</row>
    <row r="354" spans="1:49" ht="15.75" customHeight="1" x14ac:dyDescent="0.15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349"/>
      <c r="M354" s="349"/>
      <c r="N354" s="56"/>
      <c r="O354" s="389"/>
      <c r="P354" s="55"/>
      <c r="Q354" s="55"/>
      <c r="R354" s="55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5"/>
      <c r="AD354" s="55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</row>
    <row r="355" spans="1:49" ht="15.75" customHeight="1" x14ac:dyDescent="0.1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349"/>
      <c r="M355" s="349"/>
      <c r="N355" s="56"/>
      <c r="O355" s="389"/>
      <c r="P355" s="55"/>
      <c r="Q355" s="55"/>
      <c r="R355" s="55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5"/>
      <c r="AD355" s="55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</row>
    <row r="356" spans="1:49" ht="15.75" customHeight="1" x14ac:dyDescent="0.15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349"/>
      <c r="M356" s="349"/>
      <c r="N356" s="56"/>
      <c r="O356" s="389"/>
      <c r="P356" s="55"/>
      <c r="Q356" s="55"/>
      <c r="R356" s="55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5"/>
      <c r="AD356" s="55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</row>
    <row r="357" spans="1:49" ht="15.75" customHeight="1" x14ac:dyDescent="0.15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349"/>
      <c r="M357" s="349"/>
      <c r="N357" s="56"/>
      <c r="O357" s="389"/>
      <c r="P357" s="55"/>
      <c r="Q357" s="55"/>
      <c r="R357" s="55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5"/>
      <c r="AD357" s="55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</row>
    <row r="358" spans="1:49" ht="15.75" customHeight="1" x14ac:dyDescent="0.15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349"/>
      <c r="M358" s="349"/>
      <c r="N358" s="56"/>
      <c r="O358" s="389"/>
      <c r="P358" s="55"/>
      <c r="Q358" s="55"/>
      <c r="R358" s="55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5"/>
      <c r="AD358" s="55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</row>
    <row r="359" spans="1:49" ht="15.75" customHeight="1" x14ac:dyDescent="0.15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349"/>
      <c r="M359" s="349"/>
      <c r="N359" s="56"/>
      <c r="O359" s="389"/>
      <c r="P359" s="55"/>
      <c r="Q359" s="55"/>
      <c r="R359" s="55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5"/>
      <c r="AD359" s="55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</row>
    <row r="360" spans="1:49" ht="15.75" customHeight="1" x14ac:dyDescent="0.15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349"/>
      <c r="M360" s="349"/>
      <c r="N360" s="56"/>
      <c r="O360" s="389"/>
      <c r="P360" s="55"/>
      <c r="Q360" s="55"/>
      <c r="R360" s="55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5"/>
      <c r="AD360" s="55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</row>
    <row r="361" spans="1:49" ht="15.75" customHeight="1" x14ac:dyDescent="0.15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349"/>
      <c r="M361" s="349"/>
      <c r="N361" s="56"/>
      <c r="O361" s="389"/>
      <c r="P361" s="55"/>
      <c r="Q361" s="55"/>
      <c r="R361" s="55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5"/>
      <c r="AD361" s="55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</row>
    <row r="362" spans="1:49" ht="15.75" customHeight="1" x14ac:dyDescent="0.15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349"/>
      <c r="M362" s="349"/>
      <c r="N362" s="56"/>
      <c r="O362" s="389"/>
      <c r="P362" s="55"/>
      <c r="Q362" s="55"/>
      <c r="R362" s="55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5"/>
      <c r="AD362" s="55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</row>
    <row r="363" spans="1:49" ht="15.75" customHeight="1" x14ac:dyDescent="0.15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349"/>
      <c r="M363" s="349"/>
      <c r="N363" s="56"/>
      <c r="O363" s="389"/>
      <c r="P363" s="55"/>
      <c r="Q363" s="55"/>
      <c r="R363" s="55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5"/>
      <c r="AD363" s="55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</row>
    <row r="364" spans="1:49" ht="15.75" customHeight="1" x14ac:dyDescent="0.15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349"/>
      <c r="M364" s="349"/>
      <c r="N364" s="56"/>
      <c r="O364" s="389"/>
      <c r="P364" s="55"/>
      <c r="Q364" s="55"/>
      <c r="R364" s="55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5"/>
      <c r="AD364" s="55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</row>
    <row r="365" spans="1:49" ht="15.75" customHeight="1" x14ac:dyDescent="0.1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349"/>
      <c r="M365" s="349"/>
      <c r="N365" s="56"/>
      <c r="O365" s="389"/>
      <c r="P365" s="55"/>
      <c r="Q365" s="55"/>
      <c r="R365" s="55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5"/>
      <c r="AD365" s="55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</row>
    <row r="366" spans="1:49" ht="15.75" customHeight="1" x14ac:dyDescent="0.15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349"/>
      <c r="M366" s="349"/>
      <c r="N366" s="56"/>
      <c r="O366" s="389"/>
      <c r="P366" s="55"/>
      <c r="Q366" s="55"/>
      <c r="R366" s="55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5"/>
      <c r="AD366" s="55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</row>
    <row r="367" spans="1:49" ht="15.75" customHeight="1" x14ac:dyDescent="0.15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349"/>
      <c r="M367" s="349"/>
      <c r="N367" s="56"/>
      <c r="O367" s="389"/>
      <c r="P367" s="55"/>
      <c r="Q367" s="55"/>
      <c r="R367" s="55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5"/>
      <c r="AD367" s="55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</row>
    <row r="368" spans="1:49" ht="15.75" customHeight="1" x14ac:dyDescent="0.15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349"/>
      <c r="M368" s="349"/>
      <c r="N368" s="56"/>
      <c r="O368" s="389"/>
      <c r="P368" s="55"/>
      <c r="Q368" s="55"/>
      <c r="R368" s="55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5"/>
      <c r="AD368" s="55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</row>
    <row r="369" spans="1:49" ht="15.75" customHeight="1" x14ac:dyDescent="0.15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349"/>
      <c r="M369" s="349"/>
      <c r="N369" s="56"/>
      <c r="O369" s="389"/>
      <c r="P369" s="55"/>
      <c r="Q369" s="55"/>
      <c r="R369" s="55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5"/>
      <c r="AD369" s="55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</row>
    <row r="370" spans="1:49" ht="15.75" customHeight="1" x14ac:dyDescent="0.15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349"/>
      <c r="M370" s="349"/>
      <c r="N370" s="56"/>
      <c r="O370" s="389"/>
      <c r="P370" s="55"/>
      <c r="Q370" s="55"/>
      <c r="R370" s="55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5"/>
      <c r="AD370" s="55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</row>
    <row r="371" spans="1:49" ht="15.75" customHeight="1" x14ac:dyDescent="0.15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349"/>
      <c r="M371" s="349"/>
      <c r="N371" s="56"/>
      <c r="O371" s="389"/>
      <c r="P371" s="55"/>
      <c r="Q371" s="55"/>
      <c r="R371" s="55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5"/>
      <c r="AD371" s="55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</row>
    <row r="372" spans="1:49" ht="15.75" customHeight="1" x14ac:dyDescent="0.15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349"/>
      <c r="M372" s="349"/>
      <c r="N372" s="56"/>
      <c r="O372" s="389"/>
      <c r="P372" s="55"/>
      <c r="Q372" s="55"/>
      <c r="R372" s="55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5"/>
      <c r="AD372" s="55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</row>
    <row r="373" spans="1:49" ht="15.75" customHeight="1" x14ac:dyDescent="0.15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349"/>
      <c r="M373" s="349"/>
      <c r="N373" s="56"/>
      <c r="O373" s="389"/>
      <c r="P373" s="55"/>
      <c r="Q373" s="55"/>
      <c r="R373" s="55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5"/>
      <c r="AD373" s="55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</row>
    <row r="374" spans="1:49" ht="15.75" customHeight="1" x14ac:dyDescent="0.15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349"/>
      <c r="M374" s="349"/>
      <c r="N374" s="56"/>
      <c r="O374" s="389"/>
      <c r="P374" s="55"/>
      <c r="Q374" s="55"/>
      <c r="R374" s="55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5"/>
      <c r="AD374" s="55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</row>
    <row r="375" spans="1:49" ht="15.75" customHeight="1" x14ac:dyDescent="0.1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349"/>
      <c r="M375" s="349"/>
      <c r="N375" s="56"/>
      <c r="O375" s="389"/>
      <c r="P375" s="55"/>
      <c r="Q375" s="55"/>
      <c r="R375" s="55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5"/>
      <c r="AD375" s="55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</row>
    <row r="376" spans="1:49" ht="15.75" customHeight="1" x14ac:dyDescent="0.15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349"/>
      <c r="M376" s="349"/>
      <c r="N376" s="56"/>
      <c r="O376" s="389"/>
      <c r="P376" s="55"/>
      <c r="Q376" s="55"/>
      <c r="R376" s="55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5"/>
      <c r="AD376" s="55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</row>
    <row r="377" spans="1:49" ht="15.75" customHeight="1" x14ac:dyDescent="0.15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349"/>
      <c r="M377" s="349"/>
      <c r="N377" s="56"/>
      <c r="O377" s="389"/>
      <c r="P377" s="55"/>
      <c r="Q377" s="55"/>
      <c r="R377" s="55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5"/>
      <c r="AD377" s="55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</row>
    <row r="378" spans="1:49" ht="15.75" customHeight="1" x14ac:dyDescent="0.15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349"/>
      <c r="M378" s="349"/>
      <c r="N378" s="56"/>
      <c r="O378" s="389"/>
      <c r="P378" s="55"/>
      <c r="Q378" s="55"/>
      <c r="R378" s="55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5"/>
      <c r="AD378" s="55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</row>
    <row r="379" spans="1:49" ht="15.75" customHeight="1" x14ac:dyDescent="0.15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349"/>
      <c r="M379" s="349"/>
      <c r="N379" s="56"/>
      <c r="O379" s="389"/>
      <c r="P379" s="55"/>
      <c r="Q379" s="55"/>
      <c r="R379" s="55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5"/>
      <c r="AD379" s="55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</row>
    <row r="380" spans="1:49" ht="15.75" customHeight="1" x14ac:dyDescent="0.15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349"/>
      <c r="M380" s="349"/>
      <c r="N380" s="56"/>
      <c r="O380" s="389"/>
      <c r="P380" s="55"/>
      <c r="Q380" s="55"/>
      <c r="R380" s="55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5"/>
      <c r="AD380" s="55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</row>
    <row r="381" spans="1:49" ht="15.75" customHeight="1" x14ac:dyDescent="0.15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349"/>
      <c r="M381" s="349"/>
      <c r="N381" s="56"/>
      <c r="O381" s="389"/>
      <c r="P381" s="55"/>
      <c r="Q381" s="55"/>
      <c r="R381" s="55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5"/>
      <c r="AD381" s="55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</row>
    <row r="382" spans="1:49" ht="15.75" customHeight="1" x14ac:dyDescent="0.15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349"/>
      <c r="M382" s="349"/>
      <c r="N382" s="56"/>
      <c r="O382" s="389"/>
      <c r="P382" s="55"/>
      <c r="Q382" s="55"/>
      <c r="R382" s="55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5"/>
      <c r="AD382" s="55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</row>
    <row r="383" spans="1:49" ht="15.75" customHeight="1" x14ac:dyDescent="0.15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349"/>
      <c r="M383" s="349"/>
      <c r="N383" s="56"/>
      <c r="O383" s="389"/>
      <c r="P383" s="55"/>
      <c r="Q383" s="55"/>
      <c r="R383" s="55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5"/>
      <c r="AD383" s="55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</row>
    <row r="384" spans="1:49" ht="15.75" customHeight="1" x14ac:dyDescent="0.15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349"/>
      <c r="M384" s="349"/>
      <c r="N384" s="56"/>
      <c r="O384" s="389"/>
      <c r="P384" s="55"/>
      <c r="Q384" s="55"/>
      <c r="R384" s="55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5"/>
      <c r="AD384" s="55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</row>
    <row r="385" spans="1:49" ht="15.75" customHeight="1" x14ac:dyDescent="0.1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349"/>
      <c r="M385" s="349"/>
      <c r="N385" s="56"/>
      <c r="O385" s="389"/>
      <c r="P385" s="55"/>
      <c r="Q385" s="55"/>
      <c r="R385" s="55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5"/>
      <c r="AD385" s="55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</row>
    <row r="386" spans="1:49" ht="15.75" customHeight="1" x14ac:dyDescent="0.15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349"/>
      <c r="M386" s="349"/>
      <c r="N386" s="56"/>
      <c r="O386" s="389"/>
      <c r="P386" s="55"/>
      <c r="Q386" s="55"/>
      <c r="R386" s="55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5"/>
      <c r="AD386" s="55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</row>
    <row r="387" spans="1:49" ht="15.75" customHeight="1" x14ac:dyDescent="0.15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349"/>
      <c r="M387" s="349"/>
      <c r="N387" s="56"/>
      <c r="O387" s="389"/>
      <c r="P387" s="55"/>
      <c r="Q387" s="55"/>
      <c r="R387" s="55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5"/>
      <c r="AD387" s="55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</row>
    <row r="388" spans="1:49" ht="15.75" customHeight="1" x14ac:dyDescent="0.15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349"/>
      <c r="M388" s="349"/>
      <c r="N388" s="56"/>
      <c r="O388" s="389"/>
      <c r="P388" s="55"/>
      <c r="Q388" s="55"/>
      <c r="R388" s="55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5"/>
      <c r="AD388" s="55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</row>
    <row r="389" spans="1:49" ht="15.75" customHeight="1" x14ac:dyDescent="0.15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349"/>
      <c r="M389" s="349"/>
      <c r="N389" s="56"/>
      <c r="O389" s="389"/>
      <c r="P389" s="55"/>
      <c r="Q389" s="55"/>
      <c r="R389" s="55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5"/>
      <c r="AD389" s="55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</row>
    <row r="390" spans="1:49" ht="15.75" customHeight="1" x14ac:dyDescent="0.15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349"/>
      <c r="M390" s="349"/>
      <c r="N390" s="56"/>
      <c r="O390" s="389"/>
      <c r="P390" s="55"/>
      <c r="Q390" s="55"/>
      <c r="R390" s="55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5"/>
      <c r="AD390" s="55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</row>
    <row r="391" spans="1:49" ht="15.75" customHeight="1" x14ac:dyDescent="0.15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349"/>
      <c r="M391" s="349"/>
      <c r="N391" s="56"/>
      <c r="O391" s="389"/>
      <c r="P391" s="55"/>
      <c r="Q391" s="55"/>
      <c r="R391" s="55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5"/>
      <c r="AD391" s="55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</row>
    <row r="392" spans="1:49" ht="15.75" customHeight="1" x14ac:dyDescent="0.15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349"/>
      <c r="M392" s="349"/>
      <c r="N392" s="56"/>
      <c r="O392" s="389"/>
      <c r="P392" s="55"/>
      <c r="Q392" s="55"/>
      <c r="R392" s="55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5"/>
      <c r="AD392" s="55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</row>
    <row r="393" spans="1:49" ht="15.75" customHeight="1" x14ac:dyDescent="0.15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349"/>
      <c r="M393" s="349"/>
      <c r="N393" s="56"/>
      <c r="O393" s="389"/>
      <c r="P393" s="55"/>
      <c r="Q393" s="55"/>
      <c r="R393" s="55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5"/>
      <c r="AD393" s="55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</row>
    <row r="394" spans="1:49" ht="15.75" customHeight="1" x14ac:dyDescent="0.15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349"/>
      <c r="M394" s="349"/>
      <c r="N394" s="56"/>
      <c r="O394" s="389"/>
      <c r="P394" s="55"/>
      <c r="Q394" s="55"/>
      <c r="R394" s="55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5"/>
      <c r="AD394" s="55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</row>
    <row r="395" spans="1:49" ht="15.75" customHeight="1" x14ac:dyDescent="0.1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349"/>
      <c r="M395" s="349"/>
      <c r="N395" s="56"/>
      <c r="O395" s="389"/>
      <c r="P395" s="55"/>
      <c r="Q395" s="55"/>
      <c r="R395" s="55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5"/>
      <c r="AD395" s="55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</row>
    <row r="396" spans="1:49" ht="15.75" customHeight="1" x14ac:dyDescent="0.15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349"/>
      <c r="M396" s="349"/>
      <c r="N396" s="56"/>
      <c r="O396" s="389"/>
      <c r="P396" s="55"/>
      <c r="Q396" s="55"/>
      <c r="R396" s="55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5"/>
      <c r="AD396" s="55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</row>
    <row r="397" spans="1:49" ht="15.75" customHeight="1" x14ac:dyDescent="0.15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349"/>
      <c r="M397" s="349"/>
      <c r="N397" s="56"/>
      <c r="O397" s="389"/>
      <c r="P397" s="55"/>
      <c r="Q397" s="55"/>
      <c r="R397" s="55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5"/>
      <c r="AD397" s="55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</row>
    <row r="398" spans="1:49" ht="15.75" customHeight="1" x14ac:dyDescent="0.15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349"/>
      <c r="M398" s="349"/>
      <c r="N398" s="56"/>
      <c r="O398" s="389"/>
      <c r="P398" s="55"/>
      <c r="Q398" s="55"/>
      <c r="R398" s="55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5"/>
      <c r="AD398" s="55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</row>
    <row r="399" spans="1:49" ht="15.75" customHeight="1" x14ac:dyDescent="0.15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349"/>
      <c r="M399" s="349"/>
      <c r="N399" s="56"/>
      <c r="O399" s="389"/>
      <c r="P399" s="55"/>
      <c r="Q399" s="55"/>
      <c r="R399" s="55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5"/>
      <c r="AD399" s="55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</row>
    <row r="400" spans="1:49" ht="15.75" customHeight="1" x14ac:dyDescent="0.15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349"/>
      <c r="M400" s="349"/>
      <c r="N400" s="56"/>
      <c r="O400" s="389"/>
      <c r="P400" s="55"/>
      <c r="Q400" s="55"/>
      <c r="R400" s="55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5"/>
      <c r="AD400" s="55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</row>
    <row r="401" spans="1:49" ht="15.75" customHeight="1" x14ac:dyDescent="0.15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349"/>
      <c r="M401" s="349"/>
      <c r="N401" s="56"/>
      <c r="O401" s="389"/>
      <c r="P401" s="55"/>
      <c r="Q401" s="55"/>
      <c r="R401" s="55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5"/>
      <c r="AD401" s="55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</row>
    <row r="402" spans="1:49" ht="15.75" customHeight="1" x14ac:dyDescent="0.15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349"/>
      <c r="M402" s="349"/>
      <c r="N402" s="56"/>
      <c r="O402" s="389"/>
      <c r="P402" s="55"/>
      <c r="Q402" s="55"/>
      <c r="R402" s="55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5"/>
      <c r="AD402" s="55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</row>
    <row r="403" spans="1:49" ht="15.75" customHeight="1" x14ac:dyDescent="0.15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349"/>
      <c r="M403" s="349"/>
      <c r="N403" s="56"/>
      <c r="O403" s="389"/>
      <c r="P403" s="55"/>
      <c r="Q403" s="55"/>
      <c r="R403" s="55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5"/>
      <c r="AD403" s="55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</row>
    <row r="404" spans="1:49" ht="15.75" customHeight="1" x14ac:dyDescent="0.15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349"/>
      <c r="M404" s="349"/>
      <c r="N404" s="56"/>
      <c r="O404" s="389"/>
      <c r="P404" s="55"/>
      <c r="Q404" s="55"/>
      <c r="R404" s="55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5"/>
      <c r="AD404" s="55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</row>
    <row r="405" spans="1:49" ht="15.75" customHeight="1" x14ac:dyDescent="0.1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349"/>
      <c r="M405" s="349"/>
      <c r="N405" s="56"/>
      <c r="O405" s="389"/>
      <c r="P405" s="55"/>
      <c r="Q405" s="55"/>
      <c r="R405" s="55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5"/>
      <c r="AD405" s="55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</row>
    <row r="406" spans="1:49" ht="15.75" customHeight="1" x14ac:dyDescent="0.15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349"/>
      <c r="M406" s="349"/>
      <c r="N406" s="56"/>
      <c r="O406" s="389"/>
      <c r="P406" s="55"/>
      <c r="Q406" s="55"/>
      <c r="R406" s="55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5"/>
      <c r="AD406" s="55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</row>
    <row r="407" spans="1:49" ht="15.75" customHeight="1" x14ac:dyDescent="0.15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349"/>
      <c r="M407" s="349"/>
      <c r="N407" s="56"/>
      <c r="O407" s="389"/>
      <c r="P407" s="55"/>
      <c r="Q407" s="55"/>
      <c r="R407" s="55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5"/>
      <c r="AD407" s="55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</row>
    <row r="408" spans="1:49" ht="15.75" customHeight="1" x14ac:dyDescent="0.15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349"/>
      <c r="M408" s="349"/>
      <c r="N408" s="56"/>
      <c r="O408" s="389"/>
      <c r="P408" s="55"/>
      <c r="Q408" s="55"/>
      <c r="R408" s="55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5"/>
      <c r="AD408" s="55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</row>
    <row r="409" spans="1:49" ht="15.75" customHeight="1" x14ac:dyDescent="0.15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349"/>
      <c r="M409" s="349"/>
      <c r="N409" s="56"/>
      <c r="O409" s="389"/>
      <c r="P409" s="55"/>
      <c r="Q409" s="55"/>
      <c r="R409" s="55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5"/>
      <c r="AD409" s="55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</row>
    <row r="410" spans="1:49" ht="15.75" customHeight="1" x14ac:dyDescent="0.15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349"/>
      <c r="M410" s="349"/>
      <c r="N410" s="56"/>
      <c r="O410" s="389"/>
      <c r="P410" s="55"/>
      <c r="Q410" s="55"/>
      <c r="R410" s="55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5"/>
      <c r="AD410" s="55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</row>
    <row r="411" spans="1:49" ht="15.75" customHeight="1" x14ac:dyDescent="0.15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349"/>
      <c r="M411" s="349"/>
      <c r="N411" s="56"/>
      <c r="O411" s="389"/>
      <c r="P411" s="55"/>
      <c r="Q411" s="55"/>
      <c r="R411" s="55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5"/>
      <c r="AD411" s="55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</row>
    <row r="412" spans="1:49" ht="15.75" customHeight="1" x14ac:dyDescent="0.15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349"/>
      <c r="M412" s="349"/>
      <c r="N412" s="56"/>
      <c r="O412" s="389"/>
      <c r="P412" s="55"/>
      <c r="Q412" s="55"/>
      <c r="R412" s="55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5"/>
      <c r="AD412" s="55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</row>
    <row r="413" spans="1:49" ht="15.75" customHeight="1" x14ac:dyDescent="0.15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349"/>
      <c r="M413" s="349"/>
      <c r="N413" s="56"/>
      <c r="O413" s="389"/>
      <c r="P413" s="55"/>
      <c r="Q413" s="55"/>
      <c r="R413" s="55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5"/>
      <c r="AD413" s="55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</row>
    <row r="414" spans="1:49" ht="15.75" customHeight="1" x14ac:dyDescent="0.15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349"/>
      <c r="M414" s="349"/>
      <c r="N414" s="56"/>
      <c r="O414" s="389"/>
      <c r="P414" s="55"/>
      <c r="Q414" s="55"/>
      <c r="R414" s="55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5"/>
      <c r="AD414" s="55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</row>
    <row r="415" spans="1:49" ht="15.75" customHeight="1" x14ac:dyDescent="0.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349"/>
      <c r="M415" s="349"/>
      <c r="N415" s="56"/>
      <c r="O415" s="389"/>
      <c r="P415" s="55"/>
      <c r="Q415" s="55"/>
      <c r="R415" s="55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5"/>
      <c r="AD415" s="55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</row>
    <row r="416" spans="1:49" ht="15.75" customHeight="1" x14ac:dyDescent="0.15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349"/>
      <c r="M416" s="349"/>
      <c r="N416" s="56"/>
      <c r="O416" s="389"/>
      <c r="P416" s="55"/>
      <c r="Q416" s="55"/>
      <c r="R416" s="55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5"/>
      <c r="AD416" s="55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</row>
    <row r="417" spans="1:49" ht="15.75" customHeight="1" x14ac:dyDescent="0.15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349"/>
      <c r="M417" s="349"/>
      <c r="N417" s="56"/>
      <c r="O417" s="389"/>
      <c r="P417" s="55"/>
      <c r="Q417" s="55"/>
      <c r="R417" s="55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5"/>
      <c r="AD417" s="55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</row>
    <row r="418" spans="1:49" ht="15.75" customHeight="1" x14ac:dyDescent="0.15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349"/>
      <c r="M418" s="349"/>
      <c r="N418" s="56"/>
      <c r="O418" s="389"/>
      <c r="P418" s="55"/>
      <c r="Q418" s="55"/>
      <c r="R418" s="55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5"/>
      <c r="AD418" s="55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</row>
    <row r="419" spans="1:49" ht="15.75" customHeight="1" x14ac:dyDescent="0.15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349"/>
      <c r="M419" s="349"/>
      <c r="N419" s="56"/>
      <c r="O419" s="389"/>
      <c r="P419" s="55"/>
      <c r="Q419" s="55"/>
      <c r="R419" s="55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5"/>
      <c r="AD419" s="55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</row>
    <row r="420" spans="1:49" ht="15.75" customHeight="1" x14ac:dyDescent="0.15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349"/>
      <c r="M420" s="349"/>
      <c r="N420" s="56"/>
      <c r="O420" s="389"/>
      <c r="P420" s="55"/>
      <c r="Q420" s="55"/>
      <c r="R420" s="55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5"/>
      <c r="AD420" s="55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</row>
    <row r="421" spans="1:49" ht="15.75" customHeight="1" x14ac:dyDescent="0.15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349"/>
      <c r="M421" s="349"/>
      <c r="N421" s="56"/>
      <c r="O421" s="389"/>
      <c r="P421" s="55"/>
      <c r="Q421" s="55"/>
      <c r="R421" s="55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5"/>
      <c r="AD421" s="55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</row>
    <row r="422" spans="1:49" ht="15.75" customHeight="1" x14ac:dyDescent="0.15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349"/>
      <c r="M422" s="349"/>
      <c r="N422" s="56"/>
      <c r="O422" s="389"/>
      <c r="P422" s="55"/>
      <c r="Q422" s="55"/>
      <c r="R422" s="55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5"/>
      <c r="AD422" s="55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</row>
    <row r="423" spans="1:49" ht="15.75" customHeight="1" x14ac:dyDescent="0.15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349"/>
      <c r="M423" s="349"/>
      <c r="N423" s="56"/>
      <c r="O423" s="389"/>
      <c r="P423" s="55"/>
      <c r="Q423" s="55"/>
      <c r="R423" s="55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5"/>
      <c r="AD423" s="55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</row>
    <row r="424" spans="1:49" ht="15.75" customHeight="1" x14ac:dyDescent="0.15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349"/>
      <c r="M424" s="349"/>
      <c r="N424" s="56"/>
      <c r="O424" s="389"/>
      <c r="P424" s="55"/>
      <c r="Q424" s="55"/>
      <c r="R424" s="55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5"/>
      <c r="AD424" s="55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</row>
    <row r="425" spans="1:49" ht="15.75" customHeight="1" x14ac:dyDescent="0.1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349"/>
      <c r="M425" s="349"/>
      <c r="N425" s="56"/>
      <c r="O425" s="389"/>
      <c r="P425" s="55"/>
      <c r="Q425" s="55"/>
      <c r="R425" s="55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5"/>
      <c r="AD425" s="55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</row>
    <row r="426" spans="1:49" ht="15.75" customHeight="1" x14ac:dyDescent="0.15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349"/>
      <c r="M426" s="349"/>
      <c r="N426" s="56"/>
      <c r="O426" s="389"/>
      <c r="P426" s="55"/>
      <c r="Q426" s="55"/>
      <c r="R426" s="55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5"/>
      <c r="AD426" s="55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</row>
    <row r="427" spans="1:49" ht="15.75" customHeight="1" x14ac:dyDescent="0.15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349"/>
      <c r="M427" s="349"/>
      <c r="N427" s="56"/>
      <c r="O427" s="389"/>
      <c r="P427" s="55"/>
      <c r="Q427" s="55"/>
      <c r="R427" s="55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5"/>
      <c r="AD427" s="55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</row>
    <row r="428" spans="1:49" ht="15.75" customHeight="1" x14ac:dyDescent="0.15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349"/>
      <c r="M428" s="349"/>
      <c r="N428" s="56"/>
      <c r="O428" s="389"/>
      <c r="P428" s="55"/>
      <c r="Q428" s="55"/>
      <c r="R428" s="55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5"/>
      <c r="AD428" s="55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</row>
    <row r="429" spans="1:49" ht="15.75" customHeight="1" x14ac:dyDescent="0.15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349"/>
      <c r="M429" s="349"/>
      <c r="N429" s="56"/>
      <c r="O429" s="389"/>
      <c r="P429" s="55"/>
      <c r="Q429" s="55"/>
      <c r="R429" s="55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5"/>
      <c r="AD429" s="55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</row>
    <row r="430" spans="1:49" ht="15.75" customHeight="1" x14ac:dyDescent="0.15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349"/>
      <c r="M430" s="349"/>
      <c r="N430" s="56"/>
      <c r="O430" s="389"/>
      <c r="P430" s="55"/>
      <c r="Q430" s="55"/>
      <c r="R430" s="55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5"/>
      <c r="AD430" s="55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</row>
    <row r="431" spans="1:49" ht="15.75" customHeight="1" x14ac:dyDescent="0.15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349"/>
      <c r="M431" s="349"/>
      <c r="N431" s="56"/>
      <c r="O431" s="389"/>
      <c r="P431" s="55"/>
      <c r="Q431" s="55"/>
      <c r="R431" s="55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5"/>
      <c r="AD431" s="55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</row>
    <row r="432" spans="1:49" ht="15.75" customHeight="1" x14ac:dyDescent="0.15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349"/>
      <c r="M432" s="349"/>
      <c r="N432" s="56"/>
      <c r="O432" s="389"/>
      <c r="P432" s="55"/>
      <c r="Q432" s="55"/>
      <c r="R432" s="55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5"/>
      <c r="AD432" s="55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</row>
    <row r="433" spans="1:49" ht="15.75" customHeight="1" x14ac:dyDescent="0.15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349"/>
      <c r="M433" s="349"/>
      <c r="N433" s="56"/>
      <c r="O433" s="389"/>
      <c r="P433" s="55"/>
      <c r="Q433" s="55"/>
      <c r="R433" s="55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5"/>
      <c r="AD433" s="55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</row>
    <row r="434" spans="1:49" ht="15.75" customHeight="1" x14ac:dyDescent="0.15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349"/>
      <c r="M434" s="349"/>
      <c r="N434" s="56"/>
      <c r="O434" s="389"/>
      <c r="P434" s="55"/>
      <c r="Q434" s="55"/>
      <c r="R434" s="55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5"/>
      <c r="AD434" s="55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</row>
    <row r="435" spans="1:49" ht="15.75" customHeight="1" x14ac:dyDescent="0.1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349"/>
      <c r="M435" s="349"/>
      <c r="N435" s="56"/>
      <c r="O435" s="389"/>
      <c r="P435" s="55"/>
      <c r="Q435" s="55"/>
      <c r="R435" s="55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5"/>
      <c r="AD435" s="55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</row>
    <row r="436" spans="1:49" ht="15.75" customHeight="1" x14ac:dyDescent="0.15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349"/>
      <c r="M436" s="349"/>
      <c r="N436" s="56"/>
      <c r="O436" s="389"/>
      <c r="P436" s="55"/>
      <c r="Q436" s="55"/>
      <c r="R436" s="55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5"/>
      <c r="AD436" s="55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</row>
    <row r="437" spans="1:49" ht="15.75" customHeight="1" x14ac:dyDescent="0.15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349"/>
      <c r="M437" s="349"/>
      <c r="N437" s="56"/>
      <c r="O437" s="389"/>
      <c r="P437" s="55"/>
      <c r="Q437" s="55"/>
      <c r="R437" s="55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5"/>
      <c r="AD437" s="55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</row>
    <row r="438" spans="1:49" ht="15.75" customHeight="1" x14ac:dyDescent="0.15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349"/>
      <c r="M438" s="349"/>
      <c r="N438" s="56"/>
      <c r="O438" s="389"/>
      <c r="P438" s="55"/>
      <c r="Q438" s="55"/>
      <c r="R438" s="55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5"/>
      <c r="AD438" s="55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</row>
    <row r="439" spans="1:49" ht="15.75" customHeight="1" x14ac:dyDescent="0.15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349"/>
      <c r="M439" s="349"/>
      <c r="N439" s="56"/>
      <c r="O439" s="389"/>
      <c r="P439" s="55"/>
      <c r="Q439" s="55"/>
      <c r="R439" s="55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5"/>
      <c r="AD439" s="55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</row>
    <row r="440" spans="1:49" ht="15.75" customHeight="1" x14ac:dyDescent="0.15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349"/>
      <c r="M440" s="349"/>
      <c r="N440" s="56"/>
      <c r="O440" s="389"/>
      <c r="P440" s="55"/>
      <c r="Q440" s="55"/>
      <c r="R440" s="55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5"/>
      <c r="AD440" s="55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</row>
    <row r="441" spans="1:49" ht="15.75" customHeight="1" x14ac:dyDescent="0.15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349"/>
      <c r="M441" s="349"/>
      <c r="N441" s="56"/>
      <c r="O441" s="389"/>
      <c r="P441" s="55"/>
      <c r="Q441" s="55"/>
      <c r="R441" s="55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5"/>
      <c r="AD441" s="55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</row>
    <row r="442" spans="1:49" ht="15.75" customHeight="1" x14ac:dyDescent="0.15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349"/>
      <c r="M442" s="349"/>
      <c r="N442" s="56"/>
      <c r="O442" s="389"/>
      <c r="P442" s="55"/>
      <c r="Q442" s="55"/>
      <c r="R442" s="55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5"/>
      <c r="AD442" s="55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</row>
    <row r="443" spans="1:49" ht="15.75" customHeight="1" x14ac:dyDescent="0.15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349"/>
      <c r="M443" s="349"/>
      <c r="N443" s="56"/>
      <c r="O443" s="389"/>
      <c r="P443" s="55"/>
      <c r="Q443" s="55"/>
      <c r="R443" s="55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5"/>
      <c r="AD443" s="55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</row>
    <row r="444" spans="1:49" ht="15.75" customHeight="1" x14ac:dyDescent="0.15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349"/>
      <c r="M444" s="349"/>
      <c r="N444" s="56"/>
      <c r="O444" s="389"/>
      <c r="P444" s="55"/>
      <c r="Q444" s="55"/>
      <c r="R444" s="55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5"/>
      <c r="AD444" s="55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</row>
    <row r="445" spans="1:49" ht="15.75" customHeight="1" x14ac:dyDescent="0.1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349"/>
      <c r="M445" s="349"/>
      <c r="N445" s="56"/>
      <c r="O445" s="389"/>
      <c r="P445" s="55"/>
      <c r="Q445" s="55"/>
      <c r="R445" s="55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5"/>
      <c r="AD445" s="55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</row>
    <row r="446" spans="1:49" ht="15.75" customHeight="1" x14ac:dyDescent="0.15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349"/>
      <c r="M446" s="349"/>
      <c r="N446" s="56"/>
      <c r="O446" s="389"/>
      <c r="P446" s="55"/>
      <c r="Q446" s="55"/>
      <c r="R446" s="55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5"/>
      <c r="AD446" s="55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</row>
    <row r="447" spans="1:49" ht="15.75" customHeight="1" x14ac:dyDescent="0.15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349"/>
      <c r="M447" s="349"/>
      <c r="N447" s="56"/>
      <c r="O447" s="389"/>
      <c r="P447" s="55"/>
      <c r="Q447" s="55"/>
      <c r="R447" s="55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5"/>
      <c r="AD447" s="55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</row>
    <row r="448" spans="1:49" ht="15.75" customHeight="1" x14ac:dyDescent="0.15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349"/>
      <c r="M448" s="349"/>
      <c r="N448" s="56"/>
      <c r="O448" s="389"/>
      <c r="P448" s="55"/>
      <c r="Q448" s="55"/>
      <c r="R448" s="55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5"/>
      <c r="AD448" s="55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</row>
    <row r="449" spans="1:49" ht="15.75" customHeight="1" x14ac:dyDescent="0.15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349"/>
      <c r="M449" s="349"/>
      <c r="N449" s="56"/>
      <c r="O449" s="389"/>
      <c r="P449" s="55"/>
      <c r="Q449" s="55"/>
      <c r="R449" s="55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5"/>
      <c r="AD449" s="55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</row>
    <row r="450" spans="1:49" ht="15.75" customHeight="1" x14ac:dyDescent="0.15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349"/>
      <c r="M450" s="349"/>
      <c r="N450" s="56"/>
      <c r="O450" s="389"/>
      <c r="P450" s="55"/>
      <c r="Q450" s="55"/>
      <c r="R450" s="55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5"/>
      <c r="AD450" s="55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</row>
    <row r="451" spans="1:49" ht="15.75" customHeight="1" x14ac:dyDescent="0.15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349"/>
      <c r="M451" s="349"/>
      <c r="N451" s="56"/>
      <c r="O451" s="389"/>
      <c r="P451" s="55"/>
      <c r="Q451" s="55"/>
      <c r="R451" s="55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5"/>
      <c r="AD451" s="55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</row>
    <row r="452" spans="1:49" ht="15.75" customHeight="1" x14ac:dyDescent="0.15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349"/>
      <c r="M452" s="349"/>
      <c r="N452" s="56"/>
      <c r="O452" s="389"/>
      <c r="P452" s="55"/>
      <c r="Q452" s="55"/>
      <c r="R452" s="55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5"/>
      <c r="AD452" s="55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</row>
    <row r="453" spans="1:49" ht="15.75" customHeight="1" x14ac:dyDescent="0.15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349"/>
      <c r="M453" s="349"/>
      <c r="N453" s="56"/>
      <c r="O453" s="389"/>
      <c r="P453" s="55"/>
      <c r="Q453" s="55"/>
      <c r="R453" s="55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5"/>
      <c r="AD453" s="55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</row>
    <row r="454" spans="1:49" ht="15.75" customHeight="1" x14ac:dyDescent="0.15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349"/>
      <c r="M454" s="349"/>
      <c r="N454" s="56"/>
      <c r="O454" s="389"/>
      <c r="P454" s="55"/>
      <c r="Q454" s="55"/>
      <c r="R454" s="55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5"/>
      <c r="AD454" s="55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</row>
    <row r="455" spans="1:49" ht="15.75" customHeight="1" x14ac:dyDescent="0.1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349"/>
      <c r="M455" s="349"/>
      <c r="N455" s="56"/>
      <c r="O455" s="389"/>
      <c r="P455" s="55"/>
      <c r="Q455" s="55"/>
      <c r="R455" s="55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5"/>
      <c r="AD455" s="55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</row>
    <row r="456" spans="1:49" ht="15.75" customHeight="1" x14ac:dyDescent="0.15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349"/>
      <c r="M456" s="349"/>
      <c r="N456" s="56"/>
      <c r="O456" s="389"/>
      <c r="P456" s="55"/>
      <c r="Q456" s="55"/>
      <c r="R456" s="55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5"/>
      <c r="AD456" s="55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</row>
    <row r="457" spans="1:49" ht="15.75" customHeight="1" x14ac:dyDescent="0.15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349"/>
      <c r="M457" s="349"/>
      <c r="N457" s="56"/>
      <c r="O457" s="389"/>
      <c r="P457" s="55"/>
      <c r="Q457" s="55"/>
      <c r="R457" s="55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5"/>
      <c r="AD457" s="55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</row>
    <row r="458" spans="1:49" ht="15.75" customHeight="1" x14ac:dyDescent="0.15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349"/>
      <c r="M458" s="349"/>
      <c r="N458" s="56"/>
      <c r="O458" s="389"/>
      <c r="P458" s="55"/>
      <c r="Q458" s="55"/>
      <c r="R458" s="55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5"/>
      <c r="AD458" s="55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</row>
    <row r="459" spans="1:49" ht="15.75" customHeight="1" x14ac:dyDescent="0.15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349"/>
      <c r="M459" s="349"/>
      <c r="N459" s="56"/>
      <c r="O459" s="389"/>
      <c r="P459" s="55"/>
      <c r="Q459" s="55"/>
      <c r="R459" s="55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5"/>
      <c r="AD459" s="55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</row>
    <row r="460" spans="1:49" ht="15.75" customHeight="1" x14ac:dyDescent="0.15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349"/>
      <c r="M460" s="349"/>
      <c r="N460" s="56"/>
      <c r="O460" s="389"/>
      <c r="P460" s="55"/>
      <c r="Q460" s="55"/>
      <c r="R460" s="55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5"/>
      <c r="AD460" s="55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</row>
    <row r="461" spans="1:49" ht="15.75" customHeight="1" x14ac:dyDescent="0.15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349"/>
      <c r="M461" s="349"/>
      <c r="N461" s="56"/>
      <c r="O461" s="389"/>
      <c r="P461" s="55"/>
      <c r="Q461" s="55"/>
      <c r="R461" s="55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5"/>
      <c r="AD461" s="55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</row>
    <row r="462" spans="1:49" ht="15.75" customHeight="1" x14ac:dyDescent="0.15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349"/>
      <c r="M462" s="349"/>
      <c r="N462" s="56"/>
      <c r="O462" s="389"/>
      <c r="P462" s="55"/>
      <c r="Q462" s="55"/>
      <c r="R462" s="55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5"/>
      <c r="AD462" s="55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</row>
    <row r="463" spans="1:49" ht="15.75" customHeight="1" x14ac:dyDescent="0.15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349"/>
      <c r="M463" s="349"/>
      <c r="N463" s="56"/>
      <c r="O463" s="389"/>
      <c r="P463" s="55"/>
      <c r="Q463" s="55"/>
      <c r="R463" s="55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5"/>
      <c r="AD463" s="55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</row>
    <row r="464" spans="1:49" ht="15.75" customHeight="1" x14ac:dyDescent="0.15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349"/>
      <c r="M464" s="349"/>
      <c r="N464" s="56"/>
      <c r="O464" s="389"/>
      <c r="P464" s="55"/>
      <c r="Q464" s="55"/>
      <c r="R464" s="55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5"/>
      <c r="AD464" s="55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</row>
    <row r="465" spans="1:49" ht="15.75" customHeight="1" x14ac:dyDescent="0.1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349"/>
      <c r="M465" s="349"/>
      <c r="N465" s="56"/>
      <c r="O465" s="389"/>
      <c r="P465" s="55"/>
      <c r="Q465" s="55"/>
      <c r="R465" s="55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5"/>
      <c r="AD465" s="55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</row>
    <row r="466" spans="1:49" ht="15.75" customHeight="1" x14ac:dyDescent="0.15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349"/>
      <c r="M466" s="349"/>
      <c r="N466" s="56"/>
      <c r="O466" s="389"/>
      <c r="P466" s="55"/>
      <c r="Q466" s="55"/>
      <c r="R466" s="55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5"/>
      <c r="AD466" s="55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</row>
    <row r="467" spans="1:49" ht="15.75" customHeight="1" x14ac:dyDescent="0.15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349"/>
      <c r="M467" s="349"/>
      <c r="N467" s="56"/>
      <c r="O467" s="389"/>
      <c r="P467" s="55"/>
      <c r="Q467" s="55"/>
      <c r="R467" s="55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5"/>
      <c r="AD467" s="55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</row>
    <row r="468" spans="1:49" ht="15.75" customHeight="1" x14ac:dyDescent="0.15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349"/>
      <c r="M468" s="349"/>
      <c r="N468" s="56"/>
      <c r="O468" s="389"/>
      <c r="P468" s="55"/>
      <c r="Q468" s="55"/>
      <c r="R468" s="55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5"/>
      <c r="AD468" s="55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</row>
    <row r="469" spans="1:49" ht="15.75" customHeight="1" x14ac:dyDescent="0.15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349"/>
      <c r="M469" s="349"/>
      <c r="N469" s="56"/>
      <c r="O469" s="389"/>
      <c r="P469" s="55"/>
      <c r="Q469" s="55"/>
      <c r="R469" s="55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5"/>
      <c r="AD469" s="55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</row>
    <row r="470" spans="1:49" ht="15.75" customHeight="1" x14ac:dyDescent="0.15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349"/>
      <c r="M470" s="349"/>
      <c r="N470" s="56"/>
      <c r="O470" s="389"/>
      <c r="P470" s="55"/>
      <c r="Q470" s="55"/>
      <c r="R470" s="55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5"/>
      <c r="AD470" s="55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</row>
    <row r="471" spans="1:49" ht="15.75" customHeight="1" x14ac:dyDescent="0.15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349"/>
      <c r="M471" s="349"/>
      <c r="N471" s="56"/>
      <c r="O471" s="389"/>
      <c r="P471" s="55"/>
      <c r="Q471" s="55"/>
      <c r="R471" s="55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5"/>
      <c r="AD471" s="55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</row>
    <row r="472" spans="1:49" ht="15.75" customHeight="1" x14ac:dyDescent="0.15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349"/>
      <c r="M472" s="349"/>
      <c r="N472" s="56"/>
      <c r="O472" s="389"/>
      <c r="P472" s="55"/>
      <c r="Q472" s="55"/>
      <c r="R472" s="55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5"/>
      <c r="AD472" s="55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</row>
    <row r="473" spans="1:49" ht="15.75" customHeight="1" x14ac:dyDescent="0.15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349"/>
      <c r="M473" s="349"/>
      <c r="N473" s="56"/>
      <c r="O473" s="389"/>
      <c r="P473" s="55"/>
      <c r="Q473" s="55"/>
      <c r="R473" s="55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5"/>
      <c r="AD473" s="55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</row>
    <row r="474" spans="1:49" ht="15.75" customHeight="1" x14ac:dyDescent="0.15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349"/>
      <c r="M474" s="349"/>
      <c r="N474" s="56"/>
      <c r="O474" s="389"/>
      <c r="P474" s="55"/>
      <c r="Q474" s="55"/>
      <c r="R474" s="55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5"/>
      <c r="AD474" s="55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</row>
    <row r="475" spans="1:49" ht="15.75" customHeight="1" x14ac:dyDescent="0.1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349"/>
      <c r="M475" s="349"/>
      <c r="N475" s="56"/>
      <c r="O475" s="389"/>
      <c r="P475" s="55"/>
      <c r="Q475" s="55"/>
      <c r="R475" s="55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5"/>
      <c r="AD475" s="55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</row>
    <row r="476" spans="1:49" ht="15.75" customHeight="1" x14ac:dyDescent="0.15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349"/>
      <c r="M476" s="349"/>
      <c r="N476" s="56"/>
      <c r="O476" s="389"/>
      <c r="P476" s="55"/>
      <c r="Q476" s="55"/>
      <c r="R476" s="55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5"/>
      <c r="AD476" s="55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</row>
    <row r="477" spans="1:49" ht="15.75" customHeight="1" x14ac:dyDescent="0.15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349"/>
      <c r="M477" s="349"/>
      <c r="N477" s="56"/>
      <c r="O477" s="389"/>
      <c r="P477" s="55"/>
      <c r="Q477" s="55"/>
      <c r="R477" s="55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5"/>
      <c r="AD477" s="55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</row>
    <row r="478" spans="1:49" ht="15.75" customHeight="1" x14ac:dyDescent="0.15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389"/>
      <c r="P478" s="55"/>
      <c r="Q478" s="55"/>
      <c r="R478" s="55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5"/>
      <c r="AD478" s="55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</row>
    <row r="479" spans="1:49" ht="15.75" customHeight="1" x14ac:dyDescent="0.15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389"/>
      <c r="P479" s="55"/>
      <c r="Q479" s="55"/>
      <c r="R479" s="55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5"/>
      <c r="AD479" s="55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</row>
    <row r="480" spans="1:49" ht="15.75" customHeight="1" x14ac:dyDescent="0.15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389"/>
      <c r="P480" s="55"/>
      <c r="Q480" s="55"/>
      <c r="R480" s="55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5"/>
      <c r="AD480" s="55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</row>
    <row r="481" spans="1:49" ht="15.75" customHeight="1" x14ac:dyDescent="0.15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389"/>
      <c r="P481" s="55"/>
      <c r="Q481" s="55"/>
      <c r="R481" s="55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5"/>
      <c r="AD481" s="55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</row>
    <row r="482" spans="1:49" ht="15.75" customHeight="1" x14ac:dyDescent="0.15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389"/>
      <c r="P482" s="55"/>
      <c r="Q482" s="55"/>
      <c r="R482" s="55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5"/>
      <c r="AD482" s="55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</row>
    <row r="483" spans="1:49" ht="15.75" customHeight="1" x14ac:dyDescent="0.15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389"/>
      <c r="P483" s="55"/>
      <c r="Q483" s="55"/>
      <c r="R483" s="55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5"/>
      <c r="AD483" s="55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</row>
    <row r="484" spans="1:49" ht="15.75" customHeight="1" x14ac:dyDescent="0.15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389"/>
      <c r="P484" s="55"/>
      <c r="Q484" s="55"/>
      <c r="R484" s="55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5"/>
      <c r="AD484" s="55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</row>
    <row r="485" spans="1:49" ht="15.75" customHeight="1" x14ac:dyDescent="0.1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389"/>
      <c r="P485" s="55"/>
      <c r="Q485" s="55"/>
      <c r="R485" s="55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5"/>
      <c r="AD485" s="55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</row>
    <row r="486" spans="1:49" ht="15.75" customHeight="1" x14ac:dyDescent="0.15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389"/>
      <c r="P486" s="55"/>
      <c r="Q486" s="55"/>
      <c r="R486" s="55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5"/>
      <c r="AD486" s="55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</row>
    <row r="487" spans="1:49" ht="15.75" customHeight="1" x14ac:dyDescent="0.15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389"/>
      <c r="P487" s="55"/>
      <c r="Q487" s="55"/>
      <c r="R487" s="55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5"/>
      <c r="AD487" s="55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</row>
    <row r="488" spans="1:49" ht="15.75" customHeight="1" x14ac:dyDescent="0.15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389"/>
      <c r="P488" s="55"/>
      <c r="Q488" s="55"/>
      <c r="R488" s="55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5"/>
      <c r="AD488" s="55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</row>
    <row r="489" spans="1:49" ht="15.75" customHeight="1" x14ac:dyDescent="0.15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389"/>
      <c r="P489" s="55"/>
      <c r="Q489" s="55"/>
      <c r="R489" s="55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5"/>
      <c r="AD489" s="55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</row>
    <row r="490" spans="1:49" ht="15.75" customHeight="1" x14ac:dyDescent="0.15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389"/>
      <c r="P490" s="55"/>
      <c r="Q490" s="55"/>
      <c r="R490" s="55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5"/>
      <c r="AD490" s="55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</row>
    <row r="491" spans="1:49" ht="15.75" customHeight="1" x14ac:dyDescent="0.15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389"/>
      <c r="P491" s="55"/>
      <c r="Q491" s="55"/>
      <c r="R491" s="55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5"/>
      <c r="AD491" s="55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</row>
    <row r="492" spans="1:49" ht="15.75" customHeight="1" x14ac:dyDescent="0.15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389"/>
      <c r="P492" s="55"/>
      <c r="Q492" s="55"/>
      <c r="R492" s="55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5"/>
      <c r="AD492" s="55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</row>
    <row r="493" spans="1:49" ht="15.75" customHeight="1" x14ac:dyDescent="0.15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389"/>
      <c r="P493" s="55"/>
      <c r="Q493" s="55"/>
      <c r="R493" s="55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5"/>
      <c r="AD493" s="55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</row>
    <row r="494" spans="1:49" ht="15.75" customHeight="1" x14ac:dyDescent="0.15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389"/>
      <c r="P494" s="55"/>
      <c r="Q494" s="55"/>
      <c r="R494" s="55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5"/>
      <c r="AD494" s="55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</row>
    <row r="495" spans="1:49" ht="15.75" customHeight="1" x14ac:dyDescent="0.1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389"/>
      <c r="P495" s="55"/>
      <c r="Q495" s="55"/>
      <c r="R495" s="55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5"/>
      <c r="AD495" s="55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</row>
    <row r="496" spans="1:49" ht="15.75" customHeight="1" x14ac:dyDescent="0.15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389"/>
      <c r="P496" s="55"/>
      <c r="Q496" s="55"/>
      <c r="R496" s="55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5"/>
      <c r="AD496" s="55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</row>
    <row r="497" spans="1:49" ht="15.75" customHeight="1" x14ac:dyDescent="0.15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389"/>
      <c r="P497" s="55"/>
      <c r="Q497" s="55"/>
      <c r="R497" s="55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5"/>
      <c r="AD497" s="55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</row>
    <row r="498" spans="1:49" ht="15.75" customHeight="1" x14ac:dyDescent="0.15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389"/>
      <c r="P498" s="55"/>
      <c r="Q498" s="55"/>
      <c r="R498" s="55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5"/>
      <c r="AD498" s="55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</row>
    <row r="499" spans="1:49" ht="15.75" customHeight="1" x14ac:dyDescent="0.15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389"/>
      <c r="P499" s="55"/>
      <c r="Q499" s="55"/>
      <c r="R499" s="55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5"/>
      <c r="AD499" s="55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</row>
    <row r="500" spans="1:49" ht="15.75" customHeight="1" x14ac:dyDescent="0.15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389"/>
      <c r="P500" s="55"/>
      <c r="Q500" s="55"/>
      <c r="R500" s="55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5"/>
      <c r="AD500" s="55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</row>
    <row r="501" spans="1:49" ht="15.75" customHeight="1" x14ac:dyDescent="0.15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389"/>
      <c r="P501" s="55"/>
      <c r="Q501" s="55"/>
      <c r="R501" s="55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5"/>
      <c r="AD501" s="55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</row>
    <row r="502" spans="1:49" ht="15.75" customHeight="1" x14ac:dyDescent="0.15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389"/>
      <c r="P502" s="55"/>
      <c r="Q502" s="55"/>
      <c r="R502" s="55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5"/>
      <c r="AD502" s="55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</row>
    <row r="503" spans="1:49" ht="15.75" customHeight="1" x14ac:dyDescent="0.15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389"/>
      <c r="P503" s="55"/>
      <c r="Q503" s="55"/>
      <c r="R503" s="55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5"/>
      <c r="AD503" s="55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</row>
    <row r="504" spans="1:49" ht="15.75" customHeight="1" x14ac:dyDescent="0.15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389"/>
      <c r="P504" s="55"/>
      <c r="Q504" s="55"/>
      <c r="R504" s="55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5"/>
      <c r="AD504" s="55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</row>
    <row r="505" spans="1:49" ht="15.75" customHeight="1" x14ac:dyDescent="0.1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389"/>
      <c r="P505" s="55"/>
      <c r="Q505" s="55"/>
      <c r="R505" s="55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5"/>
      <c r="AD505" s="55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</row>
    <row r="506" spans="1:49" ht="15.75" customHeight="1" x14ac:dyDescent="0.15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389"/>
      <c r="P506" s="55"/>
      <c r="Q506" s="55"/>
      <c r="R506" s="55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5"/>
      <c r="AD506" s="55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</row>
    <row r="507" spans="1:49" ht="15.75" customHeight="1" x14ac:dyDescent="0.15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389"/>
      <c r="P507" s="55"/>
      <c r="Q507" s="55"/>
      <c r="R507" s="55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5"/>
      <c r="AD507" s="55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</row>
    <row r="508" spans="1:49" ht="15.75" customHeight="1" x14ac:dyDescent="0.15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389"/>
      <c r="P508" s="55"/>
      <c r="Q508" s="55"/>
      <c r="R508" s="55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5"/>
      <c r="AD508" s="55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</row>
    <row r="509" spans="1:49" ht="15.75" customHeight="1" x14ac:dyDescent="0.15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389"/>
      <c r="P509" s="55"/>
      <c r="Q509" s="55"/>
      <c r="R509" s="55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5"/>
      <c r="AD509" s="55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</row>
    <row r="510" spans="1:49" ht="15.75" customHeight="1" x14ac:dyDescent="0.15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389"/>
      <c r="P510" s="55"/>
      <c r="Q510" s="55"/>
      <c r="R510" s="55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5"/>
      <c r="AD510" s="55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</row>
    <row r="511" spans="1:49" ht="15.75" customHeight="1" x14ac:dyDescent="0.15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389"/>
      <c r="P511" s="55"/>
      <c r="Q511" s="55"/>
      <c r="R511" s="55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5"/>
      <c r="AD511" s="55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</row>
    <row r="512" spans="1:49" ht="15.75" customHeight="1" x14ac:dyDescent="0.15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389"/>
      <c r="P512" s="55"/>
      <c r="Q512" s="55"/>
      <c r="R512" s="55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5"/>
      <c r="AD512" s="55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</row>
    <row r="513" spans="1:49" ht="15.75" customHeight="1" x14ac:dyDescent="0.15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389"/>
      <c r="P513" s="55"/>
      <c r="Q513" s="55"/>
      <c r="R513" s="55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5"/>
      <c r="AD513" s="55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</row>
    <row r="514" spans="1:49" ht="15.75" customHeight="1" x14ac:dyDescent="0.15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389"/>
      <c r="P514" s="55"/>
      <c r="Q514" s="55"/>
      <c r="R514" s="55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5"/>
      <c r="AD514" s="55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</row>
    <row r="515" spans="1:49" ht="15.75" customHeight="1" x14ac:dyDescent="0.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389"/>
      <c r="P515" s="55"/>
      <c r="Q515" s="55"/>
      <c r="R515" s="55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5"/>
      <c r="AD515" s="55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</row>
    <row r="516" spans="1:49" ht="15.75" customHeight="1" x14ac:dyDescent="0.15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389"/>
      <c r="P516" s="55"/>
      <c r="Q516" s="55"/>
      <c r="R516" s="55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5"/>
      <c r="AD516" s="55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</row>
    <row r="517" spans="1:49" ht="15.75" customHeight="1" x14ac:dyDescent="0.15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389"/>
      <c r="P517" s="55"/>
      <c r="Q517" s="55"/>
      <c r="R517" s="55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5"/>
      <c r="AD517" s="55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</row>
    <row r="518" spans="1:49" ht="15.75" customHeight="1" x14ac:dyDescent="0.15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389"/>
      <c r="P518" s="55"/>
      <c r="Q518" s="55"/>
      <c r="R518" s="55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5"/>
      <c r="AD518" s="55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</row>
    <row r="519" spans="1:49" ht="15.75" customHeight="1" x14ac:dyDescent="0.15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389"/>
      <c r="P519" s="55"/>
      <c r="Q519" s="55"/>
      <c r="R519" s="55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5"/>
      <c r="AD519" s="55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</row>
    <row r="520" spans="1:49" ht="15.75" customHeight="1" x14ac:dyDescent="0.15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389"/>
      <c r="P520" s="55"/>
      <c r="Q520" s="55"/>
      <c r="R520" s="55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5"/>
      <c r="AD520" s="55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</row>
    <row r="521" spans="1:49" ht="15.75" customHeight="1" x14ac:dyDescent="0.15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389"/>
      <c r="P521" s="55"/>
      <c r="Q521" s="55"/>
      <c r="R521" s="55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5"/>
      <c r="AD521" s="55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</row>
    <row r="522" spans="1:49" ht="15.75" customHeight="1" x14ac:dyDescent="0.15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389"/>
      <c r="P522" s="55"/>
      <c r="Q522" s="55"/>
      <c r="R522" s="55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5"/>
      <c r="AD522" s="55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</row>
    <row r="523" spans="1:49" ht="15.75" customHeight="1" x14ac:dyDescent="0.15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389"/>
      <c r="P523" s="55"/>
      <c r="Q523" s="55"/>
      <c r="R523" s="55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5"/>
      <c r="AD523" s="55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</row>
    <row r="524" spans="1:49" ht="15.75" customHeight="1" x14ac:dyDescent="0.15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389"/>
      <c r="P524" s="55"/>
      <c r="Q524" s="55"/>
      <c r="R524" s="55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5"/>
      <c r="AD524" s="55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</row>
    <row r="525" spans="1:49" ht="15.75" customHeight="1" x14ac:dyDescent="0.1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389"/>
      <c r="P525" s="55"/>
      <c r="Q525" s="55"/>
      <c r="R525" s="55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5"/>
      <c r="AD525" s="55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</row>
    <row r="526" spans="1:49" ht="15.75" customHeight="1" x14ac:dyDescent="0.15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389"/>
      <c r="P526" s="55"/>
      <c r="Q526" s="55"/>
      <c r="R526" s="55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5"/>
      <c r="AD526" s="55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</row>
    <row r="527" spans="1:49" ht="15.75" customHeight="1" x14ac:dyDescent="0.15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389"/>
      <c r="P527" s="55"/>
      <c r="Q527" s="55"/>
      <c r="R527" s="55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5"/>
      <c r="AD527" s="55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</row>
    <row r="528" spans="1:49" ht="15.75" customHeight="1" x14ac:dyDescent="0.15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389"/>
      <c r="P528" s="55"/>
      <c r="Q528" s="55"/>
      <c r="R528" s="55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5"/>
      <c r="AD528" s="55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</row>
    <row r="529" spans="1:49" ht="15.75" customHeight="1" x14ac:dyDescent="0.15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389"/>
      <c r="P529" s="55"/>
      <c r="Q529" s="55"/>
      <c r="R529" s="55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5"/>
      <c r="AD529" s="55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</row>
    <row r="530" spans="1:49" ht="15.75" customHeight="1" x14ac:dyDescent="0.15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389"/>
      <c r="P530" s="55"/>
      <c r="Q530" s="55"/>
      <c r="R530" s="55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5"/>
      <c r="AD530" s="55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</row>
    <row r="531" spans="1:49" ht="15.75" customHeight="1" x14ac:dyDescent="0.15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389"/>
      <c r="P531" s="55"/>
      <c r="Q531" s="55"/>
      <c r="R531" s="55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5"/>
      <c r="AD531" s="55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</row>
    <row r="532" spans="1:49" ht="15.75" customHeight="1" x14ac:dyDescent="0.15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389"/>
      <c r="P532" s="55"/>
      <c r="Q532" s="55"/>
      <c r="R532" s="55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5"/>
      <c r="AD532" s="55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</row>
    <row r="533" spans="1:49" ht="15.75" customHeight="1" x14ac:dyDescent="0.15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389"/>
      <c r="P533" s="55"/>
      <c r="Q533" s="55"/>
      <c r="R533" s="55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5"/>
      <c r="AD533" s="55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</row>
    <row r="534" spans="1:49" ht="15.75" customHeight="1" x14ac:dyDescent="0.15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389"/>
      <c r="P534" s="55"/>
      <c r="Q534" s="55"/>
      <c r="R534" s="55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5"/>
      <c r="AD534" s="55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</row>
    <row r="535" spans="1:49" ht="15.75" customHeight="1" x14ac:dyDescent="0.1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389"/>
      <c r="P535" s="55"/>
      <c r="Q535" s="55"/>
      <c r="R535" s="55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5"/>
      <c r="AD535" s="55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</row>
    <row r="536" spans="1:49" ht="15.75" customHeight="1" x14ac:dyDescent="0.15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389"/>
      <c r="P536" s="55"/>
      <c r="Q536" s="55"/>
      <c r="R536" s="55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5"/>
      <c r="AD536" s="55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</row>
    <row r="537" spans="1:49" ht="15.75" customHeight="1" x14ac:dyDescent="0.15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389"/>
      <c r="P537" s="55"/>
      <c r="Q537" s="55"/>
      <c r="R537" s="55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5"/>
      <c r="AD537" s="55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</row>
    <row r="538" spans="1:49" ht="15.75" customHeight="1" x14ac:dyDescent="0.15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389"/>
      <c r="P538" s="55"/>
      <c r="Q538" s="55"/>
      <c r="R538" s="55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5"/>
      <c r="AD538" s="55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</row>
    <row r="539" spans="1:49" ht="15.75" customHeight="1" x14ac:dyDescent="0.15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389"/>
      <c r="P539" s="55"/>
      <c r="Q539" s="55"/>
      <c r="R539" s="55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5"/>
      <c r="AD539" s="55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</row>
    <row r="540" spans="1:49" ht="15.75" customHeight="1" x14ac:dyDescent="0.15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389"/>
      <c r="P540" s="55"/>
      <c r="Q540" s="55"/>
      <c r="R540" s="55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5"/>
      <c r="AD540" s="55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</row>
    <row r="541" spans="1:49" ht="15.75" customHeight="1" x14ac:dyDescent="0.15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389"/>
      <c r="P541" s="55"/>
      <c r="Q541" s="55"/>
      <c r="R541" s="55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5"/>
      <c r="AD541" s="55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</row>
    <row r="542" spans="1:49" ht="15.75" customHeight="1" x14ac:dyDescent="0.15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389"/>
      <c r="P542" s="55"/>
      <c r="Q542" s="55"/>
      <c r="R542" s="55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5"/>
      <c r="AD542" s="55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</row>
    <row r="543" spans="1:49" ht="15.75" customHeight="1" x14ac:dyDescent="0.15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389"/>
      <c r="P543" s="55"/>
      <c r="Q543" s="55"/>
      <c r="R543" s="55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5"/>
      <c r="AD543" s="55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</row>
    <row r="544" spans="1:49" ht="15.75" customHeight="1" x14ac:dyDescent="0.15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389"/>
      <c r="P544" s="55"/>
      <c r="Q544" s="55"/>
      <c r="R544" s="55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5"/>
      <c r="AD544" s="55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</row>
    <row r="545" spans="1:49" ht="15.75" customHeight="1" x14ac:dyDescent="0.1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389"/>
      <c r="P545" s="55"/>
      <c r="Q545" s="55"/>
      <c r="R545" s="55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5"/>
      <c r="AD545" s="55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</row>
    <row r="546" spans="1:49" ht="15.75" customHeight="1" x14ac:dyDescent="0.15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389"/>
      <c r="P546" s="55"/>
      <c r="Q546" s="55"/>
      <c r="R546" s="55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5"/>
      <c r="AD546" s="55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</row>
    <row r="547" spans="1:49" ht="15.75" customHeight="1" x14ac:dyDescent="0.15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389"/>
      <c r="P547" s="55"/>
      <c r="Q547" s="55"/>
      <c r="R547" s="55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5"/>
      <c r="AD547" s="55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</row>
    <row r="548" spans="1:49" ht="15.75" customHeight="1" x14ac:dyDescent="0.15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389"/>
      <c r="P548" s="55"/>
      <c r="Q548" s="55"/>
      <c r="R548" s="55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5"/>
      <c r="AD548" s="55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</row>
    <row r="549" spans="1:49" ht="15.75" customHeight="1" x14ac:dyDescent="0.15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389"/>
      <c r="P549" s="55"/>
      <c r="Q549" s="55"/>
      <c r="R549" s="55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5"/>
      <c r="AD549" s="55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</row>
    <row r="550" spans="1:49" ht="15.75" customHeight="1" x14ac:dyDescent="0.15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389"/>
      <c r="P550" s="55"/>
      <c r="Q550" s="55"/>
      <c r="R550" s="55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5"/>
      <c r="AD550" s="55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</row>
    <row r="551" spans="1:49" ht="15.75" customHeight="1" x14ac:dyDescent="0.15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389"/>
      <c r="P551" s="55"/>
      <c r="Q551" s="55"/>
      <c r="R551" s="55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5"/>
      <c r="AD551" s="55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</row>
    <row r="552" spans="1:49" ht="15.75" customHeight="1" x14ac:dyDescent="0.15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389"/>
      <c r="P552" s="55"/>
      <c r="Q552" s="55"/>
      <c r="R552" s="55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5"/>
      <c r="AD552" s="55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</row>
    <row r="553" spans="1:49" ht="15.75" customHeight="1" x14ac:dyDescent="0.15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389"/>
      <c r="P553" s="55"/>
      <c r="Q553" s="55"/>
      <c r="R553" s="55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5"/>
      <c r="AD553" s="55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</row>
    <row r="554" spans="1:49" ht="15.75" customHeight="1" x14ac:dyDescent="0.15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389"/>
      <c r="P554" s="55"/>
      <c r="Q554" s="55"/>
      <c r="R554" s="55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5"/>
      <c r="AD554" s="55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</row>
    <row r="555" spans="1:49" ht="15.75" customHeight="1" x14ac:dyDescent="0.1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389"/>
      <c r="P555" s="55"/>
      <c r="Q555" s="55"/>
      <c r="R555" s="55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5"/>
      <c r="AD555" s="55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</row>
    <row r="556" spans="1:49" ht="15.75" customHeight="1" x14ac:dyDescent="0.15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389"/>
      <c r="P556" s="55"/>
      <c r="Q556" s="55"/>
      <c r="R556" s="55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5"/>
      <c r="AD556" s="55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</row>
    <row r="557" spans="1:49" ht="15.75" customHeight="1" x14ac:dyDescent="0.15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389"/>
      <c r="P557" s="55"/>
      <c r="Q557" s="55"/>
      <c r="R557" s="55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5"/>
      <c r="AD557" s="55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</row>
    <row r="558" spans="1:49" ht="15.75" customHeight="1" x14ac:dyDescent="0.15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389"/>
      <c r="P558" s="55"/>
      <c r="Q558" s="55"/>
      <c r="R558" s="55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5"/>
      <c r="AD558" s="55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</row>
    <row r="559" spans="1:49" ht="15.75" customHeight="1" x14ac:dyDescent="0.15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389"/>
      <c r="P559" s="55"/>
      <c r="Q559" s="55"/>
      <c r="R559" s="55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5"/>
      <c r="AD559" s="55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</row>
    <row r="560" spans="1:49" ht="15.75" customHeight="1" x14ac:dyDescent="0.15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389"/>
      <c r="P560" s="55"/>
      <c r="Q560" s="55"/>
      <c r="R560" s="55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5"/>
      <c r="AD560" s="55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</row>
    <row r="561" spans="1:49" ht="15.75" customHeight="1" x14ac:dyDescent="0.15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389"/>
      <c r="P561" s="55"/>
      <c r="Q561" s="55"/>
      <c r="R561" s="55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5"/>
      <c r="AD561" s="55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</row>
    <row r="562" spans="1:49" ht="15.75" customHeight="1" x14ac:dyDescent="0.15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389"/>
      <c r="P562" s="55"/>
      <c r="Q562" s="55"/>
      <c r="R562" s="55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5"/>
      <c r="AD562" s="55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</row>
    <row r="563" spans="1:49" ht="15.75" customHeight="1" x14ac:dyDescent="0.15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389"/>
      <c r="P563" s="55"/>
      <c r="Q563" s="55"/>
      <c r="R563" s="55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5"/>
      <c r="AD563" s="55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</row>
    <row r="564" spans="1:49" ht="15.75" customHeight="1" x14ac:dyDescent="0.15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389"/>
      <c r="P564" s="55"/>
      <c r="Q564" s="55"/>
      <c r="R564" s="55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5"/>
      <c r="AD564" s="55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</row>
    <row r="565" spans="1:49" ht="15.75" customHeight="1" x14ac:dyDescent="0.1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389"/>
      <c r="P565" s="55"/>
      <c r="Q565" s="55"/>
      <c r="R565" s="55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5"/>
      <c r="AD565" s="55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</row>
    <row r="566" spans="1:49" ht="15.75" customHeight="1" x14ac:dyDescent="0.15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389"/>
      <c r="P566" s="55"/>
      <c r="Q566" s="55"/>
      <c r="R566" s="55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5"/>
      <c r="AD566" s="55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</row>
    <row r="567" spans="1:49" ht="15.75" customHeight="1" x14ac:dyDescent="0.15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389"/>
      <c r="P567" s="55"/>
      <c r="Q567" s="55"/>
      <c r="R567" s="55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5"/>
      <c r="AD567" s="55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</row>
    <row r="568" spans="1:49" ht="15.75" customHeight="1" x14ac:dyDescent="0.15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389"/>
      <c r="P568" s="55"/>
      <c r="Q568" s="55"/>
      <c r="R568" s="55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5"/>
      <c r="AD568" s="55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</row>
    <row r="569" spans="1:49" ht="15.75" customHeight="1" x14ac:dyDescent="0.15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389"/>
      <c r="P569" s="55"/>
      <c r="Q569" s="55"/>
      <c r="R569" s="55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5"/>
      <c r="AD569" s="55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</row>
    <row r="570" spans="1:49" ht="15.75" customHeight="1" x14ac:dyDescent="0.15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389"/>
      <c r="P570" s="55"/>
      <c r="Q570" s="55"/>
      <c r="R570" s="55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5"/>
      <c r="AD570" s="55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</row>
    <row r="571" spans="1:49" ht="15.75" customHeight="1" x14ac:dyDescent="0.15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389"/>
      <c r="P571" s="55"/>
      <c r="Q571" s="55"/>
      <c r="R571" s="55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5"/>
      <c r="AD571" s="55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</row>
    <row r="572" spans="1:49" ht="15.75" customHeight="1" x14ac:dyDescent="0.15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389"/>
      <c r="P572" s="55"/>
      <c r="Q572" s="55"/>
      <c r="R572" s="55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5"/>
      <c r="AD572" s="55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</row>
    <row r="573" spans="1:49" ht="15.75" customHeight="1" x14ac:dyDescent="0.15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389"/>
      <c r="P573" s="55"/>
      <c r="Q573" s="55"/>
      <c r="R573" s="55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5"/>
      <c r="AD573" s="55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</row>
    <row r="574" spans="1:49" ht="15.75" customHeight="1" x14ac:dyDescent="0.15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389"/>
      <c r="P574" s="55"/>
      <c r="Q574" s="55"/>
      <c r="R574" s="55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5"/>
      <c r="AD574" s="55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</row>
    <row r="575" spans="1:49" ht="15.75" customHeight="1" x14ac:dyDescent="0.1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389"/>
      <c r="P575" s="55"/>
      <c r="Q575" s="55"/>
      <c r="R575" s="55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5"/>
      <c r="AD575" s="55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</row>
    <row r="576" spans="1:49" ht="15.75" customHeight="1" x14ac:dyDescent="0.15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389"/>
      <c r="P576" s="55"/>
      <c r="Q576" s="55"/>
      <c r="R576" s="55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5"/>
      <c r="AD576" s="55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</row>
    <row r="577" spans="1:49" ht="15.75" customHeight="1" x14ac:dyDescent="0.15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389"/>
      <c r="P577" s="55"/>
      <c r="Q577" s="55"/>
      <c r="R577" s="55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5"/>
      <c r="AD577" s="55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</row>
    <row r="578" spans="1:49" ht="15.75" customHeight="1" x14ac:dyDescent="0.15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389"/>
      <c r="P578" s="55"/>
      <c r="Q578" s="55"/>
      <c r="R578" s="55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5"/>
      <c r="AD578" s="55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</row>
    <row r="579" spans="1:49" ht="15.75" customHeight="1" x14ac:dyDescent="0.15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389"/>
      <c r="P579" s="55"/>
      <c r="Q579" s="55"/>
      <c r="R579" s="55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5"/>
      <c r="AD579" s="55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</row>
    <row r="580" spans="1:49" ht="15.75" customHeight="1" x14ac:dyDescent="0.15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389"/>
      <c r="P580" s="55"/>
      <c r="Q580" s="55"/>
      <c r="R580" s="55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5"/>
      <c r="AD580" s="55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</row>
    <row r="581" spans="1:49" ht="15.75" customHeight="1" x14ac:dyDescent="0.15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389"/>
      <c r="P581" s="55"/>
      <c r="Q581" s="55"/>
      <c r="R581" s="55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5"/>
      <c r="AD581" s="55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</row>
    <row r="582" spans="1:49" ht="15.75" customHeight="1" x14ac:dyDescent="0.15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389"/>
      <c r="P582" s="55"/>
      <c r="Q582" s="55"/>
      <c r="R582" s="55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5"/>
      <c r="AD582" s="55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</row>
    <row r="583" spans="1:49" ht="15.75" customHeight="1" x14ac:dyDescent="0.15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389"/>
      <c r="P583" s="55"/>
      <c r="Q583" s="55"/>
      <c r="R583" s="55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5"/>
      <c r="AD583" s="55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</row>
    <row r="584" spans="1:49" ht="15.75" customHeight="1" x14ac:dyDescent="0.15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389"/>
      <c r="P584" s="55"/>
      <c r="Q584" s="55"/>
      <c r="R584" s="55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5"/>
      <c r="AD584" s="55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</row>
    <row r="585" spans="1:49" ht="15.75" customHeight="1" x14ac:dyDescent="0.1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389"/>
      <c r="P585" s="55"/>
      <c r="Q585" s="55"/>
      <c r="R585" s="55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5"/>
      <c r="AD585" s="55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</row>
    <row r="586" spans="1:49" ht="15.75" customHeight="1" x14ac:dyDescent="0.15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389"/>
      <c r="P586" s="55"/>
      <c r="Q586" s="55"/>
      <c r="R586" s="55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5"/>
      <c r="AD586" s="55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</row>
    <row r="587" spans="1:49" ht="15.75" customHeight="1" x14ac:dyDescent="0.15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389"/>
      <c r="P587" s="55"/>
      <c r="Q587" s="55"/>
      <c r="R587" s="55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5"/>
      <c r="AD587" s="55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</row>
    <row r="588" spans="1:49" ht="15.75" customHeight="1" x14ac:dyDescent="0.15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389"/>
      <c r="P588" s="55"/>
      <c r="Q588" s="55"/>
      <c r="R588" s="55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5"/>
      <c r="AD588" s="55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</row>
    <row r="589" spans="1:49" ht="15.75" customHeight="1" x14ac:dyDescent="0.15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389"/>
      <c r="P589" s="55"/>
      <c r="Q589" s="55"/>
      <c r="R589" s="55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5"/>
      <c r="AD589" s="55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</row>
    <row r="590" spans="1:49" ht="15.75" customHeight="1" x14ac:dyDescent="0.15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389"/>
      <c r="P590" s="55"/>
      <c r="Q590" s="55"/>
      <c r="R590" s="55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5"/>
      <c r="AD590" s="55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</row>
    <row r="591" spans="1:49" ht="15.75" customHeight="1" x14ac:dyDescent="0.15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389"/>
      <c r="P591" s="55"/>
      <c r="Q591" s="55"/>
      <c r="R591" s="55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5"/>
      <c r="AD591" s="55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</row>
    <row r="592" spans="1:49" ht="15.75" customHeight="1" x14ac:dyDescent="0.15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389"/>
      <c r="P592" s="55"/>
      <c r="Q592" s="55"/>
      <c r="R592" s="55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5"/>
      <c r="AD592" s="55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</row>
    <row r="593" spans="1:49" ht="15.75" customHeight="1" x14ac:dyDescent="0.15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389"/>
      <c r="P593" s="55"/>
      <c r="Q593" s="55"/>
      <c r="R593" s="55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5"/>
      <c r="AD593" s="55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</row>
    <row r="594" spans="1:49" ht="15.75" customHeight="1" x14ac:dyDescent="0.15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389"/>
      <c r="P594" s="55"/>
      <c r="Q594" s="55"/>
      <c r="R594" s="55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5"/>
      <c r="AD594" s="55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</row>
    <row r="595" spans="1:49" ht="15.75" customHeight="1" x14ac:dyDescent="0.1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389"/>
      <c r="P595" s="55"/>
      <c r="Q595" s="55"/>
      <c r="R595" s="55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5"/>
      <c r="AD595" s="55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</row>
    <row r="596" spans="1:49" ht="15.75" customHeight="1" x14ac:dyDescent="0.15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389"/>
      <c r="P596" s="55"/>
      <c r="Q596" s="55"/>
      <c r="R596" s="55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5"/>
      <c r="AD596" s="55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</row>
    <row r="597" spans="1:49" ht="15.75" customHeight="1" x14ac:dyDescent="0.15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389"/>
      <c r="P597" s="55"/>
      <c r="Q597" s="55"/>
      <c r="R597" s="55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5"/>
      <c r="AD597" s="55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</row>
    <row r="598" spans="1:49" ht="15.75" customHeight="1" x14ac:dyDescent="0.15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389"/>
      <c r="P598" s="55"/>
      <c r="Q598" s="55"/>
      <c r="R598" s="55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5"/>
      <c r="AD598" s="55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</row>
    <row r="599" spans="1:49" ht="15.75" customHeight="1" x14ac:dyDescent="0.15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389"/>
      <c r="P599" s="55"/>
      <c r="Q599" s="55"/>
      <c r="R599" s="55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5"/>
      <c r="AD599" s="55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</row>
    <row r="600" spans="1:49" ht="15.75" customHeight="1" x14ac:dyDescent="0.15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389"/>
      <c r="P600" s="55"/>
      <c r="Q600" s="55"/>
      <c r="R600" s="55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5"/>
      <c r="AD600" s="55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</row>
    <row r="601" spans="1:49" ht="15.75" customHeight="1" x14ac:dyDescent="0.15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389"/>
      <c r="P601" s="55"/>
      <c r="Q601" s="55"/>
      <c r="R601" s="55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5"/>
      <c r="AD601" s="55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</row>
    <row r="602" spans="1:49" ht="15.75" customHeight="1" x14ac:dyDescent="0.15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389"/>
      <c r="P602" s="55"/>
      <c r="Q602" s="55"/>
      <c r="R602" s="55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5"/>
      <c r="AD602" s="55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</row>
    <row r="603" spans="1:49" ht="15.75" customHeight="1" x14ac:dyDescent="0.15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389"/>
      <c r="P603" s="55"/>
      <c r="Q603" s="55"/>
      <c r="R603" s="55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5"/>
      <c r="AD603" s="55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</row>
    <row r="604" spans="1:49" ht="15.75" customHeight="1" x14ac:dyDescent="0.15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389"/>
      <c r="P604" s="55"/>
      <c r="Q604" s="55"/>
      <c r="R604" s="55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5"/>
      <c r="AD604" s="55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</row>
    <row r="605" spans="1:49" ht="15.75" customHeight="1" x14ac:dyDescent="0.1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389"/>
      <c r="P605" s="55"/>
      <c r="Q605" s="55"/>
      <c r="R605" s="55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5"/>
      <c r="AD605" s="55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</row>
    <row r="606" spans="1:49" ht="15.75" customHeight="1" x14ac:dyDescent="0.15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389"/>
      <c r="P606" s="55"/>
      <c r="Q606" s="55"/>
      <c r="R606" s="55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5"/>
      <c r="AD606" s="55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</row>
    <row r="607" spans="1:49" ht="15.75" customHeight="1" x14ac:dyDescent="0.15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389"/>
      <c r="P607" s="55"/>
      <c r="Q607" s="55"/>
      <c r="R607" s="55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5"/>
      <c r="AD607" s="55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</row>
    <row r="608" spans="1:49" ht="15.75" customHeight="1" x14ac:dyDescent="0.15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389"/>
      <c r="P608" s="55"/>
      <c r="Q608" s="55"/>
      <c r="R608" s="55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5"/>
      <c r="AD608" s="55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</row>
    <row r="609" spans="1:49" ht="15.75" customHeight="1" x14ac:dyDescent="0.15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389"/>
      <c r="P609" s="55"/>
      <c r="Q609" s="55"/>
      <c r="R609" s="55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5"/>
      <c r="AD609" s="55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</row>
    <row r="610" spans="1:49" ht="15.75" customHeight="1" x14ac:dyDescent="0.15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389"/>
      <c r="P610" s="55"/>
      <c r="Q610" s="55"/>
      <c r="R610" s="55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5"/>
      <c r="AD610" s="55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</row>
    <row r="611" spans="1:49" ht="15.75" customHeight="1" x14ac:dyDescent="0.15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389"/>
      <c r="P611" s="55"/>
      <c r="Q611" s="55"/>
      <c r="R611" s="55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5"/>
      <c r="AD611" s="55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</row>
    <row r="612" spans="1:49" ht="15.75" customHeight="1" x14ac:dyDescent="0.15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389"/>
      <c r="P612" s="55"/>
      <c r="Q612" s="55"/>
      <c r="R612" s="55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5"/>
      <c r="AD612" s="55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</row>
    <row r="613" spans="1:49" ht="15.75" customHeight="1" x14ac:dyDescent="0.15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389"/>
      <c r="P613" s="55"/>
      <c r="Q613" s="55"/>
      <c r="R613" s="55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5"/>
      <c r="AD613" s="55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</row>
    <row r="614" spans="1:49" ht="15.75" customHeight="1" x14ac:dyDescent="0.15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389"/>
      <c r="P614" s="55"/>
      <c r="Q614" s="55"/>
      <c r="R614" s="55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5"/>
      <c r="AD614" s="55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</row>
    <row r="615" spans="1:49" ht="15.75" customHeight="1" x14ac:dyDescent="0.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389"/>
      <c r="P615" s="55"/>
      <c r="Q615" s="55"/>
      <c r="R615" s="55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5"/>
      <c r="AD615" s="55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</row>
    <row r="616" spans="1:49" ht="15.75" customHeight="1" x14ac:dyDescent="0.15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389"/>
      <c r="P616" s="55"/>
      <c r="Q616" s="55"/>
      <c r="R616" s="55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5"/>
      <c r="AD616" s="55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</row>
    <row r="617" spans="1:49" ht="15.75" customHeight="1" x14ac:dyDescent="0.15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389"/>
      <c r="P617" s="55"/>
      <c r="Q617" s="55"/>
      <c r="R617" s="55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5"/>
      <c r="AD617" s="55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</row>
    <row r="618" spans="1:49" ht="15.75" customHeight="1" x14ac:dyDescent="0.15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389"/>
      <c r="P618" s="55"/>
      <c r="Q618" s="55"/>
      <c r="R618" s="55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5"/>
      <c r="AD618" s="55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</row>
    <row r="619" spans="1:49" ht="15.75" customHeight="1" x14ac:dyDescent="0.15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389"/>
      <c r="P619" s="55"/>
      <c r="Q619" s="55"/>
      <c r="R619" s="55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5"/>
      <c r="AD619" s="55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</row>
    <row r="620" spans="1:49" ht="15.75" customHeight="1" x14ac:dyDescent="0.15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389"/>
      <c r="P620" s="55"/>
      <c r="Q620" s="55"/>
      <c r="R620" s="55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5"/>
      <c r="AD620" s="55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</row>
    <row r="621" spans="1:49" ht="15.75" customHeight="1" x14ac:dyDescent="0.15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389"/>
      <c r="P621" s="55"/>
      <c r="Q621" s="55"/>
      <c r="R621" s="55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5"/>
      <c r="AD621" s="55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</row>
    <row r="622" spans="1:49" ht="15.75" customHeight="1" x14ac:dyDescent="0.15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389"/>
      <c r="P622" s="55"/>
      <c r="Q622" s="55"/>
      <c r="R622" s="55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5"/>
      <c r="AD622" s="55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</row>
    <row r="623" spans="1:49" ht="15.75" customHeight="1" x14ac:dyDescent="0.15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389"/>
      <c r="P623" s="55"/>
      <c r="Q623" s="55"/>
      <c r="R623" s="55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5"/>
      <c r="AD623" s="55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</row>
    <row r="624" spans="1:49" ht="15.75" customHeight="1" x14ac:dyDescent="0.15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389"/>
      <c r="P624" s="55"/>
      <c r="Q624" s="55"/>
      <c r="R624" s="55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5"/>
      <c r="AD624" s="55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</row>
    <row r="625" spans="1:49" ht="15.75" customHeight="1" x14ac:dyDescent="0.1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389"/>
      <c r="P625" s="55"/>
      <c r="Q625" s="55"/>
      <c r="R625" s="55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5"/>
      <c r="AD625" s="55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</row>
    <row r="626" spans="1:49" ht="15.75" customHeight="1" x14ac:dyDescent="0.15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389"/>
      <c r="P626" s="55"/>
      <c r="Q626" s="55"/>
      <c r="R626" s="55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5"/>
      <c r="AD626" s="55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</row>
    <row r="627" spans="1:49" ht="15.75" customHeight="1" x14ac:dyDescent="0.15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389"/>
      <c r="P627" s="55"/>
      <c r="Q627" s="55"/>
      <c r="R627" s="55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5"/>
      <c r="AD627" s="55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</row>
    <row r="628" spans="1:49" ht="15.75" customHeight="1" x14ac:dyDescent="0.15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389"/>
      <c r="P628" s="55"/>
      <c r="Q628" s="55"/>
      <c r="R628" s="55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5"/>
      <c r="AD628" s="55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</row>
    <row r="629" spans="1:49" ht="15.75" customHeight="1" x14ac:dyDescent="0.15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389"/>
      <c r="P629" s="55"/>
      <c r="Q629" s="55"/>
      <c r="R629" s="55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5"/>
      <c r="AD629" s="55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</row>
    <row r="630" spans="1:49" ht="15.75" customHeight="1" x14ac:dyDescent="0.15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389"/>
      <c r="P630" s="55"/>
      <c r="Q630" s="55"/>
      <c r="R630" s="55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5"/>
      <c r="AD630" s="55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</row>
    <row r="631" spans="1:49" ht="15.75" customHeight="1" x14ac:dyDescent="0.15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389"/>
      <c r="P631" s="55"/>
      <c r="Q631" s="55"/>
      <c r="R631" s="55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5"/>
      <c r="AD631" s="55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</row>
    <row r="632" spans="1:49" ht="15.75" customHeight="1" x14ac:dyDescent="0.15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389"/>
      <c r="P632" s="55"/>
      <c r="Q632" s="55"/>
      <c r="R632" s="55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5"/>
      <c r="AD632" s="55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</row>
    <row r="633" spans="1:49" ht="15.75" customHeight="1" x14ac:dyDescent="0.15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389"/>
      <c r="P633" s="55"/>
      <c r="Q633" s="55"/>
      <c r="R633" s="55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5"/>
      <c r="AD633" s="55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</row>
    <row r="634" spans="1:49" ht="15.75" customHeight="1" x14ac:dyDescent="0.15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389"/>
      <c r="P634" s="55"/>
      <c r="Q634" s="55"/>
      <c r="R634" s="55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5"/>
      <c r="AD634" s="55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</row>
    <row r="635" spans="1:49" ht="15.75" customHeight="1" x14ac:dyDescent="0.1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389"/>
      <c r="P635" s="55"/>
      <c r="Q635" s="55"/>
      <c r="R635" s="55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5"/>
      <c r="AD635" s="55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</row>
    <row r="636" spans="1:49" ht="15.75" customHeight="1" x14ac:dyDescent="0.15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389"/>
      <c r="P636" s="55"/>
      <c r="Q636" s="55"/>
      <c r="R636" s="55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5"/>
      <c r="AD636" s="55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</row>
    <row r="637" spans="1:49" ht="15.75" customHeight="1" x14ac:dyDescent="0.15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389"/>
      <c r="P637" s="55"/>
      <c r="Q637" s="55"/>
      <c r="R637" s="55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5"/>
      <c r="AD637" s="55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</row>
    <row r="638" spans="1:49" ht="15.75" customHeight="1" x14ac:dyDescent="0.15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389"/>
      <c r="P638" s="55"/>
      <c r="Q638" s="55"/>
      <c r="R638" s="55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5"/>
      <c r="AD638" s="55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</row>
    <row r="639" spans="1:49" ht="15.75" customHeight="1" x14ac:dyDescent="0.15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389"/>
      <c r="P639" s="55"/>
      <c r="Q639" s="55"/>
      <c r="R639" s="55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5"/>
      <c r="AD639" s="55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</row>
    <row r="640" spans="1:49" ht="15.75" customHeight="1" x14ac:dyDescent="0.15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389"/>
      <c r="P640" s="55"/>
      <c r="Q640" s="55"/>
      <c r="R640" s="55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5"/>
      <c r="AD640" s="55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</row>
    <row r="641" spans="1:49" ht="15.75" customHeight="1" x14ac:dyDescent="0.15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389"/>
      <c r="P641" s="55"/>
      <c r="Q641" s="55"/>
      <c r="R641" s="55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5"/>
      <c r="AD641" s="55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</row>
    <row r="642" spans="1:49" ht="15.75" customHeight="1" x14ac:dyDescent="0.15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389"/>
      <c r="P642" s="55"/>
      <c r="Q642" s="55"/>
      <c r="R642" s="55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5"/>
      <c r="AD642" s="55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</row>
    <row r="643" spans="1:49" ht="15.75" customHeight="1" x14ac:dyDescent="0.15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389"/>
      <c r="P643" s="55"/>
      <c r="Q643" s="55"/>
      <c r="R643" s="55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5"/>
      <c r="AD643" s="55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</row>
    <row r="644" spans="1:49" ht="15.75" customHeight="1" x14ac:dyDescent="0.15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389"/>
      <c r="P644" s="55"/>
      <c r="Q644" s="55"/>
      <c r="R644" s="55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5"/>
      <c r="AD644" s="55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</row>
    <row r="645" spans="1:49" ht="15.75" customHeight="1" x14ac:dyDescent="0.1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389"/>
      <c r="P645" s="55"/>
      <c r="Q645" s="55"/>
      <c r="R645" s="55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5"/>
      <c r="AD645" s="55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</row>
    <row r="646" spans="1:49" ht="15.75" customHeight="1" x14ac:dyDescent="0.15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389"/>
      <c r="P646" s="55"/>
      <c r="Q646" s="55"/>
      <c r="R646" s="55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5"/>
      <c r="AD646" s="55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</row>
    <row r="647" spans="1:49" ht="15.75" customHeight="1" x14ac:dyDescent="0.15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389"/>
      <c r="P647" s="55"/>
      <c r="Q647" s="55"/>
      <c r="R647" s="55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5"/>
      <c r="AD647" s="55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</row>
    <row r="648" spans="1:49" ht="15.75" customHeight="1" x14ac:dyDescent="0.15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389"/>
      <c r="P648" s="55"/>
      <c r="Q648" s="55"/>
      <c r="R648" s="55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5"/>
      <c r="AD648" s="55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</row>
    <row r="649" spans="1:49" ht="15.75" customHeight="1" x14ac:dyDescent="0.15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389"/>
      <c r="P649" s="55"/>
      <c r="Q649" s="55"/>
      <c r="R649" s="55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5"/>
      <c r="AD649" s="55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</row>
    <row r="650" spans="1:49" ht="15.75" customHeight="1" x14ac:dyDescent="0.15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389"/>
      <c r="P650" s="55"/>
      <c r="Q650" s="55"/>
      <c r="R650" s="55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5"/>
      <c r="AD650" s="55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</row>
    <row r="651" spans="1:49" ht="15.75" customHeight="1" x14ac:dyDescent="0.15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389"/>
      <c r="P651" s="55"/>
      <c r="Q651" s="55"/>
      <c r="R651" s="55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5"/>
      <c r="AD651" s="55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</row>
    <row r="652" spans="1:49" ht="15.75" customHeight="1" x14ac:dyDescent="0.15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389"/>
      <c r="P652" s="55"/>
      <c r="Q652" s="55"/>
      <c r="R652" s="55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5"/>
      <c r="AD652" s="55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</row>
    <row r="653" spans="1:49" ht="15.75" customHeight="1" x14ac:dyDescent="0.15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389"/>
      <c r="P653" s="55"/>
      <c r="Q653" s="55"/>
      <c r="R653" s="55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5"/>
      <c r="AD653" s="55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</row>
    <row r="654" spans="1:49" ht="15.75" customHeight="1" x14ac:dyDescent="0.15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389"/>
      <c r="P654" s="55"/>
      <c r="Q654" s="55"/>
      <c r="R654" s="55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5"/>
      <c r="AD654" s="55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</row>
    <row r="655" spans="1:49" ht="15.75" customHeight="1" x14ac:dyDescent="0.1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389"/>
      <c r="P655" s="55"/>
      <c r="Q655" s="55"/>
      <c r="R655" s="55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5"/>
      <c r="AD655" s="55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</row>
    <row r="656" spans="1:49" ht="15.75" customHeight="1" x14ac:dyDescent="0.15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389"/>
      <c r="P656" s="55"/>
      <c r="Q656" s="55"/>
      <c r="R656" s="55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5"/>
      <c r="AD656" s="55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</row>
    <row r="657" spans="1:49" ht="15.75" customHeight="1" x14ac:dyDescent="0.15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389"/>
      <c r="P657" s="55"/>
      <c r="Q657" s="55"/>
      <c r="R657" s="55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5"/>
      <c r="AD657" s="55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</row>
    <row r="658" spans="1:49" ht="15.75" customHeight="1" x14ac:dyDescent="0.15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389"/>
      <c r="P658" s="55"/>
      <c r="Q658" s="55"/>
      <c r="R658" s="55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5"/>
      <c r="AD658" s="55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</row>
    <row r="659" spans="1:49" ht="15.75" customHeight="1" x14ac:dyDescent="0.15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389"/>
      <c r="P659" s="55"/>
      <c r="Q659" s="55"/>
      <c r="R659" s="55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5"/>
      <c r="AD659" s="55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</row>
    <row r="660" spans="1:49" ht="15.75" customHeight="1" x14ac:dyDescent="0.15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389"/>
      <c r="P660" s="55"/>
      <c r="Q660" s="55"/>
      <c r="R660" s="55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5"/>
      <c r="AD660" s="55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</row>
    <row r="661" spans="1:49" ht="15.75" customHeight="1" x14ac:dyDescent="0.15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389"/>
      <c r="P661" s="55"/>
      <c r="Q661" s="55"/>
      <c r="R661" s="55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5"/>
      <c r="AD661" s="55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</row>
    <row r="662" spans="1:49" ht="15.75" customHeight="1" x14ac:dyDescent="0.15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389"/>
      <c r="P662" s="55"/>
      <c r="Q662" s="55"/>
      <c r="R662" s="55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5"/>
      <c r="AD662" s="55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</row>
    <row r="663" spans="1:49" ht="15.75" customHeight="1" x14ac:dyDescent="0.15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389"/>
      <c r="P663" s="55"/>
      <c r="Q663" s="55"/>
      <c r="R663" s="55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5"/>
      <c r="AD663" s="55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</row>
    <row r="664" spans="1:49" ht="15.75" customHeight="1" x14ac:dyDescent="0.15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389"/>
      <c r="P664" s="55"/>
      <c r="Q664" s="55"/>
      <c r="R664" s="55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5"/>
      <c r="AD664" s="55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</row>
    <row r="665" spans="1:49" ht="15.75" customHeight="1" x14ac:dyDescent="0.1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389"/>
      <c r="P665" s="55"/>
      <c r="Q665" s="55"/>
      <c r="R665" s="55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5"/>
      <c r="AD665" s="55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</row>
    <row r="666" spans="1:49" ht="15.75" customHeight="1" x14ac:dyDescent="0.15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389"/>
      <c r="P666" s="55"/>
      <c r="Q666" s="55"/>
      <c r="R666" s="55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5"/>
      <c r="AD666" s="55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</row>
    <row r="667" spans="1:49" ht="15.75" customHeight="1" x14ac:dyDescent="0.15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389"/>
      <c r="P667" s="55"/>
      <c r="Q667" s="55"/>
      <c r="R667" s="55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5"/>
      <c r="AD667" s="55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</row>
    <row r="668" spans="1:49" ht="15.75" customHeight="1" x14ac:dyDescent="0.15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389"/>
      <c r="P668" s="55"/>
      <c r="Q668" s="55"/>
      <c r="R668" s="55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5"/>
      <c r="AD668" s="55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</row>
    <row r="669" spans="1:49" ht="15.75" customHeight="1" x14ac:dyDescent="0.15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389"/>
      <c r="P669" s="55"/>
      <c r="Q669" s="55"/>
      <c r="R669" s="55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5"/>
      <c r="AD669" s="55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</row>
    <row r="670" spans="1:49" ht="15.75" customHeight="1" x14ac:dyDescent="0.15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389"/>
      <c r="P670" s="55"/>
      <c r="Q670" s="55"/>
      <c r="R670" s="55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5"/>
      <c r="AD670" s="55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</row>
    <row r="671" spans="1:49" ht="15.75" customHeight="1" x14ac:dyDescent="0.15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389"/>
      <c r="P671" s="55"/>
      <c r="Q671" s="55"/>
      <c r="R671" s="55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5"/>
      <c r="AD671" s="55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</row>
    <row r="672" spans="1:49" ht="15.75" customHeight="1" x14ac:dyDescent="0.15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389"/>
      <c r="P672" s="55"/>
      <c r="Q672" s="55"/>
      <c r="R672" s="55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5"/>
      <c r="AD672" s="55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</row>
    <row r="673" spans="1:49" ht="15.75" customHeight="1" x14ac:dyDescent="0.15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389"/>
      <c r="P673" s="55"/>
      <c r="Q673" s="55"/>
      <c r="R673" s="55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5"/>
      <c r="AD673" s="55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</row>
    <row r="674" spans="1:49" ht="15.75" customHeight="1" x14ac:dyDescent="0.15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389"/>
      <c r="P674" s="55"/>
      <c r="Q674" s="55"/>
      <c r="R674" s="55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5"/>
      <c r="AD674" s="55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</row>
    <row r="675" spans="1:49" ht="15.75" customHeight="1" x14ac:dyDescent="0.1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389"/>
      <c r="P675" s="55"/>
      <c r="Q675" s="55"/>
      <c r="R675" s="55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5"/>
      <c r="AD675" s="55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</row>
    <row r="676" spans="1:49" ht="15.75" customHeight="1" x14ac:dyDescent="0.15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389"/>
      <c r="P676" s="55"/>
      <c r="Q676" s="55"/>
      <c r="R676" s="55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5"/>
      <c r="AD676" s="55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</row>
    <row r="677" spans="1:49" ht="15.75" customHeight="1" x14ac:dyDescent="0.15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389"/>
      <c r="P677" s="55"/>
      <c r="Q677" s="55"/>
      <c r="R677" s="55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5"/>
      <c r="AD677" s="55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</row>
    <row r="678" spans="1:49" ht="15.75" customHeight="1" x14ac:dyDescent="0.15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389"/>
      <c r="P678" s="55"/>
      <c r="Q678" s="55"/>
      <c r="R678" s="55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5"/>
      <c r="AD678" s="55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</row>
    <row r="679" spans="1:49" ht="15.75" customHeight="1" x14ac:dyDescent="0.15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389"/>
      <c r="P679" s="55"/>
      <c r="Q679" s="55"/>
      <c r="R679" s="55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5"/>
      <c r="AD679" s="55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</row>
    <row r="680" spans="1:49" ht="15.75" customHeight="1" x14ac:dyDescent="0.15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389"/>
      <c r="P680" s="55"/>
      <c r="Q680" s="55"/>
      <c r="R680" s="55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5"/>
      <c r="AD680" s="55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</row>
    <row r="681" spans="1:49" ht="15.75" customHeight="1" x14ac:dyDescent="0.15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389"/>
      <c r="P681" s="55"/>
      <c r="Q681" s="55"/>
      <c r="R681" s="55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5"/>
      <c r="AD681" s="55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</row>
    <row r="682" spans="1:49" ht="15.75" customHeight="1" x14ac:dyDescent="0.15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389"/>
      <c r="P682" s="55"/>
      <c r="Q682" s="55"/>
      <c r="R682" s="55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5"/>
      <c r="AD682" s="55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</row>
    <row r="683" spans="1:49" ht="15.75" customHeight="1" x14ac:dyDescent="0.15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389"/>
      <c r="P683" s="55"/>
      <c r="Q683" s="55"/>
      <c r="R683" s="55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5"/>
      <c r="AD683" s="55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</row>
    <row r="684" spans="1:49" ht="15.75" customHeight="1" x14ac:dyDescent="0.15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389"/>
      <c r="P684" s="55"/>
      <c r="Q684" s="55"/>
      <c r="R684" s="55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5"/>
      <c r="AD684" s="55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</row>
    <row r="685" spans="1:49" ht="15.75" customHeight="1" x14ac:dyDescent="0.1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389"/>
      <c r="P685" s="55"/>
      <c r="Q685" s="55"/>
      <c r="R685" s="55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5"/>
      <c r="AD685" s="55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</row>
    <row r="686" spans="1:49" ht="15.75" customHeight="1" x14ac:dyDescent="0.15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389"/>
      <c r="P686" s="55"/>
      <c r="Q686" s="55"/>
      <c r="R686" s="55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5"/>
      <c r="AD686" s="55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</row>
    <row r="687" spans="1:49" ht="15.75" customHeight="1" x14ac:dyDescent="0.15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389"/>
      <c r="P687" s="55"/>
      <c r="Q687" s="55"/>
      <c r="R687" s="55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5"/>
      <c r="AD687" s="55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</row>
    <row r="688" spans="1:49" ht="15.75" customHeight="1" x14ac:dyDescent="0.15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389"/>
      <c r="P688" s="55"/>
      <c r="Q688" s="55"/>
      <c r="R688" s="55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5"/>
      <c r="AD688" s="55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</row>
    <row r="689" spans="1:49" ht="15.75" customHeight="1" x14ac:dyDescent="0.15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389"/>
      <c r="P689" s="55"/>
      <c r="Q689" s="55"/>
      <c r="R689" s="55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5"/>
      <c r="AD689" s="55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</row>
    <row r="690" spans="1:49" ht="15.75" customHeight="1" x14ac:dyDescent="0.15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389"/>
      <c r="P690" s="55"/>
      <c r="Q690" s="55"/>
      <c r="R690" s="55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5"/>
      <c r="AD690" s="55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</row>
    <row r="691" spans="1:49" ht="15.75" customHeight="1" x14ac:dyDescent="0.15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389"/>
      <c r="P691" s="55"/>
      <c r="Q691" s="55"/>
      <c r="R691" s="55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5"/>
      <c r="AD691" s="55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6"/>
      <c r="AW691" s="56"/>
    </row>
    <row r="692" spans="1:49" ht="15.75" customHeight="1" x14ac:dyDescent="0.15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389"/>
      <c r="P692" s="55"/>
      <c r="Q692" s="55"/>
      <c r="R692" s="55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5"/>
      <c r="AD692" s="55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6"/>
      <c r="AW692" s="56"/>
    </row>
    <row r="693" spans="1:49" ht="15.75" customHeight="1" x14ac:dyDescent="0.15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389"/>
      <c r="P693" s="55"/>
      <c r="Q693" s="55"/>
      <c r="R693" s="55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5"/>
      <c r="AD693" s="55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6"/>
      <c r="AW693" s="56"/>
    </row>
    <row r="694" spans="1:49" ht="15.75" customHeight="1" x14ac:dyDescent="0.15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389"/>
      <c r="P694" s="55"/>
      <c r="Q694" s="55"/>
      <c r="R694" s="55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5"/>
      <c r="AD694" s="55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6"/>
      <c r="AW694" s="56"/>
    </row>
    <row r="695" spans="1:49" ht="15.75" customHeight="1" x14ac:dyDescent="0.1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389"/>
      <c r="P695" s="55"/>
      <c r="Q695" s="55"/>
      <c r="R695" s="55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5"/>
      <c r="AD695" s="55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6"/>
      <c r="AW695" s="56"/>
    </row>
    <row r="696" spans="1:49" ht="15.75" customHeight="1" x14ac:dyDescent="0.15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389"/>
      <c r="P696" s="55"/>
      <c r="Q696" s="55"/>
      <c r="R696" s="55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5"/>
      <c r="AD696" s="55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6"/>
      <c r="AW696" s="56"/>
    </row>
    <row r="697" spans="1:49" ht="15.75" customHeight="1" x14ac:dyDescent="0.15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389"/>
      <c r="P697" s="55"/>
      <c r="Q697" s="55"/>
      <c r="R697" s="55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5"/>
      <c r="AD697" s="55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</row>
    <row r="698" spans="1:49" ht="15.75" customHeight="1" x14ac:dyDescent="0.15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389"/>
      <c r="P698" s="55"/>
      <c r="Q698" s="55"/>
      <c r="R698" s="55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5"/>
      <c r="AD698" s="55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56"/>
      <c r="AW698" s="56"/>
    </row>
    <row r="699" spans="1:49" ht="15.75" customHeight="1" x14ac:dyDescent="0.15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389"/>
      <c r="P699" s="55"/>
      <c r="Q699" s="55"/>
      <c r="R699" s="55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5"/>
      <c r="AD699" s="55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6"/>
      <c r="AW699" s="56"/>
    </row>
    <row r="700" spans="1:49" ht="15.75" customHeight="1" x14ac:dyDescent="0.15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389"/>
      <c r="P700" s="55"/>
      <c r="Q700" s="55"/>
      <c r="R700" s="55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5"/>
      <c r="AD700" s="55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6"/>
      <c r="AW700" s="56"/>
    </row>
    <row r="701" spans="1:49" ht="15.75" customHeight="1" x14ac:dyDescent="0.15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389"/>
      <c r="P701" s="55"/>
      <c r="Q701" s="55"/>
      <c r="R701" s="55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5"/>
      <c r="AD701" s="55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6"/>
      <c r="AW701" s="56"/>
    </row>
    <row r="702" spans="1:49" ht="15.75" customHeight="1" x14ac:dyDescent="0.15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389"/>
      <c r="P702" s="55"/>
      <c r="Q702" s="55"/>
      <c r="R702" s="55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5"/>
      <c r="AD702" s="55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56"/>
      <c r="AW702" s="56"/>
    </row>
    <row r="703" spans="1:49" ht="15.75" customHeight="1" x14ac:dyDescent="0.15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389"/>
      <c r="P703" s="55"/>
      <c r="Q703" s="55"/>
      <c r="R703" s="55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5"/>
      <c r="AD703" s="55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</row>
    <row r="704" spans="1:49" ht="15.75" customHeight="1" x14ac:dyDescent="0.15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389"/>
      <c r="P704" s="55"/>
      <c r="Q704" s="55"/>
      <c r="R704" s="55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5"/>
      <c r="AD704" s="55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</row>
    <row r="705" spans="1:49" ht="15.75" customHeight="1" x14ac:dyDescent="0.1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389"/>
      <c r="P705" s="55"/>
      <c r="Q705" s="55"/>
      <c r="R705" s="55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5"/>
      <c r="AD705" s="55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</row>
    <row r="706" spans="1:49" ht="15.75" customHeight="1" x14ac:dyDescent="0.15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389"/>
      <c r="P706" s="55"/>
      <c r="Q706" s="55"/>
      <c r="R706" s="55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5"/>
      <c r="AD706" s="55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6"/>
      <c r="AW706" s="56"/>
    </row>
    <row r="707" spans="1:49" ht="15.75" customHeight="1" x14ac:dyDescent="0.15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389"/>
      <c r="P707" s="55"/>
      <c r="Q707" s="55"/>
      <c r="R707" s="55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5"/>
      <c r="AD707" s="55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</row>
    <row r="708" spans="1:49" ht="15.75" customHeight="1" x14ac:dyDescent="0.15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389"/>
      <c r="P708" s="55"/>
      <c r="Q708" s="55"/>
      <c r="R708" s="55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5"/>
      <c r="AD708" s="55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6"/>
      <c r="AW708" s="56"/>
    </row>
    <row r="709" spans="1:49" ht="15.75" customHeight="1" x14ac:dyDescent="0.15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389"/>
      <c r="P709" s="55"/>
      <c r="Q709" s="55"/>
      <c r="R709" s="55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5"/>
      <c r="AD709" s="55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</row>
    <row r="710" spans="1:49" ht="15.75" customHeight="1" x14ac:dyDescent="0.15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389"/>
      <c r="P710" s="55"/>
      <c r="Q710" s="55"/>
      <c r="R710" s="55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5"/>
      <c r="AD710" s="55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</row>
    <row r="711" spans="1:49" ht="15.75" customHeight="1" x14ac:dyDescent="0.15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389"/>
      <c r="P711" s="55"/>
      <c r="Q711" s="55"/>
      <c r="R711" s="55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5"/>
      <c r="AD711" s="55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6"/>
      <c r="AW711" s="56"/>
    </row>
    <row r="712" spans="1:49" ht="15.75" customHeight="1" x14ac:dyDescent="0.15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389"/>
      <c r="P712" s="55"/>
      <c r="Q712" s="55"/>
      <c r="R712" s="55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5"/>
      <c r="AD712" s="55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6"/>
      <c r="AW712" s="56"/>
    </row>
    <row r="713" spans="1:49" ht="15.75" customHeight="1" x14ac:dyDescent="0.15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389"/>
      <c r="P713" s="55"/>
      <c r="Q713" s="55"/>
      <c r="R713" s="55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5"/>
      <c r="AD713" s="55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6"/>
      <c r="AW713" s="56"/>
    </row>
    <row r="714" spans="1:49" ht="15.75" customHeight="1" x14ac:dyDescent="0.15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389"/>
      <c r="P714" s="55"/>
      <c r="Q714" s="55"/>
      <c r="R714" s="55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5"/>
      <c r="AD714" s="55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</row>
    <row r="715" spans="1:49" ht="15.75" customHeight="1" x14ac:dyDescent="0.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389"/>
      <c r="P715" s="55"/>
      <c r="Q715" s="55"/>
      <c r="R715" s="55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5"/>
      <c r="AD715" s="55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6"/>
      <c r="AW715" s="56"/>
    </row>
    <row r="716" spans="1:49" ht="15.75" customHeight="1" x14ac:dyDescent="0.15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389"/>
      <c r="P716" s="55"/>
      <c r="Q716" s="55"/>
      <c r="R716" s="55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5"/>
      <c r="AD716" s="55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6"/>
      <c r="AW716" s="56"/>
    </row>
    <row r="717" spans="1:49" ht="15.75" customHeight="1" x14ac:dyDescent="0.15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389"/>
      <c r="P717" s="55"/>
      <c r="Q717" s="55"/>
      <c r="R717" s="55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5"/>
      <c r="AD717" s="55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</row>
    <row r="718" spans="1:49" ht="15.75" customHeight="1" x14ac:dyDescent="0.15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389"/>
      <c r="P718" s="55"/>
      <c r="Q718" s="55"/>
      <c r="R718" s="55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5"/>
      <c r="AD718" s="55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</row>
    <row r="719" spans="1:49" ht="15.75" customHeight="1" x14ac:dyDescent="0.15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389"/>
      <c r="P719" s="55"/>
      <c r="Q719" s="55"/>
      <c r="R719" s="55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5"/>
      <c r="AD719" s="55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6"/>
      <c r="AW719" s="56"/>
    </row>
    <row r="720" spans="1:49" ht="15.75" customHeight="1" x14ac:dyDescent="0.15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389"/>
      <c r="P720" s="55"/>
      <c r="Q720" s="55"/>
      <c r="R720" s="55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5"/>
      <c r="AD720" s="55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6"/>
      <c r="AW720" s="56"/>
    </row>
    <row r="721" spans="1:49" ht="15.75" customHeight="1" x14ac:dyDescent="0.15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389"/>
      <c r="P721" s="55"/>
      <c r="Q721" s="55"/>
      <c r="R721" s="55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5"/>
      <c r="AD721" s="55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6"/>
      <c r="AW721" s="56"/>
    </row>
    <row r="722" spans="1:49" ht="15.75" customHeight="1" x14ac:dyDescent="0.15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389"/>
      <c r="P722" s="55"/>
      <c r="Q722" s="55"/>
      <c r="R722" s="55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5"/>
      <c r="AD722" s="55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6"/>
      <c r="AW722" s="56"/>
    </row>
    <row r="723" spans="1:49" ht="15.75" customHeight="1" x14ac:dyDescent="0.15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389"/>
      <c r="P723" s="55"/>
      <c r="Q723" s="55"/>
      <c r="R723" s="55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5"/>
      <c r="AD723" s="55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6"/>
      <c r="AW723" s="56"/>
    </row>
    <row r="724" spans="1:49" ht="15.75" customHeight="1" x14ac:dyDescent="0.15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389"/>
      <c r="P724" s="55"/>
      <c r="Q724" s="55"/>
      <c r="R724" s="55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5"/>
      <c r="AD724" s="55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6"/>
      <c r="AW724" s="56"/>
    </row>
    <row r="725" spans="1:49" ht="15.75" customHeight="1" x14ac:dyDescent="0.1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389"/>
      <c r="P725" s="55"/>
      <c r="Q725" s="55"/>
      <c r="R725" s="55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5"/>
      <c r="AD725" s="55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</row>
    <row r="726" spans="1:49" ht="15.75" customHeight="1" x14ac:dyDescent="0.15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389"/>
      <c r="P726" s="55"/>
      <c r="Q726" s="55"/>
      <c r="R726" s="55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5"/>
      <c r="AD726" s="55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</row>
    <row r="727" spans="1:49" ht="15.75" customHeight="1" x14ac:dyDescent="0.15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389"/>
      <c r="P727" s="55"/>
      <c r="Q727" s="55"/>
      <c r="R727" s="55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5"/>
      <c r="AD727" s="55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6"/>
      <c r="AW727" s="56"/>
    </row>
    <row r="728" spans="1:49" ht="15.75" customHeight="1" x14ac:dyDescent="0.15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389"/>
      <c r="P728" s="55"/>
      <c r="Q728" s="55"/>
      <c r="R728" s="55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5"/>
      <c r="AD728" s="55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6"/>
      <c r="AW728" s="56"/>
    </row>
    <row r="729" spans="1:49" ht="15.75" customHeight="1" x14ac:dyDescent="0.15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389"/>
      <c r="P729" s="55"/>
      <c r="Q729" s="55"/>
      <c r="R729" s="55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5"/>
      <c r="AD729" s="55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6"/>
      <c r="AW729" s="56"/>
    </row>
    <row r="730" spans="1:49" ht="15.75" customHeight="1" x14ac:dyDescent="0.15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389"/>
      <c r="P730" s="55"/>
      <c r="Q730" s="55"/>
      <c r="R730" s="55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5"/>
      <c r="AD730" s="55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</row>
    <row r="731" spans="1:49" ht="15.75" customHeight="1" x14ac:dyDescent="0.15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389"/>
      <c r="P731" s="55"/>
      <c r="Q731" s="55"/>
      <c r="R731" s="55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5"/>
      <c r="AD731" s="55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</row>
    <row r="732" spans="1:49" ht="15.75" customHeight="1" x14ac:dyDescent="0.15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389"/>
      <c r="P732" s="55"/>
      <c r="Q732" s="55"/>
      <c r="R732" s="55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5"/>
      <c r="AD732" s="55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</row>
    <row r="733" spans="1:49" ht="15.75" customHeight="1" x14ac:dyDescent="0.15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389"/>
      <c r="P733" s="55"/>
      <c r="Q733" s="55"/>
      <c r="R733" s="55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5"/>
      <c r="AD733" s="55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56"/>
      <c r="AW733" s="56"/>
    </row>
    <row r="734" spans="1:49" ht="15.75" customHeight="1" x14ac:dyDescent="0.15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389"/>
      <c r="P734" s="55"/>
      <c r="Q734" s="55"/>
      <c r="R734" s="55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5"/>
      <c r="AD734" s="55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6"/>
      <c r="AW734" s="56"/>
    </row>
    <row r="735" spans="1:49" ht="15.75" customHeight="1" x14ac:dyDescent="0.1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389"/>
      <c r="P735" s="55"/>
      <c r="Q735" s="55"/>
      <c r="R735" s="55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5"/>
      <c r="AD735" s="55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6"/>
      <c r="AW735" s="56"/>
    </row>
    <row r="736" spans="1:49" ht="15.75" customHeight="1" x14ac:dyDescent="0.15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389"/>
      <c r="P736" s="55"/>
      <c r="Q736" s="55"/>
      <c r="R736" s="55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5"/>
      <c r="AD736" s="55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6"/>
      <c r="AW736" s="56"/>
    </row>
    <row r="737" spans="1:49" ht="15.75" customHeight="1" x14ac:dyDescent="0.15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389"/>
      <c r="P737" s="55"/>
      <c r="Q737" s="55"/>
      <c r="R737" s="55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5"/>
      <c r="AD737" s="55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</row>
    <row r="738" spans="1:49" ht="15.75" customHeight="1" x14ac:dyDescent="0.15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389"/>
      <c r="P738" s="55"/>
      <c r="Q738" s="55"/>
      <c r="R738" s="55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5"/>
      <c r="AD738" s="55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</row>
    <row r="739" spans="1:49" ht="15.75" customHeight="1" x14ac:dyDescent="0.15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389"/>
      <c r="P739" s="55"/>
      <c r="Q739" s="55"/>
      <c r="R739" s="55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5"/>
      <c r="AD739" s="55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6"/>
      <c r="AW739" s="56"/>
    </row>
    <row r="740" spans="1:49" ht="15.75" customHeight="1" x14ac:dyDescent="0.15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389"/>
      <c r="P740" s="55"/>
      <c r="Q740" s="55"/>
      <c r="R740" s="55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5"/>
      <c r="AD740" s="55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6"/>
      <c r="AW740" s="56"/>
    </row>
    <row r="741" spans="1:49" ht="15.75" customHeight="1" x14ac:dyDescent="0.15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389"/>
      <c r="P741" s="55"/>
      <c r="Q741" s="55"/>
      <c r="R741" s="55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5"/>
      <c r="AD741" s="55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</row>
    <row r="742" spans="1:49" ht="15.75" customHeight="1" x14ac:dyDescent="0.15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389"/>
      <c r="P742" s="55"/>
      <c r="Q742" s="55"/>
      <c r="R742" s="55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5"/>
      <c r="AD742" s="55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</row>
    <row r="743" spans="1:49" ht="15.75" customHeight="1" x14ac:dyDescent="0.15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389"/>
      <c r="P743" s="55"/>
      <c r="Q743" s="55"/>
      <c r="R743" s="55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5"/>
      <c r="AD743" s="55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  <c r="AV743" s="56"/>
      <c r="AW743" s="56"/>
    </row>
    <row r="744" spans="1:49" ht="15.75" customHeight="1" x14ac:dyDescent="0.15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389"/>
      <c r="P744" s="55"/>
      <c r="Q744" s="55"/>
      <c r="R744" s="55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5"/>
      <c r="AD744" s="55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56"/>
      <c r="AW744" s="56"/>
    </row>
    <row r="745" spans="1:49" ht="15.75" customHeight="1" x14ac:dyDescent="0.1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389"/>
      <c r="P745" s="55"/>
      <c r="Q745" s="55"/>
      <c r="R745" s="55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5"/>
      <c r="AD745" s="55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56"/>
      <c r="AW745" s="56"/>
    </row>
    <row r="746" spans="1:49" ht="15.75" customHeight="1" x14ac:dyDescent="0.15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389"/>
      <c r="P746" s="55"/>
      <c r="Q746" s="55"/>
      <c r="R746" s="55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5"/>
      <c r="AD746" s="55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56"/>
      <c r="AW746" s="56"/>
    </row>
    <row r="747" spans="1:49" ht="15.75" customHeight="1" x14ac:dyDescent="0.15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389"/>
      <c r="P747" s="55"/>
      <c r="Q747" s="55"/>
      <c r="R747" s="55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5"/>
      <c r="AD747" s="55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V747" s="56"/>
      <c r="AW747" s="56"/>
    </row>
    <row r="748" spans="1:49" ht="15.75" customHeight="1" x14ac:dyDescent="0.15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389"/>
      <c r="P748" s="55"/>
      <c r="Q748" s="55"/>
      <c r="R748" s="55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5"/>
      <c r="AD748" s="55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V748" s="56"/>
      <c r="AW748" s="56"/>
    </row>
    <row r="749" spans="1:49" ht="15.75" customHeight="1" x14ac:dyDescent="0.15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389"/>
      <c r="P749" s="55"/>
      <c r="Q749" s="55"/>
      <c r="R749" s="55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5"/>
      <c r="AD749" s="55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56"/>
      <c r="AW749" s="56"/>
    </row>
    <row r="750" spans="1:49" ht="15.75" customHeight="1" x14ac:dyDescent="0.15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389"/>
      <c r="P750" s="55"/>
      <c r="Q750" s="55"/>
      <c r="R750" s="55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5"/>
      <c r="AD750" s="55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</row>
    <row r="751" spans="1:49" ht="15.75" customHeight="1" x14ac:dyDescent="0.15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389"/>
      <c r="P751" s="55"/>
      <c r="Q751" s="55"/>
      <c r="R751" s="55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5"/>
      <c r="AD751" s="55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</row>
    <row r="752" spans="1:49" ht="15.75" customHeight="1" x14ac:dyDescent="0.15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389"/>
      <c r="P752" s="55"/>
      <c r="Q752" s="55"/>
      <c r="R752" s="55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5"/>
      <c r="AD752" s="55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  <c r="AV752" s="56"/>
      <c r="AW752" s="56"/>
    </row>
    <row r="753" spans="1:49" ht="15.75" customHeight="1" x14ac:dyDescent="0.15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389"/>
      <c r="P753" s="55"/>
      <c r="Q753" s="55"/>
      <c r="R753" s="55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5"/>
      <c r="AD753" s="55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</row>
    <row r="754" spans="1:49" ht="15.75" customHeight="1" x14ac:dyDescent="0.15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389"/>
      <c r="P754" s="55"/>
      <c r="Q754" s="55"/>
      <c r="R754" s="55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5"/>
      <c r="AD754" s="55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</row>
    <row r="755" spans="1:49" ht="15.75" customHeight="1" x14ac:dyDescent="0.1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389"/>
      <c r="P755" s="55"/>
      <c r="Q755" s="55"/>
      <c r="R755" s="55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5"/>
      <c r="AD755" s="55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</row>
    <row r="756" spans="1:49" ht="15.75" customHeight="1" x14ac:dyDescent="0.15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389"/>
      <c r="P756" s="55"/>
      <c r="Q756" s="55"/>
      <c r="R756" s="55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5"/>
      <c r="AD756" s="55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56"/>
      <c r="AW756" s="56"/>
    </row>
    <row r="757" spans="1:49" ht="15.75" customHeight="1" x14ac:dyDescent="0.15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389"/>
      <c r="P757" s="55"/>
      <c r="Q757" s="55"/>
      <c r="R757" s="55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5"/>
      <c r="AD757" s="55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56"/>
      <c r="AW757" s="56"/>
    </row>
    <row r="758" spans="1:49" ht="15.75" customHeight="1" x14ac:dyDescent="0.15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389"/>
      <c r="P758" s="55"/>
      <c r="Q758" s="55"/>
      <c r="R758" s="55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5"/>
      <c r="AD758" s="55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56"/>
      <c r="AW758" s="56"/>
    </row>
    <row r="759" spans="1:49" ht="15.75" customHeight="1" x14ac:dyDescent="0.15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389"/>
      <c r="P759" s="55"/>
      <c r="Q759" s="55"/>
      <c r="R759" s="55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5"/>
      <c r="AD759" s="55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</row>
    <row r="760" spans="1:49" ht="15.75" customHeight="1" x14ac:dyDescent="0.15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389"/>
      <c r="P760" s="55"/>
      <c r="Q760" s="55"/>
      <c r="R760" s="55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5"/>
      <c r="AD760" s="55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</row>
    <row r="761" spans="1:49" ht="15.75" customHeight="1" x14ac:dyDescent="0.15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389"/>
      <c r="P761" s="55"/>
      <c r="Q761" s="55"/>
      <c r="R761" s="55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5"/>
      <c r="AD761" s="55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</row>
    <row r="762" spans="1:49" ht="15.75" customHeight="1" x14ac:dyDescent="0.15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389"/>
      <c r="P762" s="55"/>
      <c r="Q762" s="55"/>
      <c r="R762" s="55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5"/>
      <c r="AD762" s="55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</row>
    <row r="763" spans="1:49" ht="15.75" customHeight="1" x14ac:dyDescent="0.15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389"/>
      <c r="P763" s="55"/>
      <c r="Q763" s="55"/>
      <c r="R763" s="55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5"/>
      <c r="AD763" s="55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</row>
    <row r="764" spans="1:49" ht="15.75" customHeight="1" x14ac:dyDescent="0.15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389"/>
      <c r="P764" s="55"/>
      <c r="Q764" s="55"/>
      <c r="R764" s="55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5"/>
      <c r="AD764" s="55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</row>
    <row r="765" spans="1:49" ht="15.75" customHeight="1" x14ac:dyDescent="0.1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389"/>
      <c r="P765" s="55"/>
      <c r="Q765" s="55"/>
      <c r="R765" s="55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5"/>
      <c r="AD765" s="55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</row>
    <row r="766" spans="1:49" ht="15.75" customHeight="1" x14ac:dyDescent="0.15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389"/>
      <c r="P766" s="55"/>
      <c r="Q766" s="55"/>
      <c r="R766" s="55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5"/>
      <c r="AD766" s="55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</row>
    <row r="767" spans="1:49" ht="15.75" customHeight="1" x14ac:dyDescent="0.15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389"/>
      <c r="P767" s="55"/>
      <c r="Q767" s="55"/>
      <c r="R767" s="55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5"/>
      <c r="AD767" s="55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</row>
    <row r="768" spans="1:49" ht="15.75" customHeight="1" x14ac:dyDescent="0.15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389"/>
      <c r="P768" s="55"/>
      <c r="Q768" s="55"/>
      <c r="R768" s="55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5"/>
      <c r="AD768" s="55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</row>
    <row r="769" spans="1:49" ht="15.75" customHeight="1" x14ac:dyDescent="0.15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389"/>
      <c r="P769" s="55"/>
      <c r="Q769" s="55"/>
      <c r="R769" s="55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5"/>
      <c r="AD769" s="55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56"/>
      <c r="AW769" s="56"/>
    </row>
    <row r="770" spans="1:49" ht="15.75" customHeight="1" x14ac:dyDescent="0.15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389"/>
      <c r="P770" s="55"/>
      <c r="Q770" s="55"/>
      <c r="R770" s="55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5"/>
      <c r="AD770" s="55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</row>
    <row r="771" spans="1:49" ht="15.75" customHeight="1" x14ac:dyDescent="0.15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389"/>
      <c r="P771" s="55"/>
      <c r="Q771" s="55"/>
      <c r="R771" s="55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5"/>
      <c r="AD771" s="55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</row>
    <row r="772" spans="1:49" ht="15.75" customHeight="1" x14ac:dyDescent="0.15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389"/>
      <c r="P772" s="55"/>
      <c r="Q772" s="55"/>
      <c r="R772" s="55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5"/>
      <c r="AD772" s="55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</row>
    <row r="773" spans="1:49" ht="15.75" customHeight="1" x14ac:dyDescent="0.15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389"/>
      <c r="P773" s="55"/>
      <c r="Q773" s="55"/>
      <c r="R773" s="55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5"/>
      <c r="AD773" s="55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</row>
    <row r="774" spans="1:49" ht="15.75" customHeight="1" x14ac:dyDescent="0.15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389"/>
      <c r="P774" s="55"/>
      <c r="Q774" s="55"/>
      <c r="R774" s="55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5"/>
      <c r="AD774" s="55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56"/>
      <c r="AW774" s="56"/>
    </row>
    <row r="775" spans="1:49" ht="15.75" customHeight="1" x14ac:dyDescent="0.1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389"/>
      <c r="P775" s="55"/>
      <c r="Q775" s="55"/>
      <c r="R775" s="55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5"/>
      <c r="AD775" s="55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</row>
    <row r="776" spans="1:49" ht="15.75" customHeight="1" x14ac:dyDescent="0.15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389"/>
      <c r="P776" s="55"/>
      <c r="Q776" s="55"/>
      <c r="R776" s="55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5"/>
      <c r="AD776" s="55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56"/>
      <c r="AW776" s="56"/>
    </row>
    <row r="777" spans="1:49" ht="15.75" customHeight="1" x14ac:dyDescent="0.15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389"/>
      <c r="P777" s="55"/>
      <c r="Q777" s="55"/>
      <c r="R777" s="55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5"/>
      <c r="AD777" s="55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</row>
    <row r="778" spans="1:49" ht="15.75" customHeight="1" x14ac:dyDescent="0.15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389"/>
      <c r="P778" s="55"/>
      <c r="Q778" s="55"/>
      <c r="R778" s="55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5"/>
      <c r="AD778" s="55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</row>
    <row r="779" spans="1:49" ht="15.75" customHeight="1" x14ac:dyDescent="0.15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389"/>
      <c r="P779" s="55"/>
      <c r="Q779" s="55"/>
      <c r="R779" s="55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5"/>
      <c r="AD779" s="55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</row>
    <row r="780" spans="1:49" ht="15.75" customHeight="1" x14ac:dyDescent="0.15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389"/>
      <c r="P780" s="55"/>
      <c r="Q780" s="55"/>
      <c r="R780" s="55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5"/>
      <c r="AD780" s="55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</row>
    <row r="781" spans="1:49" ht="15.75" customHeight="1" x14ac:dyDescent="0.15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389"/>
      <c r="P781" s="55"/>
      <c r="Q781" s="55"/>
      <c r="R781" s="55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5"/>
      <c r="AD781" s="55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</row>
    <row r="782" spans="1:49" ht="15.75" customHeight="1" x14ac:dyDescent="0.15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389"/>
      <c r="P782" s="55"/>
      <c r="Q782" s="55"/>
      <c r="R782" s="55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5"/>
      <c r="AD782" s="55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</row>
    <row r="783" spans="1:49" ht="15.75" customHeight="1" x14ac:dyDescent="0.15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389"/>
      <c r="P783" s="55"/>
      <c r="Q783" s="55"/>
      <c r="R783" s="55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5"/>
      <c r="AD783" s="55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</row>
    <row r="784" spans="1:49" ht="15.75" customHeight="1" x14ac:dyDescent="0.15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389"/>
      <c r="P784" s="55"/>
      <c r="Q784" s="55"/>
      <c r="R784" s="55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5"/>
      <c r="AD784" s="55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56"/>
      <c r="AW784" s="56"/>
    </row>
    <row r="785" spans="1:49" ht="15.75" customHeight="1" x14ac:dyDescent="0.1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389"/>
      <c r="P785" s="55"/>
      <c r="Q785" s="55"/>
      <c r="R785" s="55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5"/>
      <c r="AD785" s="55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</row>
    <row r="786" spans="1:49" ht="15.75" customHeight="1" x14ac:dyDescent="0.15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389"/>
      <c r="P786" s="55"/>
      <c r="Q786" s="55"/>
      <c r="R786" s="55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5"/>
      <c r="AD786" s="55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</row>
    <row r="787" spans="1:49" ht="15.75" customHeight="1" x14ac:dyDescent="0.15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389"/>
      <c r="P787" s="55"/>
      <c r="Q787" s="55"/>
      <c r="R787" s="55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5"/>
      <c r="AD787" s="55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56"/>
      <c r="AW787" s="56"/>
    </row>
    <row r="788" spans="1:49" ht="15.75" customHeight="1" x14ac:dyDescent="0.15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389"/>
      <c r="P788" s="55"/>
      <c r="Q788" s="55"/>
      <c r="R788" s="55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5"/>
      <c r="AD788" s="55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56"/>
      <c r="AW788" s="56"/>
    </row>
    <row r="789" spans="1:49" ht="15.75" customHeight="1" x14ac:dyDescent="0.15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389"/>
      <c r="P789" s="55"/>
      <c r="Q789" s="55"/>
      <c r="R789" s="55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5"/>
      <c r="AD789" s="55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56"/>
      <c r="AW789" s="56"/>
    </row>
    <row r="790" spans="1:49" ht="15.75" customHeight="1" x14ac:dyDescent="0.15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389"/>
      <c r="P790" s="55"/>
      <c r="Q790" s="55"/>
      <c r="R790" s="55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5"/>
      <c r="AD790" s="55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</row>
    <row r="791" spans="1:49" ht="15.75" customHeight="1" x14ac:dyDescent="0.15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389"/>
      <c r="P791" s="55"/>
      <c r="Q791" s="55"/>
      <c r="R791" s="55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5"/>
      <c r="AD791" s="55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</row>
    <row r="792" spans="1:49" ht="15.75" customHeight="1" x14ac:dyDescent="0.15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389"/>
      <c r="P792" s="55"/>
      <c r="Q792" s="55"/>
      <c r="R792" s="55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5"/>
      <c r="AD792" s="55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56"/>
      <c r="AW792" s="56"/>
    </row>
    <row r="793" spans="1:49" ht="15.75" customHeight="1" x14ac:dyDescent="0.15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389"/>
      <c r="P793" s="55"/>
      <c r="Q793" s="55"/>
      <c r="R793" s="55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5"/>
      <c r="AD793" s="55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56"/>
      <c r="AW793" s="56"/>
    </row>
    <row r="794" spans="1:49" ht="15.75" customHeight="1" x14ac:dyDescent="0.15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389"/>
      <c r="P794" s="55"/>
      <c r="Q794" s="55"/>
      <c r="R794" s="55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5"/>
      <c r="AD794" s="55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</row>
    <row r="795" spans="1:49" ht="15.75" customHeight="1" x14ac:dyDescent="0.1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389"/>
      <c r="P795" s="55"/>
      <c r="Q795" s="55"/>
      <c r="R795" s="55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5"/>
      <c r="AD795" s="55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</row>
    <row r="796" spans="1:49" ht="15.75" customHeight="1" x14ac:dyDescent="0.15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389"/>
      <c r="P796" s="55"/>
      <c r="Q796" s="55"/>
      <c r="R796" s="55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5"/>
      <c r="AD796" s="55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56"/>
      <c r="AW796" s="56"/>
    </row>
    <row r="797" spans="1:49" ht="15.75" customHeight="1" x14ac:dyDescent="0.15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389"/>
      <c r="P797" s="55"/>
      <c r="Q797" s="55"/>
      <c r="R797" s="55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5"/>
      <c r="AD797" s="55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  <c r="AV797" s="56"/>
      <c r="AW797" s="56"/>
    </row>
    <row r="798" spans="1:49" ht="15.75" customHeight="1" x14ac:dyDescent="0.15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389"/>
      <c r="P798" s="55"/>
      <c r="Q798" s="55"/>
      <c r="R798" s="55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5"/>
      <c r="AD798" s="55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</row>
    <row r="799" spans="1:49" ht="15.75" customHeight="1" x14ac:dyDescent="0.15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389"/>
      <c r="P799" s="55"/>
      <c r="Q799" s="55"/>
      <c r="R799" s="55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5"/>
      <c r="AD799" s="55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</row>
    <row r="800" spans="1:49" ht="15.75" customHeight="1" x14ac:dyDescent="0.15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389"/>
      <c r="P800" s="55"/>
      <c r="Q800" s="55"/>
      <c r="R800" s="55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5"/>
      <c r="AD800" s="55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</row>
    <row r="801" spans="1:49" ht="15.75" customHeight="1" x14ac:dyDescent="0.15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389"/>
      <c r="P801" s="55"/>
      <c r="Q801" s="55"/>
      <c r="R801" s="55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5"/>
      <c r="AD801" s="55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</row>
    <row r="802" spans="1:49" ht="15.75" customHeight="1" x14ac:dyDescent="0.15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389"/>
      <c r="P802" s="55"/>
      <c r="Q802" s="55"/>
      <c r="R802" s="55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5"/>
      <c r="AD802" s="55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</row>
    <row r="803" spans="1:49" ht="15.75" customHeight="1" x14ac:dyDescent="0.15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389"/>
      <c r="P803" s="55"/>
      <c r="Q803" s="55"/>
      <c r="R803" s="55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5"/>
      <c r="AD803" s="55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56"/>
      <c r="AW803" s="56"/>
    </row>
    <row r="804" spans="1:49" ht="15.75" customHeight="1" x14ac:dyDescent="0.15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389"/>
      <c r="P804" s="55"/>
      <c r="Q804" s="55"/>
      <c r="R804" s="55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5"/>
      <c r="AD804" s="55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56"/>
      <c r="AW804" s="56"/>
    </row>
    <row r="805" spans="1:49" ht="15.75" customHeight="1" x14ac:dyDescent="0.1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389"/>
      <c r="P805" s="55"/>
      <c r="Q805" s="55"/>
      <c r="R805" s="55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5"/>
      <c r="AD805" s="55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</row>
    <row r="806" spans="1:49" ht="15.75" customHeight="1" x14ac:dyDescent="0.15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389"/>
      <c r="P806" s="55"/>
      <c r="Q806" s="55"/>
      <c r="R806" s="55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5"/>
      <c r="AD806" s="55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</row>
    <row r="807" spans="1:49" ht="15.75" customHeight="1" x14ac:dyDescent="0.15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389"/>
      <c r="P807" s="55"/>
      <c r="Q807" s="55"/>
      <c r="R807" s="55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5"/>
      <c r="AD807" s="55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56"/>
      <c r="AW807" s="56"/>
    </row>
    <row r="808" spans="1:49" ht="15.75" customHeight="1" x14ac:dyDescent="0.15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389"/>
      <c r="P808" s="55"/>
      <c r="Q808" s="55"/>
      <c r="R808" s="55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5"/>
      <c r="AD808" s="55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56"/>
      <c r="AW808" s="56"/>
    </row>
    <row r="809" spans="1:49" ht="15.75" customHeight="1" x14ac:dyDescent="0.15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389"/>
      <c r="P809" s="55"/>
      <c r="Q809" s="55"/>
      <c r="R809" s="55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5"/>
      <c r="AD809" s="55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</row>
    <row r="810" spans="1:49" ht="15.75" customHeight="1" x14ac:dyDescent="0.15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389"/>
      <c r="P810" s="55"/>
      <c r="Q810" s="55"/>
      <c r="R810" s="55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5"/>
      <c r="AD810" s="55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</row>
    <row r="811" spans="1:49" ht="15.75" customHeight="1" x14ac:dyDescent="0.15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389"/>
      <c r="P811" s="55"/>
      <c r="Q811" s="55"/>
      <c r="R811" s="55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5"/>
      <c r="AD811" s="55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</row>
    <row r="812" spans="1:49" ht="15.75" customHeight="1" x14ac:dyDescent="0.15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389"/>
      <c r="P812" s="55"/>
      <c r="Q812" s="55"/>
      <c r="R812" s="55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5"/>
      <c r="AD812" s="55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56"/>
      <c r="AW812" s="56"/>
    </row>
    <row r="813" spans="1:49" ht="15.75" customHeight="1" x14ac:dyDescent="0.15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389"/>
      <c r="P813" s="55"/>
      <c r="Q813" s="55"/>
      <c r="R813" s="55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5"/>
      <c r="AD813" s="55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56"/>
      <c r="AW813" s="56"/>
    </row>
    <row r="814" spans="1:49" ht="15.75" customHeight="1" x14ac:dyDescent="0.15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389"/>
      <c r="P814" s="55"/>
      <c r="Q814" s="55"/>
      <c r="R814" s="55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5"/>
      <c r="AD814" s="55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</row>
    <row r="815" spans="1:49" ht="15.75" customHeight="1" x14ac:dyDescent="0.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389"/>
      <c r="P815" s="55"/>
      <c r="Q815" s="55"/>
      <c r="R815" s="55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5"/>
      <c r="AD815" s="55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56"/>
      <c r="AW815" s="56"/>
    </row>
    <row r="816" spans="1:49" ht="15.75" customHeight="1" x14ac:dyDescent="0.15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389"/>
      <c r="P816" s="55"/>
      <c r="Q816" s="55"/>
      <c r="R816" s="55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5"/>
      <c r="AD816" s="55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56"/>
      <c r="AW816" s="56"/>
    </row>
    <row r="817" spans="1:49" ht="15.75" customHeight="1" x14ac:dyDescent="0.15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389"/>
      <c r="P817" s="55"/>
      <c r="Q817" s="55"/>
      <c r="R817" s="55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5"/>
      <c r="AD817" s="55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</row>
    <row r="818" spans="1:49" ht="15.75" customHeight="1" x14ac:dyDescent="0.15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389"/>
      <c r="P818" s="55"/>
      <c r="Q818" s="55"/>
      <c r="R818" s="55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5"/>
      <c r="AD818" s="55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</row>
    <row r="819" spans="1:49" ht="15.75" customHeight="1" x14ac:dyDescent="0.15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389"/>
      <c r="P819" s="55"/>
      <c r="Q819" s="55"/>
      <c r="R819" s="55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5"/>
      <c r="AD819" s="55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</row>
    <row r="820" spans="1:49" ht="15.75" customHeight="1" x14ac:dyDescent="0.15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389"/>
      <c r="P820" s="55"/>
      <c r="Q820" s="55"/>
      <c r="R820" s="55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5"/>
      <c r="AD820" s="55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</row>
    <row r="821" spans="1:49" ht="15.75" customHeight="1" x14ac:dyDescent="0.15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389"/>
      <c r="P821" s="55"/>
      <c r="Q821" s="55"/>
      <c r="R821" s="55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5"/>
      <c r="AD821" s="55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</row>
    <row r="822" spans="1:49" ht="15.75" customHeight="1" x14ac:dyDescent="0.15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389"/>
      <c r="P822" s="55"/>
      <c r="Q822" s="55"/>
      <c r="R822" s="55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5"/>
      <c r="AD822" s="55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</row>
    <row r="823" spans="1:49" ht="15.75" customHeight="1" x14ac:dyDescent="0.15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389"/>
      <c r="P823" s="55"/>
      <c r="Q823" s="55"/>
      <c r="R823" s="55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5"/>
      <c r="AD823" s="55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56"/>
      <c r="AW823" s="56"/>
    </row>
    <row r="824" spans="1:49" ht="15.75" customHeight="1" x14ac:dyDescent="0.15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389"/>
      <c r="P824" s="55"/>
      <c r="Q824" s="55"/>
      <c r="R824" s="55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5"/>
      <c r="AD824" s="55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56"/>
      <c r="AW824" s="56"/>
    </row>
    <row r="825" spans="1:49" ht="15.75" customHeight="1" x14ac:dyDescent="0.1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389"/>
      <c r="P825" s="55"/>
      <c r="Q825" s="55"/>
      <c r="R825" s="55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5"/>
      <c r="AD825" s="55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56"/>
      <c r="AW825" s="56"/>
    </row>
    <row r="826" spans="1:49" ht="15.75" customHeight="1" x14ac:dyDescent="0.15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389"/>
      <c r="P826" s="55"/>
      <c r="Q826" s="55"/>
      <c r="R826" s="55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5"/>
      <c r="AD826" s="55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</row>
    <row r="827" spans="1:49" ht="15.75" customHeight="1" x14ac:dyDescent="0.15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389"/>
      <c r="P827" s="55"/>
      <c r="Q827" s="55"/>
      <c r="R827" s="55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5"/>
      <c r="AD827" s="55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56"/>
      <c r="AW827" s="56"/>
    </row>
    <row r="828" spans="1:49" ht="15.75" customHeight="1" x14ac:dyDescent="0.15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389"/>
      <c r="P828" s="55"/>
      <c r="Q828" s="55"/>
      <c r="R828" s="55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5"/>
      <c r="AD828" s="55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</row>
    <row r="829" spans="1:49" ht="15.75" customHeight="1" x14ac:dyDescent="0.15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389"/>
      <c r="P829" s="55"/>
      <c r="Q829" s="55"/>
      <c r="R829" s="55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5"/>
      <c r="AD829" s="55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</row>
    <row r="830" spans="1:49" ht="15.75" customHeight="1" x14ac:dyDescent="0.15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389"/>
      <c r="P830" s="55"/>
      <c r="Q830" s="55"/>
      <c r="R830" s="55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5"/>
      <c r="AD830" s="55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</row>
    <row r="831" spans="1:49" ht="15.75" customHeight="1" x14ac:dyDescent="0.15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389"/>
      <c r="P831" s="55"/>
      <c r="Q831" s="55"/>
      <c r="R831" s="55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5"/>
      <c r="AD831" s="55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</row>
    <row r="832" spans="1:49" ht="15.75" customHeight="1" x14ac:dyDescent="0.15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389"/>
      <c r="P832" s="55"/>
      <c r="Q832" s="55"/>
      <c r="R832" s="55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5"/>
      <c r="AD832" s="55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</row>
    <row r="833" spans="1:49" ht="15.75" customHeight="1" x14ac:dyDescent="0.15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389"/>
      <c r="P833" s="55"/>
      <c r="Q833" s="55"/>
      <c r="R833" s="55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5"/>
      <c r="AD833" s="55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</row>
    <row r="834" spans="1:49" ht="15.75" customHeight="1" x14ac:dyDescent="0.15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389"/>
      <c r="P834" s="55"/>
      <c r="Q834" s="55"/>
      <c r="R834" s="55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5"/>
      <c r="AD834" s="55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</row>
    <row r="835" spans="1:49" ht="15.75" customHeight="1" x14ac:dyDescent="0.1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389"/>
      <c r="P835" s="55"/>
      <c r="Q835" s="55"/>
      <c r="R835" s="55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5"/>
      <c r="AD835" s="55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</row>
    <row r="836" spans="1:49" ht="15.75" customHeight="1" x14ac:dyDescent="0.15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389"/>
      <c r="P836" s="55"/>
      <c r="Q836" s="55"/>
      <c r="R836" s="55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5"/>
      <c r="AD836" s="55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</row>
    <row r="837" spans="1:49" ht="15.75" customHeight="1" x14ac:dyDescent="0.15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389"/>
      <c r="P837" s="55"/>
      <c r="Q837" s="55"/>
      <c r="R837" s="55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5"/>
      <c r="AD837" s="55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</row>
    <row r="838" spans="1:49" ht="15.75" customHeight="1" x14ac:dyDescent="0.15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389"/>
      <c r="P838" s="55"/>
      <c r="Q838" s="55"/>
      <c r="R838" s="55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5"/>
      <c r="AD838" s="55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</row>
    <row r="839" spans="1:49" ht="15.75" customHeight="1" x14ac:dyDescent="0.15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389"/>
      <c r="P839" s="55"/>
      <c r="Q839" s="55"/>
      <c r="R839" s="55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5"/>
      <c r="AD839" s="55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56"/>
      <c r="AW839" s="56"/>
    </row>
    <row r="840" spans="1:49" ht="15.75" customHeight="1" x14ac:dyDescent="0.15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389"/>
      <c r="P840" s="55"/>
      <c r="Q840" s="55"/>
      <c r="R840" s="55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5"/>
      <c r="AD840" s="55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56"/>
      <c r="AW840" s="56"/>
    </row>
    <row r="841" spans="1:49" ht="15.75" customHeight="1" x14ac:dyDescent="0.15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389"/>
      <c r="P841" s="55"/>
      <c r="Q841" s="55"/>
      <c r="R841" s="55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5"/>
      <c r="AD841" s="55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56"/>
      <c r="AW841" s="56"/>
    </row>
    <row r="842" spans="1:49" ht="15.75" customHeight="1" x14ac:dyDescent="0.15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389"/>
      <c r="P842" s="55"/>
      <c r="Q842" s="55"/>
      <c r="R842" s="55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5"/>
      <c r="AD842" s="55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56"/>
      <c r="AW842" s="56"/>
    </row>
    <row r="843" spans="1:49" ht="15.75" customHeight="1" x14ac:dyDescent="0.15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389"/>
      <c r="P843" s="55"/>
      <c r="Q843" s="55"/>
      <c r="R843" s="55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5"/>
      <c r="AD843" s="55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56"/>
      <c r="AW843" s="56"/>
    </row>
    <row r="844" spans="1:49" ht="15.75" customHeight="1" x14ac:dyDescent="0.15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389"/>
      <c r="P844" s="55"/>
      <c r="Q844" s="55"/>
      <c r="R844" s="55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5"/>
      <c r="AD844" s="55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</row>
    <row r="845" spans="1:49" ht="15.75" customHeight="1" x14ac:dyDescent="0.1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389"/>
      <c r="P845" s="55"/>
      <c r="Q845" s="55"/>
      <c r="R845" s="55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5"/>
      <c r="AD845" s="55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</row>
    <row r="846" spans="1:49" ht="15.75" customHeight="1" x14ac:dyDescent="0.15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389"/>
      <c r="P846" s="55"/>
      <c r="Q846" s="55"/>
      <c r="R846" s="55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5"/>
      <c r="AD846" s="55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</row>
    <row r="847" spans="1:49" ht="15.75" customHeight="1" x14ac:dyDescent="0.15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389"/>
      <c r="P847" s="55"/>
      <c r="Q847" s="55"/>
      <c r="R847" s="55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5"/>
      <c r="AD847" s="55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</row>
    <row r="848" spans="1:49" ht="15.75" customHeight="1" x14ac:dyDescent="0.15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389"/>
      <c r="P848" s="55"/>
      <c r="Q848" s="55"/>
      <c r="R848" s="55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5"/>
      <c r="AD848" s="55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</row>
    <row r="849" spans="1:49" ht="15.75" customHeight="1" x14ac:dyDescent="0.15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389"/>
      <c r="P849" s="55"/>
      <c r="Q849" s="55"/>
      <c r="R849" s="55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5"/>
      <c r="AD849" s="55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</row>
    <row r="850" spans="1:49" ht="15.75" customHeight="1" x14ac:dyDescent="0.15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389"/>
      <c r="P850" s="55"/>
      <c r="Q850" s="55"/>
      <c r="R850" s="55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5"/>
      <c r="AD850" s="55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</row>
    <row r="851" spans="1:49" ht="15.75" customHeight="1" x14ac:dyDescent="0.15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389"/>
      <c r="P851" s="55"/>
      <c r="Q851" s="55"/>
      <c r="R851" s="55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5"/>
      <c r="AD851" s="55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</row>
    <row r="852" spans="1:49" ht="15.75" customHeight="1" x14ac:dyDescent="0.15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389"/>
      <c r="P852" s="55"/>
      <c r="Q852" s="55"/>
      <c r="R852" s="55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5"/>
      <c r="AD852" s="55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56"/>
      <c r="AW852" s="56"/>
    </row>
    <row r="853" spans="1:49" ht="15.75" customHeight="1" x14ac:dyDescent="0.15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389"/>
      <c r="P853" s="55"/>
      <c r="Q853" s="55"/>
      <c r="R853" s="55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5"/>
      <c r="AD853" s="55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</row>
    <row r="854" spans="1:49" ht="15.75" customHeight="1" x14ac:dyDescent="0.15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389"/>
      <c r="P854" s="55"/>
      <c r="Q854" s="55"/>
      <c r="R854" s="55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5"/>
      <c r="AD854" s="55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56"/>
      <c r="AW854" s="56"/>
    </row>
    <row r="855" spans="1:49" ht="15.75" customHeight="1" x14ac:dyDescent="0.1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389"/>
      <c r="P855" s="55"/>
      <c r="Q855" s="55"/>
      <c r="R855" s="55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5"/>
      <c r="AD855" s="55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56"/>
      <c r="AW855" s="56"/>
    </row>
    <row r="856" spans="1:49" ht="15.75" customHeight="1" x14ac:dyDescent="0.15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389"/>
      <c r="P856" s="55"/>
      <c r="Q856" s="55"/>
      <c r="R856" s="55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5"/>
      <c r="AD856" s="55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56"/>
      <c r="AW856" s="56"/>
    </row>
    <row r="857" spans="1:49" ht="15.75" customHeight="1" x14ac:dyDescent="0.15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389"/>
      <c r="P857" s="55"/>
      <c r="Q857" s="55"/>
      <c r="R857" s="55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5"/>
      <c r="AD857" s="55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56"/>
      <c r="AW857" s="56"/>
    </row>
    <row r="858" spans="1:49" ht="15.75" customHeight="1" x14ac:dyDescent="0.15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389"/>
      <c r="P858" s="55"/>
      <c r="Q858" s="55"/>
      <c r="R858" s="55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5"/>
      <c r="AD858" s="55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</row>
    <row r="859" spans="1:49" ht="15.75" customHeight="1" x14ac:dyDescent="0.15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389"/>
      <c r="P859" s="55"/>
      <c r="Q859" s="55"/>
      <c r="R859" s="55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5"/>
      <c r="AD859" s="55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56"/>
      <c r="AW859" s="56"/>
    </row>
    <row r="860" spans="1:49" ht="15.75" customHeight="1" x14ac:dyDescent="0.15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389"/>
      <c r="P860" s="55"/>
      <c r="Q860" s="55"/>
      <c r="R860" s="55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5"/>
      <c r="AD860" s="55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</row>
    <row r="861" spans="1:49" ht="15.75" customHeight="1" x14ac:dyDescent="0.15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389"/>
      <c r="P861" s="55"/>
      <c r="Q861" s="55"/>
      <c r="R861" s="55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5"/>
      <c r="AD861" s="55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</row>
    <row r="862" spans="1:49" ht="15.75" customHeight="1" x14ac:dyDescent="0.15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389"/>
      <c r="P862" s="55"/>
      <c r="Q862" s="55"/>
      <c r="R862" s="55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5"/>
      <c r="AD862" s="55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</row>
    <row r="863" spans="1:49" ht="15.75" customHeight="1" x14ac:dyDescent="0.15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389"/>
      <c r="P863" s="55"/>
      <c r="Q863" s="55"/>
      <c r="R863" s="55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5"/>
      <c r="AD863" s="55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56"/>
      <c r="AW863" s="56"/>
    </row>
    <row r="864" spans="1:49" ht="15.75" customHeight="1" x14ac:dyDescent="0.15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389"/>
      <c r="P864" s="55"/>
      <c r="Q864" s="55"/>
      <c r="R864" s="55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5"/>
      <c r="AD864" s="55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</row>
    <row r="865" spans="1:49" ht="15.75" customHeight="1" x14ac:dyDescent="0.1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389"/>
      <c r="P865" s="55"/>
      <c r="Q865" s="55"/>
      <c r="R865" s="55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5"/>
      <c r="AD865" s="55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56"/>
      <c r="AW865" s="56"/>
    </row>
    <row r="866" spans="1:49" ht="15.75" customHeight="1" x14ac:dyDescent="0.15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389"/>
      <c r="P866" s="55"/>
      <c r="Q866" s="55"/>
      <c r="R866" s="55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5"/>
      <c r="AD866" s="55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</row>
    <row r="867" spans="1:49" ht="15.75" customHeight="1" x14ac:dyDescent="0.15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389"/>
      <c r="P867" s="55"/>
      <c r="Q867" s="55"/>
      <c r="R867" s="55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5"/>
      <c r="AD867" s="55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</row>
    <row r="868" spans="1:49" ht="15.75" customHeight="1" x14ac:dyDescent="0.15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389"/>
      <c r="P868" s="55"/>
      <c r="Q868" s="55"/>
      <c r="R868" s="55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5"/>
      <c r="AD868" s="55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</row>
    <row r="869" spans="1:49" ht="15.75" customHeight="1" x14ac:dyDescent="0.15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389"/>
      <c r="P869" s="55"/>
      <c r="Q869" s="55"/>
      <c r="R869" s="55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5"/>
      <c r="AD869" s="55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56"/>
      <c r="AW869" s="56"/>
    </row>
    <row r="870" spans="1:49" ht="15.75" customHeight="1" x14ac:dyDescent="0.15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389"/>
      <c r="P870" s="55"/>
      <c r="Q870" s="55"/>
      <c r="R870" s="55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5"/>
      <c r="AD870" s="55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</row>
    <row r="871" spans="1:49" ht="15.75" customHeight="1" x14ac:dyDescent="0.15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389"/>
      <c r="P871" s="55"/>
      <c r="Q871" s="55"/>
      <c r="R871" s="55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5"/>
      <c r="AD871" s="55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56"/>
      <c r="AW871" s="56"/>
    </row>
    <row r="872" spans="1:49" ht="15.75" customHeight="1" x14ac:dyDescent="0.15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389"/>
      <c r="P872" s="55"/>
      <c r="Q872" s="55"/>
      <c r="R872" s="55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5"/>
      <c r="AD872" s="55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56"/>
      <c r="AW872" s="56"/>
    </row>
    <row r="873" spans="1:49" ht="15.75" customHeight="1" x14ac:dyDescent="0.15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389"/>
      <c r="P873" s="55"/>
      <c r="Q873" s="55"/>
      <c r="R873" s="55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5"/>
      <c r="AD873" s="55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56"/>
      <c r="AW873" s="56"/>
    </row>
    <row r="874" spans="1:49" ht="15.75" customHeight="1" x14ac:dyDescent="0.15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389"/>
      <c r="P874" s="55"/>
      <c r="Q874" s="55"/>
      <c r="R874" s="55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5"/>
      <c r="AD874" s="55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56"/>
      <c r="AW874" s="56"/>
    </row>
    <row r="875" spans="1:49" ht="15.75" customHeight="1" x14ac:dyDescent="0.1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389"/>
      <c r="P875" s="55"/>
      <c r="Q875" s="55"/>
      <c r="R875" s="55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5"/>
      <c r="AD875" s="55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</row>
    <row r="876" spans="1:49" ht="15.75" customHeight="1" x14ac:dyDescent="0.15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389"/>
      <c r="P876" s="55"/>
      <c r="Q876" s="55"/>
      <c r="R876" s="55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5"/>
      <c r="AD876" s="55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</row>
    <row r="877" spans="1:49" ht="15.75" customHeight="1" x14ac:dyDescent="0.15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389"/>
      <c r="P877" s="55"/>
      <c r="Q877" s="55"/>
      <c r="R877" s="55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5"/>
      <c r="AD877" s="55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56"/>
      <c r="AW877" s="56"/>
    </row>
    <row r="878" spans="1:49" ht="15.75" customHeight="1" x14ac:dyDescent="0.15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389"/>
      <c r="P878" s="55"/>
      <c r="Q878" s="55"/>
      <c r="R878" s="55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5"/>
      <c r="AD878" s="55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56"/>
      <c r="AW878" s="56"/>
    </row>
    <row r="879" spans="1:49" ht="15.75" customHeight="1" x14ac:dyDescent="0.15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389"/>
      <c r="P879" s="55"/>
      <c r="Q879" s="55"/>
      <c r="R879" s="55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5"/>
      <c r="AD879" s="55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</row>
    <row r="880" spans="1:49" ht="15.75" customHeight="1" x14ac:dyDescent="0.15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389"/>
      <c r="P880" s="55"/>
      <c r="Q880" s="55"/>
      <c r="R880" s="55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5"/>
      <c r="AD880" s="55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</row>
    <row r="881" spans="1:49" ht="15.75" customHeight="1" x14ac:dyDescent="0.15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389"/>
      <c r="P881" s="55"/>
      <c r="Q881" s="55"/>
      <c r="R881" s="55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5"/>
      <c r="AD881" s="55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</row>
    <row r="882" spans="1:49" ht="15.75" customHeight="1" x14ac:dyDescent="0.15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389"/>
      <c r="P882" s="55"/>
      <c r="Q882" s="55"/>
      <c r="R882" s="55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5"/>
      <c r="AD882" s="55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56"/>
      <c r="AW882" s="56"/>
    </row>
    <row r="883" spans="1:49" ht="15.75" customHeight="1" x14ac:dyDescent="0.15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389"/>
      <c r="P883" s="55"/>
      <c r="Q883" s="55"/>
      <c r="R883" s="55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5"/>
      <c r="AD883" s="55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56"/>
      <c r="AW883" s="56"/>
    </row>
    <row r="884" spans="1:49" ht="15.75" customHeight="1" x14ac:dyDescent="0.15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389"/>
      <c r="P884" s="55"/>
      <c r="Q884" s="55"/>
      <c r="R884" s="55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5"/>
      <c r="AD884" s="55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</row>
    <row r="885" spans="1:49" ht="15.75" customHeight="1" x14ac:dyDescent="0.1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389"/>
      <c r="P885" s="55"/>
      <c r="Q885" s="55"/>
      <c r="R885" s="55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5"/>
      <c r="AD885" s="55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</row>
    <row r="886" spans="1:49" ht="15.75" customHeight="1" x14ac:dyDescent="0.15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389"/>
      <c r="P886" s="55"/>
      <c r="Q886" s="55"/>
      <c r="R886" s="55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5"/>
      <c r="AD886" s="55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56"/>
      <c r="AW886" s="56"/>
    </row>
    <row r="887" spans="1:49" ht="15.75" customHeight="1" x14ac:dyDescent="0.15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389"/>
      <c r="P887" s="55"/>
      <c r="Q887" s="55"/>
      <c r="R887" s="55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5"/>
      <c r="AD887" s="55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</row>
    <row r="888" spans="1:49" ht="15.75" customHeight="1" x14ac:dyDescent="0.15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389"/>
      <c r="P888" s="55"/>
      <c r="Q888" s="55"/>
      <c r="R888" s="55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5"/>
      <c r="AD888" s="55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</row>
    <row r="889" spans="1:49" ht="15.75" customHeight="1" x14ac:dyDescent="0.15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389"/>
      <c r="P889" s="55"/>
      <c r="Q889" s="55"/>
      <c r="R889" s="55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5"/>
      <c r="AD889" s="55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56"/>
      <c r="AW889" s="56"/>
    </row>
    <row r="890" spans="1:49" ht="15.75" customHeight="1" x14ac:dyDescent="0.15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389"/>
      <c r="P890" s="55"/>
      <c r="Q890" s="55"/>
      <c r="R890" s="55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5"/>
      <c r="AD890" s="55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56"/>
      <c r="AW890" s="56"/>
    </row>
    <row r="891" spans="1:49" ht="15.75" customHeight="1" x14ac:dyDescent="0.15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389"/>
      <c r="P891" s="55"/>
      <c r="Q891" s="55"/>
      <c r="R891" s="55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5"/>
      <c r="AD891" s="55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56"/>
      <c r="AW891" s="56"/>
    </row>
    <row r="892" spans="1:49" ht="15.75" customHeight="1" x14ac:dyDescent="0.15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389"/>
      <c r="P892" s="55"/>
      <c r="Q892" s="55"/>
      <c r="R892" s="55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5"/>
      <c r="AD892" s="55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56"/>
      <c r="AW892" s="56"/>
    </row>
    <row r="893" spans="1:49" ht="15.75" customHeight="1" x14ac:dyDescent="0.15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389"/>
      <c r="P893" s="55"/>
      <c r="Q893" s="55"/>
      <c r="R893" s="55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5"/>
      <c r="AD893" s="55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</row>
    <row r="894" spans="1:49" ht="15.75" customHeight="1" x14ac:dyDescent="0.15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389"/>
      <c r="P894" s="55"/>
      <c r="Q894" s="55"/>
      <c r="R894" s="55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5"/>
      <c r="AD894" s="55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</row>
    <row r="895" spans="1:49" ht="15.75" customHeight="1" x14ac:dyDescent="0.1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389"/>
      <c r="P895" s="55"/>
      <c r="Q895" s="55"/>
      <c r="R895" s="55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5"/>
      <c r="AD895" s="55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</row>
    <row r="896" spans="1:49" ht="15.75" customHeight="1" x14ac:dyDescent="0.15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389"/>
      <c r="P896" s="55"/>
      <c r="Q896" s="55"/>
      <c r="R896" s="55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5"/>
      <c r="AD896" s="55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</row>
    <row r="897" spans="1:49" ht="15.75" customHeight="1" x14ac:dyDescent="0.15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389"/>
      <c r="P897" s="55"/>
      <c r="Q897" s="55"/>
      <c r="R897" s="55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5"/>
      <c r="AD897" s="55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</row>
    <row r="898" spans="1:49" ht="15.75" customHeight="1" x14ac:dyDescent="0.15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389"/>
      <c r="P898" s="55"/>
      <c r="Q898" s="55"/>
      <c r="R898" s="55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5"/>
      <c r="AD898" s="55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</row>
    <row r="899" spans="1:49" ht="15.75" customHeight="1" x14ac:dyDescent="0.15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389"/>
      <c r="P899" s="55"/>
      <c r="Q899" s="55"/>
      <c r="R899" s="55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5"/>
      <c r="AD899" s="55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</row>
    <row r="900" spans="1:49" ht="15.75" customHeight="1" x14ac:dyDescent="0.15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389"/>
      <c r="P900" s="55"/>
      <c r="Q900" s="55"/>
      <c r="R900" s="55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5"/>
      <c r="AD900" s="55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  <c r="AV900" s="56"/>
      <c r="AW900" s="56"/>
    </row>
    <row r="901" spans="1:49" ht="15.75" customHeight="1" x14ac:dyDescent="0.15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389"/>
      <c r="P901" s="55"/>
      <c r="Q901" s="55"/>
      <c r="R901" s="55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5"/>
      <c r="AD901" s="55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</row>
    <row r="902" spans="1:49" ht="15.75" customHeight="1" x14ac:dyDescent="0.15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389"/>
      <c r="P902" s="55"/>
      <c r="Q902" s="55"/>
      <c r="R902" s="55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5"/>
      <c r="AD902" s="55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</row>
    <row r="903" spans="1:49" ht="15.75" customHeight="1" x14ac:dyDescent="0.15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389"/>
      <c r="P903" s="55"/>
      <c r="Q903" s="55"/>
      <c r="R903" s="55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5"/>
      <c r="AD903" s="55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  <c r="AV903" s="56"/>
      <c r="AW903" s="56"/>
    </row>
    <row r="904" spans="1:49" ht="15.75" customHeight="1" x14ac:dyDescent="0.15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389"/>
      <c r="P904" s="55"/>
      <c r="Q904" s="55"/>
      <c r="R904" s="55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5"/>
      <c r="AD904" s="55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  <c r="AV904" s="56"/>
      <c r="AW904" s="56"/>
    </row>
    <row r="905" spans="1:49" ht="15.75" customHeight="1" x14ac:dyDescent="0.1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389"/>
      <c r="P905" s="55"/>
      <c r="Q905" s="55"/>
      <c r="R905" s="55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5"/>
      <c r="AD905" s="55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  <c r="AV905" s="56"/>
      <c r="AW905" s="56"/>
    </row>
    <row r="906" spans="1:49" ht="15.75" customHeight="1" x14ac:dyDescent="0.15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389"/>
      <c r="P906" s="55"/>
      <c r="Q906" s="55"/>
      <c r="R906" s="55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5"/>
      <c r="AD906" s="55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</row>
    <row r="907" spans="1:49" ht="15.75" customHeight="1" x14ac:dyDescent="0.15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389"/>
      <c r="P907" s="55"/>
      <c r="Q907" s="55"/>
      <c r="R907" s="55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5"/>
      <c r="AD907" s="55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</row>
    <row r="908" spans="1:49" ht="15.75" customHeight="1" x14ac:dyDescent="0.15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389"/>
      <c r="P908" s="55"/>
      <c r="Q908" s="55"/>
      <c r="R908" s="55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5"/>
      <c r="AD908" s="55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  <c r="AV908" s="56"/>
      <c r="AW908" s="56"/>
    </row>
    <row r="909" spans="1:49" ht="15.75" customHeight="1" x14ac:dyDescent="0.15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389"/>
      <c r="P909" s="55"/>
      <c r="Q909" s="55"/>
      <c r="R909" s="55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5"/>
      <c r="AD909" s="55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</row>
    <row r="910" spans="1:49" ht="15.75" customHeight="1" x14ac:dyDescent="0.15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389"/>
      <c r="P910" s="55"/>
      <c r="Q910" s="55"/>
      <c r="R910" s="55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5"/>
      <c r="AD910" s="55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</row>
    <row r="911" spans="1:49" ht="15.75" customHeight="1" x14ac:dyDescent="0.15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389"/>
      <c r="P911" s="55"/>
      <c r="Q911" s="55"/>
      <c r="R911" s="55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5"/>
      <c r="AD911" s="55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</row>
    <row r="912" spans="1:49" ht="15.75" customHeight="1" x14ac:dyDescent="0.15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389"/>
      <c r="P912" s="55"/>
      <c r="Q912" s="55"/>
      <c r="R912" s="55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5"/>
      <c r="AD912" s="55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</row>
    <row r="913" spans="1:49" ht="15.75" customHeight="1" x14ac:dyDescent="0.15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389"/>
      <c r="P913" s="55"/>
      <c r="Q913" s="55"/>
      <c r="R913" s="55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5"/>
      <c r="AD913" s="55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  <c r="AV913" s="56"/>
      <c r="AW913" s="56"/>
    </row>
    <row r="914" spans="1:49" ht="15.75" customHeight="1" x14ac:dyDescent="0.15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389"/>
      <c r="P914" s="55"/>
      <c r="Q914" s="55"/>
      <c r="R914" s="55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5"/>
      <c r="AD914" s="55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  <c r="AV914" s="56"/>
      <c r="AW914" s="56"/>
    </row>
    <row r="915" spans="1:49" ht="15.75" customHeight="1" x14ac:dyDescent="0.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389"/>
      <c r="P915" s="55"/>
      <c r="Q915" s="55"/>
      <c r="R915" s="55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5"/>
      <c r="AD915" s="55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</row>
    <row r="916" spans="1:49" ht="15.75" customHeight="1" x14ac:dyDescent="0.15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389"/>
      <c r="P916" s="55"/>
      <c r="Q916" s="55"/>
      <c r="R916" s="55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5"/>
      <c r="AD916" s="55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</row>
    <row r="917" spans="1:49" ht="15.75" customHeight="1" x14ac:dyDescent="0.15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389"/>
      <c r="P917" s="55"/>
      <c r="Q917" s="55"/>
      <c r="R917" s="55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5"/>
      <c r="AD917" s="55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</row>
    <row r="918" spans="1:49" ht="15.75" customHeight="1" x14ac:dyDescent="0.15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389"/>
      <c r="P918" s="55"/>
      <c r="Q918" s="55"/>
      <c r="R918" s="55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5"/>
      <c r="AD918" s="55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</row>
    <row r="919" spans="1:49" ht="15.75" customHeight="1" x14ac:dyDescent="0.15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389"/>
      <c r="P919" s="55"/>
      <c r="Q919" s="55"/>
      <c r="R919" s="55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5"/>
      <c r="AD919" s="55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</row>
    <row r="920" spans="1:49" ht="15.75" customHeight="1" x14ac:dyDescent="0.15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389"/>
      <c r="P920" s="55"/>
      <c r="Q920" s="55"/>
      <c r="R920" s="55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5"/>
      <c r="AD920" s="55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</row>
    <row r="921" spans="1:49" ht="15.75" customHeight="1" x14ac:dyDescent="0.15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389"/>
      <c r="P921" s="55"/>
      <c r="Q921" s="55"/>
      <c r="R921" s="55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5"/>
      <c r="AD921" s="55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  <c r="AV921" s="56"/>
      <c r="AW921" s="56"/>
    </row>
    <row r="922" spans="1:49" ht="15.75" customHeight="1" x14ac:dyDescent="0.15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389"/>
      <c r="P922" s="55"/>
      <c r="Q922" s="55"/>
      <c r="R922" s="55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5"/>
      <c r="AD922" s="55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  <c r="AV922" s="56"/>
      <c r="AW922" s="56"/>
    </row>
    <row r="923" spans="1:49" ht="15.75" customHeight="1" x14ac:dyDescent="0.15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389"/>
      <c r="P923" s="55"/>
      <c r="Q923" s="55"/>
      <c r="R923" s="55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5"/>
      <c r="AD923" s="55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  <c r="AV923" s="56"/>
      <c r="AW923" s="56"/>
    </row>
    <row r="924" spans="1:49" ht="15.75" customHeight="1" x14ac:dyDescent="0.15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389"/>
      <c r="P924" s="55"/>
      <c r="Q924" s="55"/>
      <c r="R924" s="55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5"/>
      <c r="AD924" s="55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</row>
    <row r="925" spans="1:49" ht="15.75" customHeight="1" x14ac:dyDescent="0.1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389"/>
      <c r="P925" s="55"/>
      <c r="Q925" s="55"/>
      <c r="R925" s="55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5"/>
      <c r="AD925" s="55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</row>
    <row r="926" spans="1:49" ht="15.75" customHeight="1" x14ac:dyDescent="0.15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389"/>
      <c r="P926" s="55"/>
      <c r="Q926" s="55"/>
      <c r="R926" s="55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5"/>
      <c r="AD926" s="55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</row>
    <row r="927" spans="1:49" ht="15.75" customHeight="1" x14ac:dyDescent="0.15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389"/>
      <c r="P927" s="55"/>
      <c r="Q927" s="55"/>
      <c r="R927" s="55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5"/>
      <c r="AD927" s="55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  <c r="AV927" s="56"/>
      <c r="AW927" s="56"/>
    </row>
    <row r="928" spans="1:49" ht="15.75" customHeight="1" x14ac:dyDescent="0.15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389"/>
      <c r="P928" s="55"/>
      <c r="Q928" s="55"/>
      <c r="R928" s="55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5"/>
      <c r="AD928" s="55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</row>
    <row r="929" spans="1:49" ht="15.75" customHeight="1" x14ac:dyDescent="0.15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389"/>
      <c r="P929" s="55"/>
      <c r="Q929" s="55"/>
      <c r="R929" s="55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5"/>
      <c r="AD929" s="55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  <c r="AV929" s="56"/>
      <c r="AW929" s="56"/>
    </row>
    <row r="930" spans="1:49" ht="15.75" customHeight="1" x14ac:dyDescent="0.15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389"/>
      <c r="P930" s="55"/>
      <c r="Q930" s="55"/>
      <c r="R930" s="55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5"/>
      <c r="AD930" s="55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</row>
    <row r="931" spans="1:49" ht="15.75" customHeight="1" x14ac:dyDescent="0.15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389"/>
      <c r="P931" s="55"/>
      <c r="Q931" s="55"/>
      <c r="R931" s="55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5"/>
      <c r="AD931" s="55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</row>
    <row r="932" spans="1:49" ht="15.75" customHeight="1" x14ac:dyDescent="0.15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389"/>
      <c r="P932" s="55"/>
      <c r="Q932" s="55"/>
      <c r="R932" s="55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5"/>
      <c r="AD932" s="55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</row>
    <row r="933" spans="1:49" ht="15.75" customHeight="1" x14ac:dyDescent="0.15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389"/>
      <c r="P933" s="55"/>
      <c r="Q933" s="55"/>
      <c r="R933" s="55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5"/>
      <c r="AD933" s="55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</row>
    <row r="934" spans="1:49" ht="15.75" customHeight="1" x14ac:dyDescent="0.15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389"/>
      <c r="P934" s="55"/>
      <c r="Q934" s="55"/>
      <c r="R934" s="55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5"/>
      <c r="AD934" s="55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  <c r="AV934" s="56"/>
      <c r="AW934" s="56"/>
    </row>
    <row r="935" spans="1:49" ht="15.75" customHeight="1" x14ac:dyDescent="0.1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389"/>
      <c r="P935" s="55"/>
      <c r="Q935" s="55"/>
      <c r="R935" s="55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5"/>
      <c r="AD935" s="55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  <c r="AV935" s="56"/>
      <c r="AW935" s="56"/>
    </row>
    <row r="936" spans="1:49" ht="15.75" customHeight="1" x14ac:dyDescent="0.15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389"/>
      <c r="P936" s="55"/>
      <c r="Q936" s="55"/>
      <c r="R936" s="55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5"/>
      <c r="AD936" s="55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  <c r="AV936" s="56"/>
      <c r="AW936" s="56"/>
    </row>
    <row r="937" spans="1:49" ht="15.75" customHeight="1" x14ac:dyDescent="0.15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389"/>
      <c r="P937" s="55"/>
      <c r="Q937" s="55"/>
      <c r="R937" s="55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5"/>
      <c r="AD937" s="55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</row>
    <row r="938" spans="1:49" ht="15.75" customHeight="1" x14ac:dyDescent="0.15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389"/>
      <c r="P938" s="55"/>
      <c r="Q938" s="55"/>
      <c r="R938" s="55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5"/>
      <c r="AD938" s="55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</row>
    <row r="939" spans="1:49" ht="15.75" customHeight="1" x14ac:dyDescent="0.15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389"/>
      <c r="P939" s="55"/>
      <c r="Q939" s="55"/>
      <c r="R939" s="55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5"/>
      <c r="AD939" s="55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  <c r="AV939" s="56"/>
      <c r="AW939" s="56"/>
    </row>
    <row r="940" spans="1:49" ht="15.75" customHeight="1" x14ac:dyDescent="0.15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389"/>
      <c r="P940" s="55"/>
      <c r="Q940" s="55"/>
      <c r="R940" s="55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5"/>
      <c r="AD940" s="55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  <c r="AV940" s="56"/>
      <c r="AW940" s="56"/>
    </row>
    <row r="941" spans="1:49" ht="15.75" customHeight="1" x14ac:dyDescent="0.15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389"/>
      <c r="P941" s="55"/>
      <c r="Q941" s="55"/>
      <c r="R941" s="55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5"/>
      <c r="AD941" s="55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</row>
    <row r="942" spans="1:49" ht="15.75" customHeight="1" x14ac:dyDescent="0.15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389"/>
      <c r="P942" s="55"/>
      <c r="Q942" s="55"/>
      <c r="R942" s="55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5"/>
      <c r="AD942" s="55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  <c r="AV942" s="56"/>
      <c r="AW942" s="56"/>
    </row>
    <row r="943" spans="1:49" ht="15.75" customHeight="1" x14ac:dyDescent="0.15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389"/>
      <c r="P943" s="55"/>
      <c r="Q943" s="55"/>
      <c r="R943" s="55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5"/>
      <c r="AD943" s="55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  <c r="AV943" s="56"/>
      <c r="AW943" s="56"/>
    </row>
    <row r="944" spans="1:49" ht="15.75" customHeight="1" x14ac:dyDescent="0.15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389"/>
      <c r="P944" s="55"/>
      <c r="Q944" s="55"/>
      <c r="R944" s="55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5"/>
      <c r="AD944" s="55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</row>
    <row r="945" spans="1:49" ht="15.75" customHeight="1" x14ac:dyDescent="0.1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389"/>
      <c r="P945" s="55"/>
      <c r="Q945" s="55"/>
      <c r="R945" s="55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5"/>
      <c r="AD945" s="55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  <c r="AV945" s="56"/>
      <c r="AW945" s="56"/>
    </row>
    <row r="946" spans="1:49" ht="15.75" customHeight="1" x14ac:dyDescent="0.15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389"/>
      <c r="P946" s="55"/>
      <c r="Q946" s="55"/>
      <c r="R946" s="55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5"/>
      <c r="AD946" s="55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  <c r="AV946" s="56"/>
      <c r="AW946" s="56"/>
    </row>
    <row r="947" spans="1:49" ht="15.75" customHeight="1" x14ac:dyDescent="0.15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389"/>
      <c r="P947" s="55"/>
      <c r="Q947" s="55"/>
      <c r="R947" s="55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5"/>
      <c r="AD947" s="55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</row>
    <row r="948" spans="1:49" ht="15.75" customHeight="1" x14ac:dyDescent="0.15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389"/>
      <c r="P948" s="55"/>
      <c r="Q948" s="55"/>
      <c r="R948" s="55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5"/>
      <c r="AD948" s="55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  <c r="AV948" s="56"/>
      <c r="AW948" s="56"/>
    </row>
    <row r="949" spans="1:49" ht="15.75" customHeight="1" x14ac:dyDescent="0.15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389"/>
      <c r="P949" s="55"/>
      <c r="Q949" s="55"/>
      <c r="R949" s="55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5"/>
      <c r="AD949" s="55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  <c r="AV949" s="56"/>
      <c r="AW949" s="56"/>
    </row>
    <row r="950" spans="1:49" ht="15.75" customHeight="1" x14ac:dyDescent="0.15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389"/>
      <c r="P950" s="55"/>
      <c r="Q950" s="55"/>
      <c r="R950" s="55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5"/>
      <c r="AD950" s="55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</row>
    <row r="951" spans="1:49" ht="15.75" customHeight="1" x14ac:dyDescent="0.15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389"/>
      <c r="P951" s="55"/>
      <c r="Q951" s="55"/>
      <c r="R951" s="55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5"/>
      <c r="AD951" s="55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</row>
    <row r="952" spans="1:49" ht="15.75" customHeight="1" x14ac:dyDescent="0.15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389"/>
      <c r="P952" s="55"/>
      <c r="Q952" s="55"/>
      <c r="R952" s="55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5"/>
      <c r="AD952" s="55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</row>
    <row r="953" spans="1:49" ht="15.75" customHeight="1" x14ac:dyDescent="0.15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389"/>
      <c r="P953" s="55"/>
      <c r="Q953" s="55"/>
      <c r="R953" s="55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5"/>
      <c r="AD953" s="55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</row>
    <row r="954" spans="1:49" ht="15.75" customHeight="1" x14ac:dyDescent="0.15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389"/>
      <c r="P954" s="55"/>
      <c r="Q954" s="55"/>
      <c r="R954" s="55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5"/>
      <c r="AD954" s="55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</row>
    <row r="955" spans="1:49" ht="15.75" customHeight="1" x14ac:dyDescent="0.1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389"/>
      <c r="P955" s="55"/>
      <c r="Q955" s="55"/>
      <c r="R955" s="55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5"/>
      <c r="AD955" s="55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</row>
    <row r="956" spans="1:49" ht="15.75" customHeight="1" x14ac:dyDescent="0.15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389"/>
      <c r="P956" s="55"/>
      <c r="Q956" s="55"/>
      <c r="R956" s="55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5"/>
      <c r="AD956" s="55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</row>
    <row r="957" spans="1:49" ht="15.75" customHeight="1" x14ac:dyDescent="0.15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389"/>
      <c r="P957" s="55"/>
      <c r="Q957" s="55"/>
      <c r="R957" s="55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5"/>
      <c r="AD957" s="55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</row>
    <row r="958" spans="1:49" ht="15.75" customHeight="1" x14ac:dyDescent="0.15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389"/>
      <c r="P958" s="55"/>
      <c r="Q958" s="55"/>
      <c r="R958" s="55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5"/>
      <c r="AD958" s="55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</row>
    <row r="959" spans="1:49" ht="15.75" customHeight="1" x14ac:dyDescent="0.15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389"/>
      <c r="P959" s="55"/>
      <c r="Q959" s="55"/>
      <c r="R959" s="55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5"/>
      <c r="AD959" s="55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</row>
    <row r="960" spans="1:49" ht="15.75" customHeight="1" x14ac:dyDescent="0.15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389"/>
      <c r="P960" s="55"/>
      <c r="Q960" s="55"/>
      <c r="R960" s="55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5"/>
      <c r="AD960" s="55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  <c r="AV960" s="56"/>
      <c r="AW960" s="56"/>
    </row>
    <row r="961" spans="1:49" ht="15.75" customHeight="1" x14ac:dyDescent="0.15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389"/>
      <c r="P961" s="55"/>
      <c r="Q961" s="55"/>
      <c r="R961" s="55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5"/>
      <c r="AD961" s="55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</row>
    <row r="962" spans="1:49" ht="15.75" customHeight="1" x14ac:dyDescent="0.15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389"/>
      <c r="P962" s="55"/>
      <c r="Q962" s="55"/>
      <c r="R962" s="55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5"/>
      <c r="AD962" s="55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</row>
    <row r="963" spans="1:49" ht="15.75" customHeight="1" x14ac:dyDescent="0.15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389"/>
      <c r="P963" s="55"/>
      <c r="Q963" s="55"/>
      <c r="R963" s="55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5"/>
      <c r="AD963" s="55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</row>
    <row r="964" spans="1:49" ht="15.75" customHeight="1" x14ac:dyDescent="0.15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389"/>
      <c r="P964" s="55"/>
      <c r="Q964" s="55"/>
      <c r="R964" s="55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5"/>
      <c r="AD964" s="55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  <c r="AV964" s="56"/>
      <c r="AW964" s="56"/>
    </row>
    <row r="965" spans="1:49" ht="15.75" customHeight="1" x14ac:dyDescent="0.1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389"/>
      <c r="P965" s="55"/>
      <c r="Q965" s="55"/>
      <c r="R965" s="55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5"/>
      <c r="AD965" s="55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  <c r="AV965" s="56"/>
      <c r="AW965" s="56"/>
    </row>
    <row r="966" spans="1:49" ht="15.75" customHeight="1" x14ac:dyDescent="0.15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389"/>
      <c r="P966" s="55"/>
      <c r="Q966" s="55"/>
      <c r="R966" s="55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5"/>
      <c r="AD966" s="55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  <c r="AV966" s="56"/>
      <c r="AW966" s="56"/>
    </row>
    <row r="967" spans="1:49" ht="15.75" customHeight="1" x14ac:dyDescent="0.15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389"/>
      <c r="P967" s="55"/>
      <c r="Q967" s="55"/>
      <c r="R967" s="55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5"/>
      <c r="AD967" s="55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</row>
    <row r="968" spans="1:49" ht="15.75" customHeight="1" x14ac:dyDescent="0.15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389"/>
      <c r="P968" s="55"/>
      <c r="Q968" s="55"/>
      <c r="R968" s="55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5"/>
      <c r="AD968" s="55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  <c r="AU968" s="56"/>
      <c r="AV968" s="56"/>
      <c r="AW968" s="56"/>
    </row>
    <row r="969" spans="1:49" ht="15.75" customHeight="1" x14ac:dyDescent="0.15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389"/>
      <c r="P969" s="55"/>
      <c r="Q969" s="55"/>
      <c r="R969" s="55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5"/>
      <c r="AD969" s="55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  <c r="AV969" s="56"/>
      <c r="AW969" s="56"/>
    </row>
    <row r="970" spans="1:49" ht="15.75" customHeight="1" x14ac:dyDescent="0.15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389"/>
      <c r="P970" s="55"/>
      <c r="Q970" s="55"/>
      <c r="R970" s="55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5"/>
      <c r="AD970" s="55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  <c r="AU970" s="56"/>
      <c r="AV970" s="56"/>
      <c r="AW970" s="56"/>
    </row>
    <row r="971" spans="1:49" ht="15.75" customHeight="1" x14ac:dyDescent="0.15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389"/>
      <c r="P971" s="55"/>
      <c r="Q971" s="55"/>
      <c r="R971" s="55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5"/>
      <c r="AD971" s="55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</row>
    <row r="972" spans="1:49" ht="15.75" customHeight="1" x14ac:dyDescent="0.15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389"/>
      <c r="P972" s="55"/>
      <c r="Q972" s="55"/>
      <c r="R972" s="55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5"/>
      <c r="AD972" s="55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  <c r="AO972" s="56"/>
      <c r="AP972" s="56"/>
      <c r="AQ972" s="56"/>
      <c r="AR972" s="56"/>
      <c r="AS972" s="56"/>
      <c r="AT972" s="56"/>
      <c r="AU972" s="56"/>
      <c r="AV972" s="56"/>
      <c r="AW972" s="56"/>
    </row>
    <row r="973" spans="1:49" ht="15.75" customHeight="1" x14ac:dyDescent="0.15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389"/>
      <c r="P973" s="55"/>
      <c r="Q973" s="55"/>
      <c r="R973" s="55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5"/>
      <c r="AD973" s="55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56"/>
      <c r="AQ973" s="56"/>
      <c r="AR973" s="56"/>
      <c r="AS973" s="56"/>
      <c r="AT973" s="56"/>
      <c r="AU973" s="56"/>
      <c r="AV973" s="56"/>
      <c r="AW973" s="56"/>
    </row>
    <row r="974" spans="1:49" ht="15.75" customHeight="1" x14ac:dyDescent="0.15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389"/>
      <c r="P974" s="55"/>
      <c r="Q974" s="55"/>
      <c r="R974" s="55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5"/>
      <c r="AD974" s="55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56"/>
      <c r="AQ974" s="56"/>
      <c r="AR974" s="56"/>
      <c r="AS974" s="56"/>
      <c r="AT974" s="56"/>
      <c r="AU974" s="56"/>
      <c r="AV974" s="56"/>
      <c r="AW974" s="56"/>
    </row>
    <row r="975" spans="1:49" ht="15.75" customHeight="1" x14ac:dyDescent="0.1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389"/>
      <c r="P975" s="55"/>
      <c r="Q975" s="55"/>
      <c r="R975" s="55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5"/>
      <c r="AD975" s="55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56"/>
      <c r="AQ975" s="56"/>
      <c r="AR975" s="56"/>
      <c r="AS975" s="56"/>
      <c r="AT975" s="56"/>
      <c r="AU975" s="56"/>
      <c r="AV975" s="56"/>
      <c r="AW975" s="56"/>
    </row>
    <row r="976" spans="1:49" ht="15.75" customHeight="1" x14ac:dyDescent="0.15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389"/>
      <c r="P976" s="55"/>
      <c r="Q976" s="55"/>
      <c r="R976" s="55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5"/>
      <c r="AD976" s="55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56"/>
      <c r="AQ976" s="56"/>
      <c r="AR976" s="56"/>
      <c r="AS976" s="56"/>
      <c r="AT976" s="56"/>
      <c r="AU976" s="56"/>
      <c r="AV976" s="56"/>
      <c r="AW976" s="56"/>
    </row>
    <row r="977" spans="1:49" ht="15.75" customHeight="1" x14ac:dyDescent="0.15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389"/>
      <c r="P977" s="55"/>
      <c r="Q977" s="55"/>
      <c r="R977" s="55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5"/>
      <c r="AD977" s="55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56"/>
      <c r="AQ977" s="56"/>
      <c r="AR977" s="56"/>
      <c r="AS977" s="56"/>
      <c r="AT977" s="56"/>
      <c r="AU977" s="56"/>
      <c r="AV977" s="56"/>
      <c r="AW977" s="56"/>
    </row>
    <row r="978" spans="1:49" ht="15.75" customHeight="1" x14ac:dyDescent="0.15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389"/>
      <c r="P978" s="55"/>
      <c r="Q978" s="55"/>
      <c r="R978" s="55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5"/>
      <c r="AD978" s="55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56"/>
      <c r="AQ978" s="56"/>
      <c r="AR978" s="56"/>
      <c r="AS978" s="56"/>
      <c r="AT978" s="56"/>
      <c r="AU978" s="56"/>
      <c r="AV978" s="56"/>
      <c r="AW978" s="56"/>
    </row>
    <row r="979" spans="1:49" ht="15.75" customHeight="1" x14ac:dyDescent="0.15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389"/>
      <c r="P979" s="55"/>
      <c r="Q979" s="55"/>
      <c r="R979" s="55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5"/>
      <c r="AD979" s="55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</row>
    <row r="980" spans="1:49" ht="15.75" customHeight="1" x14ac:dyDescent="0.15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389"/>
      <c r="P980" s="55"/>
      <c r="Q980" s="55"/>
      <c r="R980" s="55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5"/>
      <c r="AD980" s="55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56"/>
      <c r="AQ980" s="56"/>
      <c r="AR980" s="56"/>
      <c r="AS980" s="56"/>
      <c r="AT980" s="56"/>
      <c r="AU980" s="56"/>
      <c r="AV980" s="56"/>
      <c r="AW980" s="56"/>
    </row>
    <row r="981" spans="1:49" ht="15.75" customHeight="1" x14ac:dyDescent="0.15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389"/>
      <c r="P981" s="55"/>
      <c r="Q981" s="55"/>
      <c r="R981" s="55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5"/>
      <c r="AD981" s="55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</row>
    <row r="982" spans="1:49" ht="15.75" customHeight="1" x14ac:dyDescent="0.15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389"/>
      <c r="P982" s="55"/>
      <c r="Q982" s="55"/>
      <c r="R982" s="55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5"/>
      <c r="AD982" s="55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</row>
    <row r="983" spans="1:49" ht="15.75" customHeight="1" x14ac:dyDescent="0.15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389"/>
      <c r="P983" s="55"/>
      <c r="Q983" s="55"/>
      <c r="R983" s="55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5"/>
      <c r="AD983" s="55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56"/>
      <c r="AQ983" s="56"/>
      <c r="AR983" s="56"/>
      <c r="AS983" s="56"/>
      <c r="AT983" s="56"/>
      <c r="AU983" s="56"/>
      <c r="AV983" s="56"/>
      <c r="AW983" s="56"/>
    </row>
    <row r="984" spans="1:49" ht="15.75" customHeight="1" x14ac:dyDescent="0.15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389"/>
      <c r="P984" s="55"/>
      <c r="Q984" s="55"/>
      <c r="R984" s="55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5"/>
      <c r="AD984" s="55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</row>
    <row r="985" spans="1:49" ht="15.75" customHeight="1" x14ac:dyDescent="0.1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389"/>
      <c r="P985" s="55"/>
      <c r="Q985" s="55"/>
      <c r="R985" s="55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5"/>
      <c r="AD985" s="55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  <c r="AO985" s="56"/>
      <c r="AP985" s="56"/>
      <c r="AQ985" s="56"/>
      <c r="AR985" s="56"/>
      <c r="AS985" s="56"/>
      <c r="AT985" s="56"/>
      <c r="AU985" s="56"/>
      <c r="AV985" s="56"/>
      <c r="AW985" s="56"/>
    </row>
    <row r="986" spans="1:49" ht="15.75" customHeight="1" x14ac:dyDescent="0.15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389"/>
      <c r="P986" s="55"/>
      <c r="Q986" s="55"/>
      <c r="R986" s="55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5"/>
      <c r="AD986" s="55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6"/>
      <c r="AP986" s="56"/>
      <c r="AQ986" s="56"/>
      <c r="AR986" s="56"/>
      <c r="AS986" s="56"/>
      <c r="AT986" s="56"/>
      <c r="AU986" s="56"/>
      <c r="AV986" s="56"/>
      <c r="AW986" s="56"/>
    </row>
    <row r="987" spans="1:49" ht="15.75" customHeight="1" x14ac:dyDescent="0.15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389"/>
      <c r="P987" s="55"/>
      <c r="Q987" s="55"/>
      <c r="R987" s="55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5"/>
      <c r="AD987" s="55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6"/>
      <c r="AP987" s="56"/>
      <c r="AQ987" s="56"/>
      <c r="AR987" s="56"/>
      <c r="AS987" s="56"/>
      <c r="AT987" s="56"/>
      <c r="AU987" s="56"/>
      <c r="AV987" s="56"/>
      <c r="AW987" s="56"/>
    </row>
    <row r="988" spans="1:49" ht="15.75" customHeight="1" x14ac:dyDescent="0.15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389"/>
      <c r="P988" s="55"/>
      <c r="Q988" s="55"/>
      <c r="R988" s="55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5"/>
      <c r="AD988" s="55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6"/>
      <c r="AP988" s="56"/>
      <c r="AQ988" s="56"/>
      <c r="AR988" s="56"/>
      <c r="AS988" s="56"/>
      <c r="AT988" s="56"/>
      <c r="AU988" s="56"/>
      <c r="AV988" s="56"/>
      <c r="AW988" s="56"/>
    </row>
    <row r="989" spans="1:49" ht="15.75" customHeight="1" x14ac:dyDescent="0.15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389"/>
      <c r="P989" s="55"/>
      <c r="Q989" s="55"/>
      <c r="R989" s="55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5"/>
      <c r="AD989" s="55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  <c r="AO989" s="56"/>
      <c r="AP989" s="56"/>
      <c r="AQ989" s="56"/>
      <c r="AR989" s="56"/>
      <c r="AS989" s="56"/>
      <c r="AT989" s="56"/>
      <c r="AU989" s="56"/>
      <c r="AV989" s="56"/>
      <c r="AW989" s="56"/>
    </row>
    <row r="990" spans="1:49" ht="15.75" customHeight="1" x14ac:dyDescent="0.15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389"/>
      <c r="P990" s="55"/>
      <c r="Q990" s="55"/>
      <c r="R990" s="55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5"/>
      <c r="AD990" s="55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</row>
    <row r="991" spans="1:49" ht="15.75" customHeight="1" x14ac:dyDescent="0.15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389"/>
      <c r="P991" s="55"/>
      <c r="Q991" s="55"/>
      <c r="R991" s="55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5"/>
      <c r="AD991" s="55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</row>
    <row r="992" spans="1:49" ht="15.75" customHeight="1" x14ac:dyDescent="0.15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389"/>
      <c r="P992" s="55"/>
      <c r="Q992" s="55"/>
      <c r="R992" s="55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5"/>
      <c r="AD992" s="55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  <c r="AO992" s="56"/>
      <c r="AP992" s="56"/>
      <c r="AQ992" s="56"/>
      <c r="AR992" s="56"/>
      <c r="AS992" s="56"/>
      <c r="AT992" s="56"/>
      <c r="AU992" s="56"/>
      <c r="AV992" s="56"/>
      <c r="AW992" s="56"/>
    </row>
    <row r="993" spans="1:49" ht="15.75" customHeight="1" x14ac:dyDescent="0.15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389"/>
      <c r="P993" s="55"/>
      <c r="Q993" s="55"/>
      <c r="R993" s="55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5"/>
      <c r="AD993" s="55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  <c r="AO993" s="56"/>
      <c r="AP993" s="56"/>
      <c r="AQ993" s="56"/>
      <c r="AR993" s="56"/>
      <c r="AS993" s="56"/>
      <c r="AT993" s="56"/>
      <c r="AU993" s="56"/>
      <c r="AV993" s="56"/>
      <c r="AW993" s="56"/>
    </row>
    <row r="994" spans="1:49" ht="15.75" customHeight="1" x14ac:dyDescent="0.15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389"/>
      <c r="P994" s="55"/>
      <c r="Q994" s="55"/>
      <c r="R994" s="55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5"/>
      <c r="AD994" s="55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  <c r="AO994" s="56"/>
      <c r="AP994" s="56"/>
      <c r="AQ994" s="56"/>
      <c r="AR994" s="56"/>
      <c r="AS994" s="56"/>
      <c r="AT994" s="56"/>
      <c r="AU994" s="56"/>
      <c r="AV994" s="56"/>
      <c r="AW994" s="56"/>
    </row>
    <row r="995" spans="1:49" ht="15.75" customHeight="1" x14ac:dyDescent="0.1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389"/>
      <c r="P995" s="55"/>
      <c r="Q995" s="55"/>
      <c r="R995" s="55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5"/>
      <c r="AD995" s="55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6"/>
      <c r="AP995" s="56"/>
      <c r="AQ995" s="56"/>
      <c r="AR995" s="56"/>
      <c r="AS995" s="56"/>
      <c r="AT995" s="56"/>
      <c r="AU995" s="56"/>
      <c r="AV995" s="56"/>
      <c r="AW995" s="56"/>
    </row>
    <row r="996" spans="1:49" ht="15.75" customHeight="1" x14ac:dyDescent="0.15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389"/>
      <c r="P996" s="55"/>
      <c r="Q996" s="55"/>
      <c r="R996" s="55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5"/>
      <c r="AD996" s="55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  <c r="AO996" s="56"/>
      <c r="AP996" s="56"/>
      <c r="AQ996" s="56"/>
      <c r="AR996" s="56"/>
      <c r="AS996" s="56"/>
      <c r="AT996" s="56"/>
      <c r="AU996" s="56"/>
      <c r="AV996" s="56"/>
      <c r="AW996" s="56"/>
    </row>
    <row r="997" spans="1:49" ht="15.75" customHeight="1" x14ac:dyDescent="0.15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389"/>
      <c r="P997" s="55"/>
      <c r="Q997" s="55"/>
      <c r="R997" s="55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5"/>
      <c r="AD997" s="55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  <c r="AO997" s="56"/>
      <c r="AP997" s="56"/>
      <c r="AQ997" s="56"/>
      <c r="AR997" s="56"/>
      <c r="AS997" s="56"/>
      <c r="AT997" s="56"/>
      <c r="AU997" s="56"/>
      <c r="AV997" s="56"/>
      <c r="AW997" s="56"/>
    </row>
    <row r="998" spans="1:49" ht="15.75" customHeight="1" x14ac:dyDescent="0.15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389"/>
      <c r="P998" s="55"/>
      <c r="Q998" s="55"/>
      <c r="R998" s="55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5"/>
      <c r="AD998" s="55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6"/>
      <c r="AQ998" s="56"/>
      <c r="AR998" s="56"/>
      <c r="AS998" s="56"/>
      <c r="AT998" s="56"/>
      <c r="AU998" s="56"/>
      <c r="AV998" s="56"/>
      <c r="AW998" s="56"/>
    </row>
    <row r="999" spans="1:49" ht="15.75" customHeight="1" x14ac:dyDescent="0.15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389"/>
      <c r="P999" s="55"/>
      <c r="Q999" s="55"/>
      <c r="R999" s="55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5"/>
      <c r="AD999" s="55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  <c r="AO999" s="56"/>
      <c r="AP999" s="56"/>
      <c r="AQ999" s="56"/>
      <c r="AR999" s="56"/>
      <c r="AS999" s="56"/>
      <c r="AT999" s="56"/>
      <c r="AU999" s="56"/>
      <c r="AV999" s="56"/>
      <c r="AW999" s="56"/>
    </row>
    <row r="1000" spans="1:49" ht="15.75" customHeight="1" x14ac:dyDescent="0.15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389"/>
      <c r="P1000" s="55"/>
      <c r="Q1000" s="55"/>
      <c r="R1000" s="55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5"/>
      <c r="AD1000" s="55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6"/>
      <c r="AO1000" s="56"/>
      <c r="AP1000" s="56"/>
      <c r="AQ1000" s="56"/>
      <c r="AR1000" s="56"/>
      <c r="AS1000" s="56"/>
      <c r="AT1000" s="56"/>
      <c r="AU1000" s="56"/>
      <c r="AV1000" s="56"/>
      <c r="AW1000" s="56"/>
    </row>
    <row r="1001" spans="1:49" ht="15.75" customHeight="1" x14ac:dyDescent="0.15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389"/>
      <c r="P1001" s="55"/>
      <c r="Q1001" s="55"/>
      <c r="R1001" s="55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5"/>
      <c r="AD1001" s="55"/>
      <c r="AE1001" s="56"/>
      <c r="AF1001" s="56"/>
      <c r="AG1001" s="56"/>
      <c r="AH1001" s="56"/>
      <c r="AI1001" s="56"/>
      <c r="AJ1001" s="56"/>
      <c r="AK1001" s="56"/>
      <c r="AL1001" s="56"/>
      <c r="AM1001" s="56"/>
      <c r="AN1001" s="56"/>
      <c r="AO1001" s="56"/>
      <c r="AP1001" s="56"/>
      <c r="AQ1001" s="56"/>
      <c r="AR1001" s="56"/>
      <c r="AS1001" s="56"/>
      <c r="AT1001" s="56"/>
      <c r="AU1001" s="56"/>
      <c r="AV1001" s="56"/>
      <c r="AW1001" s="56"/>
    </row>
    <row r="1002" spans="1:49" ht="15.75" customHeight="1" x14ac:dyDescent="0.15">
      <c r="A1002" s="56"/>
      <c r="B1002" s="56"/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389"/>
      <c r="P1002" s="55"/>
      <c r="Q1002" s="55"/>
      <c r="R1002" s="55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5"/>
      <c r="AD1002" s="55"/>
      <c r="AE1002" s="56"/>
      <c r="AF1002" s="56"/>
      <c r="AG1002" s="56"/>
      <c r="AH1002" s="56"/>
      <c r="AI1002" s="56"/>
      <c r="AJ1002" s="56"/>
      <c r="AK1002" s="56"/>
      <c r="AL1002" s="56"/>
      <c r="AM1002" s="56"/>
      <c r="AN1002" s="56"/>
      <c r="AO1002" s="56"/>
      <c r="AP1002" s="56"/>
      <c r="AQ1002" s="56"/>
      <c r="AR1002" s="56"/>
      <c r="AS1002" s="56"/>
      <c r="AT1002" s="56"/>
      <c r="AU1002" s="56"/>
      <c r="AV1002" s="56"/>
      <c r="AW1002" s="56"/>
    </row>
    <row r="1003" spans="1:49" ht="15.75" customHeight="1" x14ac:dyDescent="0.15">
      <c r="A1003" s="56"/>
      <c r="B1003" s="56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389"/>
      <c r="P1003" s="55"/>
      <c r="Q1003" s="55"/>
      <c r="R1003" s="55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5"/>
      <c r="AD1003" s="55"/>
      <c r="AE1003" s="56"/>
      <c r="AF1003" s="56"/>
      <c r="AG1003" s="56"/>
      <c r="AH1003" s="56"/>
      <c r="AI1003" s="56"/>
      <c r="AJ1003" s="56"/>
      <c r="AK1003" s="56"/>
      <c r="AL1003" s="56"/>
      <c r="AM1003" s="56"/>
      <c r="AN1003" s="56"/>
      <c r="AO1003" s="56"/>
      <c r="AP1003" s="56"/>
      <c r="AQ1003" s="56"/>
      <c r="AR1003" s="56"/>
      <c r="AS1003" s="56"/>
      <c r="AT1003" s="56"/>
      <c r="AU1003" s="56"/>
      <c r="AV1003" s="56"/>
      <c r="AW1003" s="56"/>
    </row>
    <row r="1004" spans="1:49" ht="15.75" customHeight="1" x14ac:dyDescent="0.15">
      <c r="A1004" s="56"/>
      <c r="B1004" s="56"/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389"/>
      <c r="P1004" s="55"/>
      <c r="Q1004" s="55"/>
      <c r="R1004" s="55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5"/>
      <c r="AD1004" s="55"/>
      <c r="AE1004" s="56"/>
      <c r="AF1004" s="56"/>
      <c r="AG1004" s="56"/>
      <c r="AH1004" s="56"/>
      <c r="AI1004" s="56"/>
      <c r="AJ1004" s="56"/>
      <c r="AK1004" s="56"/>
      <c r="AL1004" s="56"/>
      <c r="AM1004" s="56"/>
      <c r="AN1004" s="56"/>
      <c r="AO1004" s="56"/>
      <c r="AP1004" s="56"/>
      <c r="AQ1004" s="56"/>
      <c r="AR1004" s="56"/>
      <c r="AS1004" s="56"/>
      <c r="AT1004" s="56"/>
      <c r="AU1004" s="56"/>
      <c r="AV1004" s="56"/>
      <c r="AW1004" s="56"/>
    </row>
    <row r="1005" spans="1:49" ht="15.75" customHeight="1" x14ac:dyDescent="0.15">
      <c r="A1005" s="56"/>
      <c r="B1005" s="56"/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389"/>
      <c r="P1005" s="55"/>
      <c r="Q1005" s="55"/>
      <c r="R1005" s="55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5"/>
      <c r="AD1005" s="55"/>
      <c r="AE1005" s="56"/>
      <c r="AF1005" s="56"/>
      <c r="AG1005" s="56"/>
      <c r="AH1005" s="56"/>
      <c r="AI1005" s="56"/>
      <c r="AJ1005" s="56"/>
      <c r="AK1005" s="56"/>
      <c r="AL1005" s="56"/>
      <c r="AM1005" s="56"/>
      <c r="AN1005" s="56"/>
      <c r="AO1005" s="56"/>
      <c r="AP1005" s="56"/>
      <c r="AQ1005" s="56"/>
      <c r="AR1005" s="56"/>
      <c r="AS1005" s="56"/>
      <c r="AT1005" s="56"/>
      <c r="AU1005" s="56"/>
      <c r="AV1005" s="56"/>
      <c r="AW1005" s="56"/>
    </row>
    <row r="1006" spans="1:49" ht="15.75" customHeight="1" x14ac:dyDescent="0.15">
      <c r="A1006" s="56"/>
      <c r="B1006" s="56"/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389"/>
      <c r="P1006" s="55"/>
      <c r="Q1006" s="55"/>
      <c r="R1006" s="55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5"/>
      <c r="AD1006" s="55"/>
      <c r="AE1006" s="56"/>
      <c r="AF1006" s="56"/>
      <c r="AG1006" s="56"/>
      <c r="AH1006" s="56"/>
      <c r="AI1006" s="56"/>
      <c r="AJ1006" s="56"/>
      <c r="AK1006" s="56"/>
      <c r="AL1006" s="56"/>
      <c r="AM1006" s="56"/>
      <c r="AN1006" s="56"/>
      <c r="AO1006" s="56"/>
      <c r="AP1006" s="56"/>
      <c r="AQ1006" s="56"/>
      <c r="AR1006" s="56"/>
      <c r="AS1006" s="56"/>
      <c r="AT1006" s="56"/>
      <c r="AU1006" s="56"/>
      <c r="AV1006" s="56"/>
      <c r="AW1006" s="56"/>
    </row>
    <row r="1007" spans="1:49" ht="15.75" customHeight="1" x14ac:dyDescent="0.15">
      <c r="A1007" s="56"/>
      <c r="B1007" s="56"/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389"/>
      <c r="P1007" s="55"/>
      <c r="Q1007" s="55"/>
      <c r="R1007" s="55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5"/>
      <c r="AD1007" s="55"/>
      <c r="AE1007" s="56"/>
      <c r="AF1007" s="56"/>
      <c r="AG1007" s="56"/>
      <c r="AH1007" s="56"/>
      <c r="AI1007" s="56"/>
      <c r="AJ1007" s="56"/>
      <c r="AK1007" s="56"/>
      <c r="AL1007" s="56"/>
      <c r="AM1007" s="56"/>
      <c r="AN1007" s="56"/>
      <c r="AO1007" s="56"/>
      <c r="AP1007" s="56"/>
      <c r="AQ1007" s="56"/>
      <c r="AR1007" s="56"/>
      <c r="AS1007" s="56"/>
      <c r="AT1007" s="56"/>
      <c r="AU1007" s="56"/>
      <c r="AV1007" s="56"/>
      <c r="AW1007" s="56"/>
    </row>
    <row r="1008" spans="1:49" ht="15.75" customHeight="1" x14ac:dyDescent="0.15">
      <c r="A1008" s="56"/>
      <c r="B1008" s="56"/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389"/>
      <c r="P1008" s="55"/>
      <c r="Q1008" s="55"/>
      <c r="R1008" s="55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5"/>
      <c r="AD1008" s="55"/>
      <c r="AE1008" s="56"/>
      <c r="AF1008" s="56"/>
      <c r="AG1008" s="56"/>
      <c r="AH1008" s="56"/>
      <c r="AI1008" s="56"/>
      <c r="AJ1008" s="56"/>
      <c r="AK1008" s="56"/>
      <c r="AL1008" s="56"/>
      <c r="AM1008" s="56"/>
      <c r="AN1008" s="56"/>
      <c r="AO1008" s="56"/>
      <c r="AP1008" s="56"/>
      <c r="AQ1008" s="56"/>
      <c r="AR1008" s="56"/>
      <c r="AS1008" s="56"/>
      <c r="AT1008" s="56"/>
      <c r="AU1008" s="56"/>
      <c r="AV1008" s="56"/>
      <c r="AW1008" s="56"/>
    </row>
    <row r="1009" spans="1:49" ht="15.75" customHeight="1" x14ac:dyDescent="0.15">
      <c r="A1009" s="56"/>
      <c r="B1009" s="56"/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389"/>
      <c r="P1009" s="55"/>
      <c r="Q1009" s="55"/>
      <c r="R1009" s="55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  <c r="AC1009" s="55"/>
      <c r="AD1009" s="55"/>
      <c r="AE1009" s="56"/>
      <c r="AF1009" s="56"/>
      <c r="AG1009" s="56"/>
      <c r="AH1009" s="56"/>
      <c r="AI1009" s="56"/>
      <c r="AJ1009" s="56"/>
      <c r="AK1009" s="56"/>
      <c r="AL1009" s="56"/>
      <c r="AM1009" s="56"/>
      <c r="AN1009" s="56"/>
      <c r="AO1009" s="56"/>
      <c r="AP1009" s="56"/>
      <c r="AQ1009" s="56"/>
      <c r="AR1009" s="56"/>
      <c r="AS1009" s="56"/>
      <c r="AT1009" s="56"/>
      <c r="AU1009" s="56"/>
      <c r="AV1009" s="56"/>
      <c r="AW1009" s="56"/>
    </row>
    <row r="1010" spans="1:49" ht="15.75" customHeight="1" x14ac:dyDescent="0.15">
      <c r="A1010" s="56"/>
      <c r="B1010" s="56"/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389"/>
      <c r="P1010" s="55"/>
      <c r="Q1010" s="55"/>
      <c r="R1010" s="55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  <c r="AC1010" s="55"/>
      <c r="AD1010" s="55"/>
      <c r="AE1010" s="56"/>
      <c r="AF1010" s="56"/>
      <c r="AG1010" s="56"/>
      <c r="AH1010" s="56"/>
      <c r="AI1010" s="56"/>
      <c r="AJ1010" s="56"/>
      <c r="AK1010" s="56"/>
      <c r="AL1010" s="56"/>
      <c r="AM1010" s="56"/>
      <c r="AN1010" s="56"/>
      <c r="AO1010" s="56"/>
      <c r="AP1010" s="56"/>
      <c r="AQ1010" s="56"/>
      <c r="AR1010" s="56"/>
      <c r="AS1010" s="56"/>
      <c r="AT1010" s="56"/>
      <c r="AU1010" s="56"/>
      <c r="AV1010" s="56"/>
      <c r="AW1010" s="56"/>
    </row>
    <row r="1011" spans="1:49" ht="15.75" customHeight="1" x14ac:dyDescent="0.15">
      <c r="A1011" s="56"/>
      <c r="B1011" s="56"/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389"/>
      <c r="P1011" s="55"/>
      <c r="Q1011" s="55"/>
      <c r="R1011" s="55"/>
      <c r="S1011" s="56"/>
      <c r="T1011" s="56"/>
      <c r="U1011" s="56"/>
      <c r="V1011" s="56"/>
      <c r="W1011" s="56"/>
      <c r="X1011" s="56"/>
      <c r="Y1011" s="56"/>
      <c r="Z1011" s="56"/>
      <c r="AA1011" s="56"/>
      <c r="AB1011" s="56"/>
      <c r="AC1011" s="55"/>
      <c r="AD1011" s="55"/>
      <c r="AE1011" s="56"/>
      <c r="AF1011" s="56"/>
      <c r="AG1011" s="56"/>
      <c r="AH1011" s="56"/>
      <c r="AI1011" s="56"/>
      <c r="AJ1011" s="56"/>
      <c r="AK1011" s="56"/>
      <c r="AL1011" s="56"/>
      <c r="AM1011" s="56"/>
      <c r="AN1011" s="56"/>
      <c r="AO1011" s="56"/>
      <c r="AP1011" s="56"/>
      <c r="AQ1011" s="56"/>
      <c r="AR1011" s="56"/>
      <c r="AS1011" s="56"/>
      <c r="AT1011" s="56"/>
      <c r="AU1011" s="56"/>
      <c r="AV1011" s="56"/>
      <c r="AW1011" s="56"/>
    </row>
    <row r="1012" spans="1:49" ht="15.75" customHeight="1" x14ac:dyDescent="0.15">
      <c r="A1012" s="56"/>
      <c r="B1012" s="56"/>
      <c r="C1012" s="56"/>
      <c r="D1012" s="56"/>
      <c r="E1012" s="56"/>
      <c r="F1012" s="56"/>
      <c r="G1012" s="56"/>
      <c r="H1012" s="56"/>
      <c r="I1012" s="56"/>
      <c r="J1012" s="56"/>
      <c r="K1012" s="56"/>
      <c r="L1012" s="56"/>
      <c r="M1012" s="56"/>
      <c r="N1012" s="56"/>
      <c r="O1012" s="389"/>
      <c r="P1012" s="55"/>
      <c r="Q1012" s="55"/>
      <c r="R1012" s="55"/>
      <c r="S1012" s="56"/>
      <c r="T1012" s="56"/>
      <c r="U1012" s="56"/>
      <c r="V1012" s="56"/>
      <c r="W1012" s="56"/>
      <c r="X1012" s="56"/>
      <c r="Y1012" s="56"/>
      <c r="Z1012" s="56"/>
      <c r="AA1012" s="56"/>
      <c r="AB1012" s="56"/>
      <c r="AC1012" s="55"/>
      <c r="AD1012" s="55"/>
      <c r="AE1012" s="56"/>
      <c r="AF1012" s="56"/>
      <c r="AG1012" s="56"/>
      <c r="AH1012" s="56"/>
      <c r="AI1012" s="56"/>
      <c r="AJ1012" s="56"/>
      <c r="AK1012" s="56"/>
      <c r="AL1012" s="56"/>
      <c r="AM1012" s="56"/>
      <c r="AN1012" s="56"/>
      <c r="AO1012" s="56"/>
      <c r="AP1012" s="56"/>
      <c r="AQ1012" s="56"/>
      <c r="AR1012" s="56"/>
      <c r="AS1012" s="56"/>
      <c r="AT1012" s="56"/>
      <c r="AU1012" s="56"/>
      <c r="AV1012" s="56"/>
      <c r="AW1012" s="56"/>
    </row>
    <row r="1013" spans="1:49" ht="15.75" customHeight="1" x14ac:dyDescent="0.15">
      <c r="A1013" s="56"/>
      <c r="B1013" s="56"/>
      <c r="C1013" s="56"/>
      <c r="D1013" s="56"/>
      <c r="E1013" s="56"/>
      <c r="F1013" s="56"/>
      <c r="G1013" s="56"/>
      <c r="H1013" s="56"/>
      <c r="I1013" s="56"/>
      <c r="J1013" s="56"/>
      <c r="K1013" s="56"/>
      <c r="L1013" s="56"/>
      <c r="M1013" s="56"/>
      <c r="N1013" s="56"/>
      <c r="O1013" s="389"/>
      <c r="P1013" s="55"/>
      <c r="Q1013" s="55"/>
      <c r="R1013" s="55"/>
      <c r="S1013" s="56"/>
      <c r="T1013" s="56"/>
      <c r="U1013" s="56"/>
      <c r="V1013" s="56"/>
      <c r="W1013" s="56"/>
      <c r="X1013" s="56"/>
      <c r="Y1013" s="56"/>
      <c r="Z1013" s="56"/>
      <c r="AA1013" s="56"/>
      <c r="AB1013" s="56"/>
      <c r="AC1013" s="55"/>
      <c r="AD1013" s="55"/>
      <c r="AE1013" s="56"/>
      <c r="AF1013" s="56"/>
      <c r="AG1013" s="56"/>
      <c r="AH1013" s="56"/>
      <c r="AI1013" s="56"/>
      <c r="AJ1013" s="56"/>
      <c r="AK1013" s="56"/>
      <c r="AL1013" s="56"/>
      <c r="AM1013" s="56"/>
      <c r="AN1013" s="56"/>
      <c r="AO1013" s="56"/>
      <c r="AP1013" s="56"/>
      <c r="AQ1013" s="56"/>
      <c r="AR1013" s="56"/>
      <c r="AS1013" s="56"/>
      <c r="AT1013" s="56"/>
      <c r="AU1013" s="56"/>
      <c r="AV1013" s="56"/>
      <c r="AW1013" s="56"/>
    </row>
    <row r="1014" spans="1:49" ht="15.75" customHeight="1" x14ac:dyDescent="0.15">
      <c r="A1014" s="56"/>
      <c r="B1014" s="56"/>
      <c r="C1014" s="56"/>
      <c r="D1014" s="56"/>
      <c r="E1014" s="56"/>
      <c r="F1014" s="56"/>
      <c r="G1014" s="56"/>
      <c r="H1014" s="56"/>
      <c r="I1014" s="56"/>
      <c r="J1014" s="56"/>
      <c r="K1014" s="56"/>
      <c r="L1014" s="56"/>
      <c r="M1014" s="56"/>
      <c r="N1014" s="56"/>
      <c r="O1014" s="389"/>
      <c r="P1014" s="55"/>
      <c r="Q1014" s="55"/>
      <c r="R1014" s="55"/>
      <c r="S1014" s="56"/>
      <c r="T1014" s="56"/>
      <c r="U1014" s="56"/>
      <c r="V1014" s="56"/>
      <c r="W1014" s="56"/>
      <c r="X1014" s="56"/>
      <c r="Y1014" s="56"/>
      <c r="Z1014" s="56"/>
      <c r="AA1014" s="56"/>
      <c r="AB1014" s="56"/>
      <c r="AC1014" s="55"/>
      <c r="AD1014" s="55"/>
      <c r="AE1014" s="56"/>
      <c r="AF1014" s="56"/>
      <c r="AG1014" s="56"/>
      <c r="AH1014" s="56"/>
      <c r="AI1014" s="56"/>
      <c r="AJ1014" s="56"/>
      <c r="AK1014" s="56"/>
      <c r="AL1014" s="56"/>
      <c r="AM1014" s="56"/>
      <c r="AN1014" s="56"/>
      <c r="AO1014" s="56"/>
      <c r="AP1014" s="56"/>
      <c r="AQ1014" s="56"/>
      <c r="AR1014" s="56"/>
      <c r="AS1014" s="56"/>
      <c r="AT1014" s="56"/>
      <c r="AU1014" s="56"/>
      <c r="AV1014" s="56"/>
      <c r="AW1014" s="56"/>
    </row>
    <row r="1015" spans="1:49" ht="15.75" customHeight="1" x14ac:dyDescent="0.15">
      <c r="A1015" s="56"/>
      <c r="B1015" s="56"/>
      <c r="C1015" s="56"/>
      <c r="D1015" s="56"/>
      <c r="E1015" s="56"/>
      <c r="F1015" s="56"/>
      <c r="G1015" s="56"/>
      <c r="H1015" s="56"/>
      <c r="I1015" s="56"/>
      <c r="J1015" s="56"/>
      <c r="K1015" s="56"/>
      <c r="L1015" s="56"/>
      <c r="M1015" s="56"/>
      <c r="N1015" s="56"/>
      <c r="O1015" s="389"/>
      <c r="P1015" s="55"/>
      <c r="Q1015" s="55"/>
      <c r="R1015" s="55"/>
      <c r="S1015" s="56"/>
      <c r="T1015" s="56"/>
      <c r="U1015" s="56"/>
      <c r="V1015" s="56"/>
      <c r="W1015" s="56"/>
      <c r="X1015" s="56"/>
      <c r="Y1015" s="56"/>
      <c r="Z1015" s="56"/>
      <c r="AA1015" s="56"/>
      <c r="AB1015" s="56"/>
      <c r="AC1015" s="55"/>
      <c r="AD1015" s="55"/>
      <c r="AE1015" s="56"/>
      <c r="AF1015" s="56"/>
      <c r="AG1015" s="56"/>
      <c r="AH1015" s="56"/>
      <c r="AI1015" s="56"/>
      <c r="AJ1015" s="56"/>
      <c r="AK1015" s="56"/>
      <c r="AL1015" s="56"/>
      <c r="AM1015" s="56"/>
      <c r="AN1015" s="56"/>
      <c r="AO1015" s="56"/>
      <c r="AP1015" s="56"/>
      <c r="AQ1015" s="56"/>
      <c r="AR1015" s="56"/>
      <c r="AS1015" s="56"/>
      <c r="AT1015" s="56"/>
      <c r="AU1015" s="56"/>
      <c r="AV1015" s="56"/>
      <c r="AW1015" s="56"/>
    </row>
    <row r="1016" spans="1:49" ht="15.75" customHeight="1" x14ac:dyDescent="0.15">
      <c r="A1016" s="56"/>
      <c r="B1016" s="56"/>
      <c r="C1016" s="56"/>
      <c r="D1016" s="56"/>
      <c r="E1016" s="56"/>
      <c r="F1016" s="56"/>
      <c r="G1016" s="56"/>
      <c r="H1016" s="56"/>
      <c r="I1016" s="56"/>
      <c r="J1016" s="56"/>
      <c r="K1016" s="56"/>
      <c r="L1016" s="56"/>
      <c r="M1016" s="56"/>
      <c r="N1016" s="56"/>
      <c r="O1016" s="389"/>
      <c r="P1016" s="55"/>
      <c r="Q1016" s="55"/>
      <c r="R1016" s="55"/>
      <c r="S1016" s="56"/>
      <c r="T1016" s="56"/>
      <c r="U1016" s="56"/>
      <c r="V1016" s="56"/>
      <c r="W1016" s="56"/>
      <c r="X1016" s="56"/>
      <c r="Y1016" s="56"/>
      <c r="Z1016" s="56"/>
      <c r="AA1016" s="56"/>
      <c r="AB1016" s="56"/>
      <c r="AC1016" s="55"/>
      <c r="AD1016" s="55"/>
      <c r="AE1016" s="56"/>
      <c r="AF1016" s="56"/>
      <c r="AG1016" s="56"/>
      <c r="AH1016" s="56"/>
      <c r="AI1016" s="56"/>
      <c r="AJ1016" s="56"/>
      <c r="AK1016" s="56"/>
      <c r="AL1016" s="56"/>
      <c r="AM1016" s="56"/>
      <c r="AN1016" s="56"/>
      <c r="AO1016" s="56"/>
      <c r="AP1016" s="56"/>
      <c r="AQ1016" s="56"/>
      <c r="AR1016" s="56"/>
      <c r="AS1016" s="56"/>
      <c r="AT1016" s="56"/>
      <c r="AU1016" s="56"/>
      <c r="AV1016" s="56"/>
      <c r="AW1016" s="56"/>
    </row>
    <row r="1017" spans="1:49" ht="15.75" customHeight="1" x14ac:dyDescent="0.15">
      <c r="A1017" s="56"/>
      <c r="B1017" s="56"/>
      <c r="C1017" s="56"/>
      <c r="D1017" s="56"/>
      <c r="E1017" s="56"/>
      <c r="F1017" s="56"/>
      <c r="G1017" s="56"/>
      <c r="H1017" s="56"/>
      <c r="I1017" s="56"/>
      <c r="J1017" s="56"/>
      <c r="K1017" s="56"/>
      <c r="L1017" s="56"/>
      <c r="M1017" s="56"/>
      <c r="N1017" s="56"/>
      <c r="O1017" s="389"/>
      <c r="P1017" s="55"/>
      <c r="Q1017" s="55"/>
      <c r="R1017" s="55"/>
      <c r="S1017" s="56"/>
      <c r="T1017" s="56"/>
      <c r="U1017" s="56"/>
      <c r="V1017" s="56"/>
      <c r="W1017" s="56"/>
      <c r="X1017" s="56"/>
      <c r="Y1017" s="56"/>
      <c r="Z1017" s="56"/>
      <c r="AA1017" s="56"/>
      <c r="AB1017" s="56"/>
      <c r="AC1017" s="55"/>
      <c r="AD1017" s="55"/>
      <c r="AE1017" s="56"/>
      <c r="AF1017" s="56"/>
      <c r="AG1017" s="56"/>
      <c r="AH1017" s="56"/>
      <c r="AI1017" s="56"/>
      <c r="AJ1017" s="56"/>
      <c r="AK1017" s="56"/>
      <c r="AL1017" s="56"/>
      <c r="AM1017" s="56"/>
      <c r="AN1017" s="56"/>
      <c r="AO1017" s="56"/>
      <c r="AP1017" s="56"/>
      <c r="AQ1017" s="56"/>
      <c r="AR1017" s="56"/>
      <c r="AS1017" s="56"/>
      <c r="AT1017" s="56"/>
      <c r="AU1017" s="56"/>
      <c r="AV1017" s="56"/>
      <c r="AW1017" s="56"/>
    </row>
    <row r="1018" spans="1:49" ht="15.75" customHeight="1" x14ac:dyDescent="0.15">
      <c r="A1018" s="56"/>
      <c r="B1018" s="56"/>
      <c r="C1018" s="56"/>
      <c r="D1018" s="56"/>
      <c r="E1018" s="56"/>
      <c r="F1018" s="56"/>
      <c r="G1018" s="56"/>
      <c r="H1018" s="56"/>
      <c r="I1018" s="56"/>
      <c r="J1018" s="56"/>
      <c r="K1018" s="56"/>
      <c r="L1018" s="56"/>
      <c r="M1018" s="56"/>
      <c r="N1018" s="56"/>
      <c r="O1018" s="389"/>
      <c r="P1018" s="55"/>
      <c r="Q1018" s="55"/>
      <c r="R1018" s="55"/>
      <c r="S1018" s="56"/>
      <c r="T1018" s="56"/>
      <c r="U1018" s="56"/>
      <c r="V1018" s="56"/>
      <c r="W1018" s="56"/>
      <c r="X1018" s="56"/>
      <c r="Y1018" s="56"/>
      <c r="Z1018" s="56"/>
      <c r="AA1018" s="56"/>
      <c r="AB1018" s="56"/>
      <c r="AC1018" s="55"/>
      <c r="AD1018" s="55"/>
      <c r="AE1018" s="56"/>
      <c r="AF1018" s="56"/>
      <c r="AG1018" s="56"/>
      <c r="AH1018" s="56"/>
      <c r="AI1018" s="56"/>
      <c r="AJ1018" s="56"/>
      <c r="AK1018" s="56"/>
      <c r="AL1018" s="56"/>
      <c r="AM1018" s="56"/>
      <c r="AN1018" s="56"/>
      <c r="AO1018" s="56"/>
      <c r="AP1018" s="56"/>
      <c r="AQ1018" s="56"/>
      <c r="AR1018" s="56"/>
      <c r="AS1018" s="56"/>
      <c r="AT1018" s="56"/>
      <c r="AU1018" s="56"/>
      <c r="AV1018" s="56"/>
      <c r="AW1018" s="56"/>
    </row>
    <row r="1019" spans="1:49" ht="15.75" customHeight="1" x14ac:dyDescent="0.15">
      <c r="A1019" s="56"/>
      <c r="B1019" s="56"/>
      <c r="C1019" s="56"/>
      <c r="D1019" s="56"/>
      <c r="E1019" s="56"/>
      <c r="F1019" s="56"/>
      <c r="G1019" s="56"/>
      <c r="H1019" s="56"/>
      <c r="I1019" s="56"/>
      <c r="J1019" s="56"/>
      <c r="K1019" s="56"/>
      <c r="L1019" s="56"/>
      <c r="M1019" s="56"/>
      <c r="N1019" s="56"/>
      <c r="O1019" s="389"/>
      <c r="P1019" s="55"/>
      <c r="Q1019" s="55"/>
      <c r="R1019" s="55"/>
      <c r="S1019" s="56"/>
      <c r="T1019" s="56"/>
      <c r="U1019" s="56"/>
      <c r="V1019" s="56"/>
      <c r="W1019" s="56"/>
      <c r="X1019" s="56"/>
      <c r="Y1019" s="56"/>
      <c r="Z1019" s="56"/>
      <c r="AA1019" s="56"/>
      <c r="AB1019" s="56"/>
      <c r="AC1019" s="55"/>
      <c r="AD1019" s="55"/>
      <c r="AE1019" s="56"/>
      <c r="AF1019" s="56"/>
      <c r="AG1019" s="56"/>
      <c r="AH1019" s="56"/>
      <c r="AI1019" s="56"/>
      <c r="AJ1019" s="56"/>
      <c r="AK1019" s="56"/>
      <c r="AL1019" s="56"/>
      <c r="AM1019" s="56"/>
      <c r="AN1019" s="56"/>
      <c r="AO1019" s="56"/>
      <c r="AP1019" s="56"/>
      <c r="AQ1019" s="56"/>
      <c r="AR1019" s="56"/>
      <c r="AS1019" s="56"/>
      <c r="AT1019" s="56"/>
      <c r="AU1019" s="56"/>
      <c r="AV1019" s="56"/>
      <c r="AW1019" s="56"/>
    </row>
    <row r="1020" spans="1:49" ht="15.75" customHeight="1" x14ac:dyDescent="0.15">
      <c r="A1020" s="56"/>
      <c r="B1020" s="56"/>
      <c r="C1020" s="56"/>
      <c r="D1020" s="56"/>
      <c r="E1020" s="56"/>
      <c r="F1020" s="56"/>
      <c r="G1020" s="56"/>
      <c r="H1020" s="56"/>
      <c r="I1020" s="56"/>
      <c r="J1020" s="56"/>
      <c r="K1020" s="56"/>
      <c r="L1020" s="56"/>
      <c r="M1020" s="56"/>
      <c r="N1020" s="56"/>
      <c r="O1020" s="389"/>
      <c r="P1020" s="55"/>
      <c r="Q1020" s="55"/>
      <c r="R1020" s="55"/>
      <c r="S1020" s="56"/>
      <c r="T1020" s="56"/>
      <c r="U1020" s="56"/>
      <c r="V1020" s="56"/>
      <c r="W1020" s="56"/>
      <c r="X1020" s="56"/>
      <c r="Y1020" s="56"/>
      <c r="Z1020" s="56"/>
      <c r="AA1020" s="56"/>
      <c r="AB1020" s="56"/>
      <c r="AC1020" s="55"/>
      <c r="AD1020" s="55"/>
      <c r="AE1020" s="56"/>
      <c r="AF1020" s="56"/>
      <c r="AG1020" s="56"/>
      <c r="AH1020" s="56"/>
      <c r="AI1020" s="56"/>
      <c r="AJ1020" s="56"/>
      <c r="AK1020" s="56"/>
      <c r="AL1020" s="56"/>
      <c r="AM1020" s="56"/>
      <c r="AN1020" s="56"/>
      <c r="AO1020" s="56"/>
      <c r="AP1020" s="56"/>
      <c r="AQ1020" s="56"/>
      <c r="AR1020" s="56"/>
      <c r="AS1020" s="56"/>
      <c r="AT1020" s="56"/>
      <c r="AU1020" s="56"/>
      <c r="AV1020" s="56"/>
      <c r="AW1020" s="56"/>
    </row>
    <row r="1021" spans="1:49" ht="15.75" customHeight="1" x14ac:dyDescent="0.15">
      <c r="A1021" s="56"/>
      <c r="B1021" s="56"/>
      <c r="C1021" s="56"/>
      <c r="D1021" s="56"/>
      <c r="E1021" s="56"/>
      <c r="F1021" s="56"/>
      <c r="G1021" s="56"/>
      <c r="H1021" s="56"/>
      <c r="I1021" s="56"/>
      <c r="J1021" s="56"/>
      <c r="K1021" s="56"/>
      <c r="L1021" s="56"/>
      <c r="M1021" s="56"/>
      <c r="N1021" s="56"/>
      <c r="O1021" s="389"/>
      <c r="P1021" s="55"/>
      <c r="Q1021" s="55"/>
      <c r="R1021" s="55"/>
      <c r="S1021" s="56"/>
      <c r="T1021" s="56"/>
      <c r="U1021" s="56"/>
      <c r="V1021" s="56"/>
      <c r="W1021" s="56"/>
      <c r="X1021" s="56"/>
      <c r="Y1021" s="56"/>
      <c r="Z1021" s="56"/>
      <c r="AA1021" s="56"/>
      <c r="AB1021" s="56"/>
      <c r="AC1021" s="55"/>
      <c r="AD1021" s="55"/>
      <c r="AE1021" s="56"/>
      <c r="AF1021" s="56"/>
      <c r="AG1021" s="56"/>
      <c r="AH1021" s="56"/>
      <c r="AI1021" s="56"/>
      <c r="AJ1021" s="56"/>
      <c r="AK1021" s="56"/>
      <c r="AL1021" s="56"/>
      <c r="AM1021" s="56"/>
      <c r="AN1021" s="56"/>
      <c r="AO1021" s="56"/>
      <c r="AP1021" s="56"/>
      <c r="AQ1021" s="56"/>
      <c r="AR1021" s="56"/>
      <c r="AS1021" s="56"/>
      <c r="AT1021" s="56"/>
      <c r="AU1021" s="56"/>
      <c r="AV1021" s="56"/>
      <c r="AW1021" s="56"/>
    </row>
    <row r="1022" spans="1:49" ht="15.75" customHeight="1" x14ac:dyDescent="0.15">
      <c r="A1022" s="56"/>
      <c r="B1022" s="56"/>
      <c r="C1022" s="56"/>
      <c r="D1022" s="56"/>
      <c r="E1022" s="56"/>
      <c r="F1022" s="56"/>
      <c r="G1022" s="56"/>
      <c r="H1022" s="56"/>
      <c r="I1022" s="56"/>
      <c r="J1022" s="56"/>
      <c r="K1022" s="56"/>
      <c r="L1022" s="56"/>
      <c r="M1022" s="56"/>
      <c r="N1022" s="56"/>
      <c r="O1022" s="389"/>
      <c r="P1022" s="55"/>
      <c r="Q1022" s="55"/>
      <c r="R1022" s="55"/>
      <c r="S1022" s="56"/>
      <c r="T1022" s="56"/>
      <c r="U1022" s="56"/>
      <c r="V1022" s="56"/>
      <c r="W1022" s="56"/>
      <c r="X1022" s="56"/>
      <c r="Y1022" s="56"/>
      <c r="Z1022" s="56"/>
      <c r="AA1022" s="56"/>
      <c r="AB1022" s="56"/>
      <c r="AC1022" s="55"/>
      <c r="AD1022" s="55"/>
      <c r="AE1022" s="56"/>
      <c r="AF1022" s="56"/>
      <c r="AG1022" s="56"/>
      <c r="AH1022" s="56"/>
      <c r="AI1022" s="56"/>
      <c r="AJ1022" s="56"/>
      <c r="AK1022" s="56"/>
      <c r="AL1022" s="56"/>
      <c r="AM1022" s="56"/>
      <c r="AN1022" s="56"/>
      <c r="AO1022" s="56"/>
      <c r="AP1022" s="56"/>
      <c r="AQ1022" s="56"/>
      <c r="AR1022" s="56"/>
      <c r="AS1022" s="56"/>
      <c r="AT1022" s="56"/>
      <c r="AU1022" s="56"/>
      <c r="AV1022" s="56"/>
      <c r="AW1022" s="56"/>
    </row>
    <row r="1023" spans="1:49" ht="15.75" customHeight="1" x14ac:dyDescent="0.15">
      <c r="A1023" s="56"/>
      <c r="B1023" s="56"/>
      <c r="C1023" s="56"/>
      <c r="D1023" s="56"/>
      <c r="E1023" s="56"/>
      <c r="F1023" s="56"/>
      <c r="G1023" s="56"/>
      <c r="H1023" s="56"/>
      <c r="I1023" s="56"/>
      <c r="J1023" s="56"/>
      <c r="K1023" s="56"/>
      <c r="L1023" s="56"/>
      <c r="M1023" s="56"/>
      <c r="N1023" s="56"/>
      <c r="O1023" s="389"/>
      <c r="P1023" s="55"/>
      <c r="Q1023" s="55"/>
      <c r="R1023" s="55"/>
      <c r="S1023" s="56"/>
      <c r="T1023" s="56"/>
      <c r="U1023" s="56"/>
      <c r="V1023" s="56"/>
      <c r="W1023" s="56"/>
      <c r="X1023" s="56"/>
      <c r="Y1023" s="56"/>
      <c r="Z1023" s="56"/>
      <c r="AA1023" s="56"/>
      <c r="AB1023" s="56"/>
      <c r="AC1023" s="55"/>
      <c r="AD1023" s="55"/>
      <c r="AE1023" s="56"/>
      <c r="AF1023" s="56"/>
      <c r="AG1023" s="56"/>
      <c r="AH1023" s="56"/>
      <c r="AI1023" s="56"/>
      <c r="AJ1023" s="56"/>
      <c r="AK1023" s="56"/>
      <c r="AL1023" s="56"/>
      <c r="AM1023" s="56"/>
      <c r="AN1023" s="56"/>
      <c r="AO1023" s="56"/>
      <c r="AP1023" s="56"/>
      <c r="AQ1023" s="56"/>
      <c r="AR1023" s="56"/>
      <c r="AS1023" s="56"/>
      <c r="AT1023" s="56"/>
      <c r="AU1023" s="56"/>
      <c r="AV1023" s="56"/>
      <c r="AW1023" s="56"/>
    </row>
    <row r="1024" spans="1:49" ht="15.75" customHeight="1" x14ac:dyDescent="0.15">
      <c r="A1024" s="56"/>
      <c r="B1024" s="56"/>
      <c r="C1024" s="56"/>
      <c r="D1024" s="56"/>
      <c r="E1024" s="56"/>
      <c r="F1024" s="56"/>
      <c r="G1024" s="56"/>
      <c r="H1024" s="56"/>
      <c r="I1024" s="56"/>
      <c r="J1024" s="56"/>
      <c r="K1024" s="56"/>
      <c r="L1024" s="56"/>
      <c r="M1024" s="56"/>
      <c r="N1024" s="56"/>
      <c r="O1024" s="389"/>
      <c r="P1024" s="55"/>
      <c r="Q1024" s="55"/>
      <c r="R1024" s="55"/>
      <c r="S1024" s="56"/>
      <c r="T1024" s="56"/>
      <c r="U1024" s="56"/>
      <c r="V1024" s="56"/>
      <c r="W1024" s="56"/>
      <c r="X1024" s="56"/>
      <c r="Y1024" s="56"/>
      <c r="Z1024" s="56"/>
      <c r="AA1024" s="56"/>
      <c r="AB1024" s="56"/>
      <c r="AC1024" s="55"/>
      <c r="AD1024" s="55"/>
      <c r="AE1024" s="56"/>
      <c r="AF1024" s="56"/>
      <c r="AG1024" s="56"/>
      <c r="AH1024" s="56"/>
      <c r="AI1024" s="56"/>
      <c r="AJ1024" s="56"/>
      <c r="AK1024" s="56"/>
      <c r="AL1024" s="56"/>
      <c r="AM1024" s="56"/>
      <c r="AN1024" s="56"/>
      <c r="AO1024" s="56"/>
      <c r="AP1024" s="56"/>
      <c r="AQ1024" s="56"/>
      <c r="AR1024" s="56"/>
      <c r="AS1024" s="56"/>
      <c r="AT1024" s="56"/>
      <c r="AU1024" s="56"/>
      <c r="AV1024" s="56"/>
      <c r="AW1024" s="56"/>
    </row>
    <row r="1025" spans="1:49" ht="15.75" customHeight="1" x14ac:dyDescent="0.15">
      <c r="A1025" s="56"/>
      <c r="B1025" s="56"/>
      <c r="C1025" s="56"/>
      <c r="D1025" s="56"/>
      <c r="E1025" s="56"/>
      <c r="F1025" s="56"/>
      <c r="G1025" s="56"/>
      <c r="H1025" s="56"/>
      <c r="I1025" s="56"/>
      <c r="J1025" s="56"/>
      <c r="K1025" s="56"/>
      <c r="L1025" s="56"/>
      <c r="M1025" s="56"/>
      <c r="N1025" s="56"/>
      <c r="O1025" s="389"/>
      <c r="P1025" s="55"/>
      <c r="Q1025" s="55"/>
      <c r="R1025" s="55"/>
      <c r="S1025" s="56"/>
      <c r="T1025" s="56"/>
      <c r="U1025" s="56"/>
      <c r="V1025" s="56"/>
      <c r="W1025" s="56"/>
      <c r="X1025" s="56"/>
      <c r="Y1025" s="56"/>
      <c r="Z1025" s="56"/>
      <c r="AA1025" s="56"/>
      <c r="AB1025" s="56"/>
      <c r="AC1025" s="55"/>
      <c r="AD1025" s="55"/>
      <c r="AE1025" s="56"/>
      <c r="AF1025" s="56"/>
      <c r="AG1025" s="56"/>
      <c r="AH1025" s="56"/>
      <c r="AI1025" s="56"/>
      <c r="AJ1025" s="56"/>
      <c r="AK1025" s="56"/>
      <c r="AL1025" s="56"/>
      <c r="AM1025" s="56"/>
      <c r="AN1025" s="56"/>
      <c r="AO1025" s="56"/>
      <c r="AP1025" s="56"/>
      <c r="AQ1025" s="56"/>
      <c r="AR1025" s="56"/>
      <c r="AS1025" s="56"/>
      <c r="AT1025" s="56"/>
      <c r="AU1025" s="56"/>
      <c r="AV1025" s="56"/>
      <c r="AW1025" s="56"/>
    </row>
    <row r="1026" spans="1:49" ht="15.75" customHeight="1" x14ac:dyDescent="0.15">
      <c r="A1026" s="56"/>
      <c r="B1026" s="56"/>
      <c r="C1026" s="56"/>
      <c r="D1026" s="56"/>
      <c r="E1026" s="56"/>
      <c r="F1026" s="56"/>
      <c r="G1026" s="56"/>
      <c r="H1026" s="56"/>
      <c r="I1026" s="56"/>
      <c r="J1026" s="56"/>
      <c r="K1026" s="56"/>
      <c r="L1026" s="56"/>
      <c r="M1026" s="56"/>
      <c r="N1026" s="56"/>
      <c r="O1026" s="389"/>
      <c r="P1026" s="55"/>
      <c r="Q1026" s="55"/>
      <c r="R1026" s="55"/>
      <c r="S1026" s="56"/>
      <c r="T1026" s="56"/>
      <c r="U1026" s="56"/>
      <c r="V1026" s="56"/>
      <c r="W1026" s="56"/>
      <c r="X1026" s="56"/>
      <c r="Y1026" s="56"/>
      <c r="Z1026" s="56"/>
      <c r="AA1026" s="56"/>
      <c r="AB1026" s="56"/>
      <c r="AC1026" s="55"/>
      <c r="AD1026" s="55"/>
      <c r="AE1026" s="56"/>
      <c r="AF1026" s="56"/>
      <c r="AG1026" s="56"/>
      <c r="AH1026" s="56"/>
      <c r="AI1026" s="56"/>
      <c r="AJ1026" s="56"/>
      <c r="AK1026" s="56"/>
      <c r="AL1026" s="56"/>
      <c r="AM1026" s="56"/>
      <c r="AN1026" s="56"/>
      <c r="AO1026" s="56"/>
      <c r="AP1026" s="56"/>
      <c r="AQ1026" s="56"/>
      <c r="AR1026" s="56"/>
      <c r="AS1026" s="56"/>
      <c r="AT1026" s="56"/>
      <c r="AU1026" s="56"/>
      <c r="AV1026" s="56"/>
      <c r="AW1026" s="56"/>
    </row>
    <row r="1027" spans="1:49" ht="15.75" customHeight="1" x14ac:dyDescent="0.15">
      <c r="A1027" s="56"/>
      <c r="B1027" s="56"/>
      <c r="C1027" s="56"/>
      <c r="D1027" s="56"/>
      <c r="E1027" s="56"/>
      <c r="F1027" s="56"/>
      <c r="G1027" s="56"/>
      <c r="H1027" s="56"/>
      <c r="I1027" s="56"/>
      <c r="J1027" s="56"/>
      <c r="K1027" s="56"/>
      <c r="L1027" s="56"/>
      <c r="M1027" s="56"/>
      <c r="N1027" s="56"/>
      <c r="O1027" s="389"/>
      <c r="P1027" s="55"/>
      <c r="Q1027" s="55"/>
      <c r="R1027" s="55"/>
      <c r="S1027" s="56"/>
      <c r="T1027" s="56"/>
      <c r="U1027" s="56"/>
      <c r="V1027" s="56"/>
      <c r="W1027" s="56"/>
      <c r="X1027" s="56"/>
      <c r="Y1027" s="56"/>
      <c r="Z1027" s="56"/>
      <c r="AA1027" s="56"/>
      <c r="AB1027" s="56"/>
      <c r="AC1027" s="55"/>
      <c r="AD1027" s="55"/>
      <c r="AE1027" s="56"/>
      <c r="AF1027" s="56"/>
      <c r="AG1027" s="56"/>
      <c r="AH1027" s="56"/>
      <c r="AI1027" s="56"/>
      <c r="AJ1027" s="56"/>
      <c r="AK1027" s="56"/>
      <c r="AL1027" s="56"/>
      <c r="AM1027" s="56"/>
      <c r="AN1027" s="56"/>
      <c r="AO1027" s="56"/>
      <c r="AP1027" s="56"/>
      <c r="AQ1027" s="56"/>
      <c r="AR1027" s="56"/>
      <c r="AS1027" s="56"/>
      <c r="AT1027" s="56"/>
      <c r="AU1027" s="56"/>
      <c r="AV1027" s="56"/>
      <c r="AW1027" s="56"/>
    </row>
    <row r="1028" spans="1:49" ht="15.75" customHeight="1" x14ac:dyDescent="0.15">
      <c r="A1028" s="56"/>
      <c r="B1028" s="56"/>
      <c r="C1028" s="56"/>
      <c r="D1028" s="56"/>
      <c r="E1028" s="56"/>
      <c r="F1028" s="56"/>
      <c r="G1028" s="56"/>
      <c r="H1028" s="56"/>
      <c r="I1028" s="56"/>
      <c r="J1028" s="56"/>
      <c r="K1028" s="56"/>
      <c r="L1028" s="56"/>
      <c r="M1028" s="56"/>
      <c r="N1028" s="56"/>
      <c r="O1028" s="389"/>
      <c r="P1028" s="55"/>
      <c r="Q1028" s="55"/>
      <c r="R1028" s="55"/>
      <c r="S1028" s="56"/>
      <c r="T1028" s="56"/>
      <c r="U1028" s="56"/>
      <c r="V1028" s="56"/>
      <c r="W1028" s="56"/>
      <c r="X1028" s="56"/>
      <c r="Y1028" s="56"/>
      <c r="Z1028" s="56"/>
      <c r="AA1028" s="56"/>
      <c r="AB1028" s="56"/>
      <c r="AC1028" s="55"/>
      <c r="AD1028" s="55"/>
      <c r="AE1028" s="56"/>
      <c r="AF1028" s="56"/>
      <c r="AG1028" s="56"/>
      <c r="AH1028" s="56"/>
      <c r="AI1028" s="56"/>
      <c r="AJ1028" s="56"/>
      <c r="AK1028" s="56"/>
      <c r="AL1028" s="56"/>
      <c r="AM1028" s="56"/>
      <c r="AN1028" s="56"/>
      <c r="AO1028" s="56"/>
      <c r="AP1028" s="56"/>
      <c r="AQ1028" s="56"/>
      <c r="AR1028" s="56"/>
      <c r="AS1028" s="56"/>
      <c r="AT1028" s="56"/>
      <c r="AU1028" s="56"/>
      <c r="AV1028" s="56"/>
      <c r="AW1028" s="56"/>
    </row>
    <row r="1029" spans="1:49" ht="15.75" customHeight="1" x14ac:dyDescent="0.15">
      <c r="A1029" s="56"/>
      <c r="B1029" s="56"/>
      <c r="C1029" s="56"/>
      <c r="D1029" s="56"/>
      <c r="E1029" s="56"/>
      <c r="F1029" s="56"/>
      <c r="G1029" s="56"/>
      <c r="H1029" s="56"/>
      <c r="I1029" s="56"/>
      <c r="J1029" s="56"/>
      <c r="K1029" s="56"/>
      <c r="L1029" s="56"/>
      <c r="M1029" s="56"/>
      <c r="N1029" s="56"/>
      <c r="O1029" s="389"/>
      <c r="P1029" s="55"/>
      <c r="Q1029" s="55"/>
      <c r="R1029" s="55"/>
      <c r="S1029" s="56"/>
      <c r="T1029" s="56"/>
      <c r="U1029" s="56"/>
      <c r="V1029" s="56"/>
      <c r="W1029" s="56"/>
      <c r="X1029" s="56"/>
      <c r="Y1029" s="56"/>
      <c r="Z1029" s="56"/>
      <c r="AA1029" s="56"/>
      <c r="AB1029" s="56"/>
      <c r="AC1029" s="55"/>
      <c r="AD1029" s="55"/>
      <c r="AE1029" s="56"/>
      <c r="AF1029" s="56"/>
      <c r="AG1029" s="56"/>
      <c r="AH1029" s="56"/>
      <c r="AI1029" s="56"/>
      <c r="AJ1029" s="56"/>
      <c r="AK1029" s="56"/>
      <c r="AL1029" s="56"/>
      <c r="AM1029" s="56"/>
      <c r="AN1029" s="56"/>
      <c r="AO1029" s="56"/>
      <c r="AP1029" s="56"/>
      <c r="AQ1029" s="56"/>
      <c r="AR1029" s="56"/>
      <c r="AS1029" s="56"/>
      <c r="AT1029" s="56"/>
      <c r="AU1029" s="56"/>
      <c r="AV1029" s="56"/>
      <c r="AW1029" s="56"/>
    </row>
    <row r="1030" spans="1:49" ht="15.75" customHeight="1" x14ac:dyDescent="0.15">
      <c r="A1030" s="56"/>
      <c r="B1030" s="56"/>
      <c r="C1030" s="56"/>
      <c r="D1030" s="56"/>
      <c r="E1030" s="56"/>
      <c r="F1030" s="56"/>
      <c r="G1030" s="56"/>
      <c r="H1030" s="56"/>
      <c r="I1030" s="56"/>
      <c r="J1030" s="56"/>
      <c r="K1030" s="56"/>
      <c r="L1030" s="56"/>
      <c r="M1030" s="56"/>
      <c r="N1030" s="56"/>
      <c r="O1030" s="389"/>
      <c r="P1030" s="55"/>
      <c r="Q1030" s="55"/>
      <c r="R1030" s="55"/>
      <c r="S1030" s="56"/>
      <c r="T1030" s="56"/>
      <c r="U1030" s="56"/>
      <c r="V1030" s="56"/>
      <c r="W1030" s="56"/>
      <c r="X1030" s="56"/>
      <c r="Y1030" s="56"/>
      <c r="Z1030" s="56"/>
      <c r="AA1030" s="56"/>
      <c r="AB1030" s="56"/>
      <c r="AC1030" s="55"/>
      <c r="AD1030" s="55"/>
      <c r="AE1030" s="56"/>
      <c r="AF1030" s="56"/>
      <c r="AG1030" s="56"/>
      <c r="AH1030" s="56"/>
      <c r="AI1030" s="56"/>
      <c r="AJ1030" s="56"/>
      <c r="AK1030" s="56"/>
      <c r="AL1030" s="56"/>
      <c r="AM1030" s="56"/>
      <c r="AN1030" s="56"/>
      <c r="AO1030" s="56"/>
      <c r="AP1030" s="56"/>
      <c r="AQ1030" s="56"/>
      <c r="AR1030" s="56"/>
      <c r="AS1030" s="56"/>
      <c r="AT1030" s="56"/>
      <c r="AU1030" s="56"/>
      <c r="AV1030" s="56"/>
      <c r="AW1030" s="56"/>
    </row>
    <row r="1031" spans="1:49" ht="15.75" customHeight="1" x14ac:dyDescent="0.15">
      <c r="A1031" s="56"/>
      <c r="B1031" s="56"/>
      <c r="C1031" s="56"/>
      <c r="D1031" s="56"/>
      <c r="E1031" s="56"/>
      <c r="F1031" s="56"/>
      <c r="G1031" s="56"/>
      <c r="H1031" s="56"/>
      <c r="I1031" s="56"/>
      <c r="J1031" s="56"/>
      <c r="K1031" s="56"/>
      <c r="L1031" s="56"/>
      <c r="M1031" s="56"/>
      <c r="N1031" s="56"/>
      <c r="O1031" s="389"/>
      <c r="P1031" s="55"/>
      <c r="Q1031" s="55"/>
      <c r="R1031" s="55"/>
      <c r="S1031" s="56"/>
      <c r="T1031" s="56"/>
      <c r="U1031" s="56"/>
      <c r="V1031" s="56"/>
      <c r="W1031" s="56"/>
      <c r="X1031" s="56"/>
      <c r="Y1031" s="56"/>
      <c r="Z1031" s="56"/>
      <c r="AA1031" s="56"/>
      <c r="AB1031" s="56"/>
      <c r="AC1031" s="55"/>
      <c r="AD1031" s="55"/>
      <c r="AE1031" s="56"/>
      <c r="AF1031" s="56"/>
      <c r="AG1031" s="56"/>
      <c r="AH1031" s="56"/>
      <c r="AI1031" s="56"/>
      <c r="AJ1031" s="56"/>
      <c r="AK1031" s="56"/>
      <c r="AL1031" s="56"/>
      <c r="AM1031" s="56"/>
      <c r="AN1031" s="56"/>
      <c r="AO1031" s="56"/>
      <c r="AP1031" s="56"/>
      <c r="AQ1031" s="56"/>
      <c r="AR1031" s="56"/>
      <c r="AS1031" s="56"/>
      <c r="AT1031" s="56"/>
      <c r="AU1031" s="56"/>
      <c r="AV1031" s="56"/>
      <c r="AW1031" s="56"/>
    </row>
    <row r="1032" spans="1:49" ht="15.75" customHeight="1" x14ac:dyDescent="0.15">
      <c r="A1032" s="56"/>
      <c r="B1032" s="56"/>
      <c r="C1032" s="56"/>
      <c r="D1032" s="56"/>
      <c r="E1032" s="56"/>
      <c r="F1032" s="56"/>
      <c r="G1032" s="56"/>
      <c r="H1032" s="56"/>
      <c r="I1032" s="56"/>
      <c r="J1032" s="56"/>
      <c r="K1032" s="56"/>
      <c r="L1032" s="56"/>
      <c r="M1032" s="56"/>
      <c r="N1032" s="56"/>
      <c r="O1032" s="389"/>
      <c r="P1032" s="55"/>
      <c r="Q1032" s="55"/>
      <c r="R1032" s="55"/>
      <c r="S1032" s="56"/>
      <c r="T1032" s="56"/>
      <c r="U1032" s="56"/>
      <c r="V1032" s="56"/>
      <c r="W1032" s="56"/>
      <c r="X1032" s="56"/>
      <c r="Y1032" s="56"/>
      <c r="Z1032" s="56"/>
      <c r="AA1032" s="56"/>
      <c r="AB1032" s="56"/>
      <c r="AC1032" s="55"/>
      <c r="AD1032" s="55"/>
      <c r="AE1032" s="56"/>
      <c r="AF1032" s="56"/>
      <c r="AG1032" s="56"/>
      <c r="AH1032" s="56"/>
      <c r="AI1032" s="56"/>
      <c r="AJ1032" s="56"/>
      <c r="AK1032" s="56"/>
      <c r="AL1032" s="56"/>
      <c r="AM1032" s="56"/>
      <c r="AN1032" s="56"/>
      <c r="AO1032" s="56"/>
      <c r="AP1032" s="56"/>
      <c r="AQ1032" s="56"/>
      <c r="AR1032" s="56"/>
      <c r="AS1032" s="56"/>
      <c r="AT1032" s="56"/>
      <c r="AU1032" s="56"/>
      <c r="AV1032" s="56"/>
      <c r="AW1032" s="56"/>
    </row>
    <row r="1033" spans="1:49" ht="15.75" customHeight="1" x14ac:dyDescent="0.15">
      <c r="A1033" s="56"/>
      <c r="B1033" s="56"/>
      <c r="C1033" s="56"/>
      <c r="D1033" s="56"/>
      <c r="E1033" s="56"/>
      <c r="F1033" s="56"/>
      <c r="G1033" s="56"/>
      <c r="H1033" s="56"/>
      <c r="I1033" s="56"/>
      <c r="J1033" s="56"/>
      <c r="K1033" s="56"/>
      <c r="L1033" s="56"/>
      <c r="M1033" s="56"/>
      <c r="N1033" s="56"/>
      <c r="O1033" s="389"/>
      <c r="P1033" s="55"/>
      <c r="Q1033" s="55"/>
      <c r="R1033" s="55"/>
      <c r="S1033" s="56"/>
      <c r="T1033" s="56"/>
      <c r="U1033" s="56"/>
      <c r="V1033" s="56"/>
      <c r="W1033" s="56"/>
      <c r="X1033" s="56"/>
      <c r="Y1033" s="56"/>
      <c r="Z1033" s="56"/>
      <c r="AA1033" s="56"/>
      <c r="AB1033" s="56"/>
      <c r="AC1033" s="55"/>
      <c r="AD1033" s="55"/>
      <c r="AE1033" s="56"/>
      <c r="AF1033" s="56"/>
      <c r="AG1033" s="56"/>
      <c r="AH1033" s="56"/>
      <c r="AI1033" s="56"/>
      <c r="AJ1033" s="56"/>
      <c r="AK1033" s="56"/>
      <c r="AL1033" s="56"/>
      <c r="AM1033" s="56"/>
      <c r="AN1033" s="56"/>
      <c r="AO1033" s="56"/>
      <c r="AP1033" s="56"/>
      <c r="AQ1033" s="56"/>
      <c r="AR1033" s="56"/>
      <c r="AS1033" s="56"/>
      <c r="AT1033" s="56"/>
      <c r="AU1033" s="56"/>
      <c r="AV1033" s="56"/>
      <c r="AW1033" s="56"/>
    </row>
    <row r="1034" spans="1:49" ht="15.75" customHeight="1" x14ac:dyDescent="0.15">
      <c r="A1034" s="56"/>
      <c r="B1034" s="56"/>
      <c r="C1034" s="56"/>
      <c r="D1034" s="56"/>
      <c r="E1034" s="56"/>
      <c r="F1034" s="56"/>
      <c r="G1034" s="56"/>
      <c r="H1034" s="56"/>
      <c r="I1034" s="56"/>
      <c r="J1034" s="56"/>
      <c r="K1034" s="56"/>
      <c r="L1034" s="56"/>
      <c r="M1034" s="56"/>
      <c r="N1034" s="56"/>
      <c r="O1034" s="389"/>
      <c r="P1034" s="55"/>
      <c r="Q1034" s="55"/>
      <c r="R1034" s="55"/>
      <c r="S1034" s="56"/>
      <c r="T1034" s="56"/>
      <c r="U1034" s="56"/>
      <c r="V1034" s="56"/>
      <c r="W1034" s="56"/>
      <c r="X1034" s="56"/>
      <c r="Y1034" s="56"/>
      <c r="Z1034" s="56"/>
      <c r="AA1034" s="56"/>
      <c r="AB1034" s="56"/>
      <c r="AC1034" s="55"/>
      <c r="AD1034" s="55"/>
      <c r="AE1034" s="56"/>
      <c r="AF1034" s="56"/>
      <c r="AG1034" s="56"/>
      <c r="AH1034" s="56"/>
      <c r="AI1034" s="56"/>
      <c r="AJ1034" s="56"/>
      <c r="AK1034" s="56"/>
      <c r="AL1034" s="56"/>
      <c r="AM1034" s="56"/>
      <c r="AN1034" s="56"/>
      <c r="AO1034" s="56"/>
      <c r="AP1034" s="56"/>
      <c r="AQ1034" s="56"/>
      <c r="AR1034" s="56"/>
      <c r="AS1034" s="56"/>
      <c r="AT1034" s="56"/>
      <c r="AU1034" s="56"/>
      <c r="AV1034" s="56"/>
      <c r="AW1034" s="56"/>
    </row>
    <row r="1035" spans="1:49" ht="15.75" customHeight="1" x14ac:dyDescent="0.15">
      <c r="A1035" s="56"/>
      <c r="B1035" s="56"/>
      <c r="C1035" s="56"/>
      <c r="D1035" s="56"/>
      <c r="E1035" s="56"/>
      <c r="F1035" s="56"/>
      <c r="G1035" s="56"/>
      <c r="H1035" s="56"/>
      <c r="I1035" s="56"/>
      <c r="J1035" s="56"/>
      <c r="K1035" s="56"/>
      <c r="L1035" s="56"/>
      <c r="M1035" s="56"/>
      <c r="N1035" s="56"/>
      <c r="O1035" s="389"/>
      <c r="P1035" s="55"/>
      <c r="Q1035" s="55"/>
      <c r="R1035" s="55"/>
      <c r="S1035" s="56"/>
      <c r="T1035" s="56"/>
      <c r="U1035" s="56"/>
      <c r="V1035" s="56"/>
      <c r="W1035" s="56"/>
      <c r="X1035" s="56"/>
      <c r="Y1035" s="56"/>
      <c r="Z1035" s="56"/>
      <c r="AA1035" s="56"/>
      <c r="AB1035" s="56"/>
      <c r="AC1035" s="55"/>
      <c r="AD1035" s="55"/>
      <c r="AE1035" s="56"/>
      <c r="AF1035" s="56"/>
      <c r="AG1035" s="56"/>
      <c r="AH1035" s="56"/>
      <c r="AI1035" s="56"/>
      <c r="AJ1035" s="56"/>
      <c r="AK1035" s="56"/>
      <c r="AL1035" s="56"/>
      <c r="AM1035" s="56"/>
      <c r="AN1035" s="56"/>
      <c r="AO1035" s="56"/>
      <c r="AP1035" s="56"/>
      <c r="AQ1035" s="56"/>
      <c r="AR1035" s="56"/>
      <c r="AS1035" s="56"/>
      <c r="AT1035" s="56"/>
      <c r="AU1035" s="56"/>
      <c r="AV1035" s="56"/>
      <c r="AW1035" s="56"/>
    </row>
    <row r="1036" spans="1:49" ht="15.75" customHeight="1" x14ac:dyDescent="0.15">
      <c r="A1036" s="56"/>
      <c r="B1036" s="56"/>
      <c r="C1036" s="56"/>
      <c r="D1036" s="56"/>
      <c r="E1036" s="56"/>
      <c r="F1036" s="56"/>
      <c r="G1036" s="56"/>
      <c r="H1036" s="56"/>
      <c r="I1036" s="56"/>
      <c r="J1036" s="56"/>
      <c r="K1036" s="56"/>
      <c r="L1036" s="56"/>
      <c r="M1036" s="56"/>
      <c r="N1036" s="56"/>
      <c r="O1036" s="389"/>
      <c r="P1036" s="55"/>
      <c r="Q1036" s="55"/>
      <c r="R1036" s="55"/>
      <c r="S1036" s="56"/>
      <c r="T1036" s="56"/>
      <c r="U1036" s="56"/>
      <c r="V1036" s="56"/>
      <c r="W1036" s="56"/>
      <c r="X1036" s="56"/>
      <c r="Y1036" s="56"/>
      <c r="Z1036" s="56"/>
      <c r="AA1036" s="56"/>
      <c r="AB1036" s="56"/>
      <c r="AC1036" s="55"/>
      <c r="AD1036" s="55"/>
      <c r="AE1036" s="56"/>
      <c r="AF1036" s="56"/>
      <c r="AG1036" s="56"/>
      <c r="AH1036" s="56"/>
      <c r="AI1036" s="56"/>
      <c r="AJ1036" s="56"/>
      <c r="AK1036" s="56"/>
      <c r="AL1036" s="56"/>
      <c r="AM1036" s="56"/>
      <c r="AN1036" s="56"/>
      <c r="AO1036" s="56"/>
      <c r="AP1036" s="56"/>
      <c r="AQ1036" s="56"/>
      <c r="AR1036" s="56"/>
      <c r="AS1036" s="56"/>
      <c r="AT1036" s="56"/>
      <c r="AU1036" s="56"/>
      <c r="AV1036" s="56"/>
      <c r="AW1036" s="56"/>
    </row>
    <row r="1037" spans="1:49" ht="15.75" customHeight="1" x14ac:dyDescent="0.15">
      <c r="A1037" s="56"/>
      <c r="B1037" s="56"/>
      <c r="C1037" s="56"/>
      <c r="D1037" s="56"/>
      <c r="E1037" s="56"/>
      <c r="F1037" s="56"/>
      <c r="G1037" s="56"/>
      <c r="H1037" s="56"/>
      <c r="I1037" s="56"/>
      <c r="J1037" s="56"/>
      <c r="K1037" s="56"/>
      <c r="L1037" s="56"/>
      <c r="M1037" s="56"/>
      <c r="N1037" s="56"/>
      <c r="O1037" s="389"/>
      <c r="P1037" s="55"/>
      <c r="Q1037" s="55"/>
      <c r="R1037" s="55"/>
      <c r="S1037" s="56"/>
      <c r="T1037" s="56"/>
      <c r="U1037" s="56"/>
      <c r="V1037" s="56"/>
      <c r="W1037" s="56"/>
      <c r="X1037" s="56"/>
      <c r="Y1037" s="56"/>
      <c r="Z1037" s="56"/>
      <c r="AA1037" s="56"/>
      <c r="AB1037" s="56"/>
      <c r="AC1037" s="55"/>
      <c r="AD1037" s="55"/>
      <c r="AE1037" s="56"/>
      <c r="AF1037" s="56"/>
      <c r="AG1037" s="56"/>
      <c r="AH1037" s="56"/>
      <c r="AI1037" s="56"/>
      <c r="AJ1037" s="56"/>
      <c r="AK1037" s="56"/>
      <c r="AL1037" s="56"/>
      <c r="AM1037" s="56"/>
      <c r="AN1037" s="56"/>
      <c r="AO1037" s="56"/>
      <c r="AP1037" s="56"/>
      <c r="AQ1037" s="56"/>
      <c r="AR1037" s="56"/>
      <c r="AS1037" s="56"/>
      <c r="AT1037" s="56"/>
      <c r="AU1037" s="56"/>
      <c r="AV1037" s="56"/>
      <c r="AW1037" s="56"/>
    </row>
    <row r="1038" spans="1:49" ht="15.75" customHeight="1" x14ac:dyDescent="0.15">
      <c r="A1038" s="56"/>
      <c r="B1038" s="56"/>
      <c r="C1038" s="56"/>
      <c r="D1038" s="56"/>
      <c r="E1038" s="56"/>
      <c r="F1038" s="56"/>
      <c r="G1038" s="56"/>
      <c r="H1038" s="56"/>
      <c r="I1038" s="56"/>
      <c r="J1038" s="56"/>
      <c r="K1038" s="56"/>
      <c r="L1038" s="56"/>
      <c r="M1038" s="56"/>
      <c r="N1038" s="56"/>
      <c r="O1038" s="389"/>
      <c r="P1038" s="55"/>
      <c r="Q1038" s="55"/>
      <c r="R1038" s="55"/>
      <c r="S1038" s="56"/>
      <c r="T1038" s="56"/>
      <c r="U1038" s="56"/>
      <c r="V1038" s="56"/>
      <c r="W1038" s="56"/>
      <c r="X1038" s="56"/>
      <c r="Y1038" s="56"/>
      <c r="Z1038" s="56"/>
      <c r="AA1038" s="56"/>
      <c r="AB1038" s="56"/>
      <c r="AC1038" s="55"/>
      <c r="AD1038" s="55"/>
      <c r="AE1038" s="56"/>
      <c r="AF1038" s="56"/>
      <c r="AG1038" s="56"/>
      <c r="AH1038" s="56"/>
      <c r="AI1038" s="56"/>
      <c r="AJ1038" s="56"/>
      <c r="AK1038" s="56"/>
      <c r="AL1038" s="56"/>
      <c r="AM1038" s="56"/>
      <c r="AN1038" s="56"/>
      <c r="AO1038" s="56"/>
      <c r="AP1038" s="56"/>
      <c r="AQ1038" s="56"/>
      <c r="AR1038" s="56"/>
      <c r="AS1038" s="56"/>
      <c r="AT1038" s="56"/>
      <c r="AU1038" s="56"/>
      <c r="AV1038" s="56"/>
      <c r="AW1038" s="56"/>
    </row>
    <row r="1039" spans="1:49" ht="15.75" customHeight="1" x14ac:dyDescent="0.15">
      <c r="A1039" s="56"/>
      <c r="B1039" s="56"/>
      <c r="C1039" s="56"/>
      <c r="D1039" s="56"/>
      <c r="E1039" s="56"/>
      <c r="F1039" s="56"/>
      <c r="G1039" s="56"/>
      <c r="H1039" s="56"/>
      <c r="I1039" s="56"/>
      <c r="J1039" s="56"/>
      <c r="K1039" s="56"/>
      <c r="L1039" s="56"/>
      <c r="M1039" s="56"/>
      <c r="N1039" s="56"/>
      <c r="O1039" s="389"/>
      <c r="P1039" s="55"/>
      <c r="Q1039" s="55"/>
      <c r="R1039" s="55"/>
      <c r="S1039" s="56"/>
      <c r="T1039" s="56"/>
      <c r="U1039" s="56"/>
      <c r="V1039" s="56"/>
      <c r="W1039" s="56"/>
      <c r="X1039" s="56"/>
      <c r="Y1039" s="56"/>
      <c r="Z1039" s="56"/>
      <c r="AA1039" s="56"/>
      <c r="AB1039" s="56"/>
      <c r="AC1039" s="55"/>
      <c r="AD1039" s="55"/>
      <c r="AE1039" s="56"/>
      <c r="AF1039" s="56"/>
      <c r="AG1039" s="56"/>
      <c r="AH1039" s="56"/>
      <c r="AI1039" s="56"/>
      <c r="AJ1039" s="56"/>
      <c r="AK1039" s="56"/>
      <c r="AL1039" s="56"/>
      <c r="AM1039" s="56"/>
      <c r="AN1039" s="56"/>
      <c r="AO1039" s="56"/>
      <c r="AP1039" s="56"/>
      <c r="AQ1039" s="56"/>
      <c r="AR1039" s="56"/>
      <c r="AS1039" s="56"/>
      <c r="AT1039" s="56"/>
      <c r="AU1039" s="56"/>
      <c r="AV1039" s="56"/>
      <c r="AW1039" s="56"/>
    </row>
    <row r="1040" spans="1:49" ht="15.75" customHeight="1" x14ac:dyDescent="0.15">
      <c r="A1040" s="56"/>
      <c r="B1040" s="56"/>
      <c r="C1040" s="56"/>
      <c r="D1040" s="56"/>
      <c r="E1040" s="56"/>
      <c r="F1040" s="56"/>
      <c r="G1040" s="56"/>
      <c r="H1040" s="56"/>
      <c r="I1040" s="56"/>
      <c r="J1040" s="56"/>
      <c r="K1040" s="56"/>
      <c r="L1040" s="56"/>
      <c r="M1040" s="56"/>
      <c r="N1040" s="56"/>
      <c r="O1040" s="389"/>
      <c r="P1040" s="55"/>
      <c r="Q1040" s="55"/>
      <c r="R1040" s="55"/>
      <c r="S1040" s="56"/>
      <c r="T1040" s="56"/>
      <c r="U1040" s="56"/>
      <c r="V1040" s="56"/>
      <c r="W1040" s="56"/>
      <c r="X1040" s="56"/>
      <c r="Y1040" s="56"/>
      <c r="Z1040" s="56"/>
      <c r="AA1040" s="56"/>
      <c r="AB1040" s="56"/>
      <c r="AC1040" s="55"/>
      <c r="AD1040" s="55"/>
      <c r="AE1040" s="56"/>
      <c r="AF1040" s="56"/>
      <c r="AG1040" s="56"/>
      <c r="AH1040" s="56"/>
      <c r="AI1040" s="56"/>
      <c r="AJ1040" s="56"/>
      <c r="AK1040" s="56"/>
      <c r="AL1040" s="56"/>
      <c r="AM1040" s="56"/>
      <c r="AN1040" s="56"/>
      <c r="AO1040" s="56"/>
      <c r="AP1040" s="56"/>
      <c r="AQ1040" s="56"/>
      <c r="AR1040" s="56"/>
      <c r="AS1040" s="56"/>
      <c r="AT1040" s="56"/>
      <c r="AU1040" s="56"/>
      <c r="AV1040" s="56"/>
      <c r="AW1040" s="56"/>
    </row>
    <row r="1041" spans="1:49" ht="15.75" customHeight="1" x14ac:dyDescent="0.15">
      <c r="A1041" s="56"/>
      <c r="B1041" s="56"/>
      <c r="C1041" s="56"/>
      <c r="D1041" s="56"/>
      <c r="E1041" s="56"/>
      <c r="F1041" s="56"/>
      <c r="G1041" s="56"/>
      <c r="H1041" s="56"/>
      <c r="I1041" s="56"/>
      <c r="J1041" s="56"/>
      <c r="K1041" s="56"/>
      <c r="L1041" s="56"/>
      <c r="M1041" s="56"/>
      <c r="N1041" s="56"/>
      <c r="O1041" s="389"/>
      <c r="P1041" s="55"/>
      <c r="Q1041" s="55"/>
      <c r="R1041" s="55"/>
      <c r="S1041" s="56"/>
      <c r="T1041" s="56"/>
      <c r="U1041" s="56"/>
      <c r="V1041" s="56"/>
      <c r="W1041" s="56"/>
      <c r="X1041" s="56"/>
      <c r="Y1041" s="56"/>
      <c r="Z1041" s="56"/>
      <c r="AA1041" s="56"/>
      <c r="AB1041" s="56"/>
      <c r="AC1041" s="55"/>
      <c r="AD1041" s="55"/>
      <c r="AE1041" s="56"/>
      <c r="AF1041" s="56"/>
      <c r="AG1041" s="56"/>
      <c r="AH1041" s="56"/>
      <c r="AI1041" s="56"/>
      <c r="AJ1041" s="56"/>
      <c r="AK1041" s="56"/>
      <c r="AL1041" s="56"/>
      <c r="AM1041" s="56"/>
      <c r="AN1041" s="56"/>
      <c r="AO1041" s="56"/>
      <c r="AP1041" s="56"/>
      <c r="AQ1041" s="56"/>
      <c r="AR1041" s="56"/>
      <c r="AS1041" s="56"/>
      <c r="AT1041" s="56"/>
      <c r="AU1041" s="56"/>
      <c r="AV1041" s="56"/>
      <c r="AW1041" s="56"/>
    </row>
    <row r="1042" spans="1:49" ht="15.75" customHeight="1" x14ac:dyDescent="0.15">
      <c r="A1042" s="56"/>
      <c r="B1042" s="56"/>
      <c r="C1042" s="56"/>
      <c r="D1042" s="56"/>
      <c r="E1042" s="56"/>
      <c r="F1042" s="56"/>
      <c r="G1042" s="56"/>
      <c r="H1042" s="56"/>
      <c r="I1042" s="56"/>
      <c r="J1042" s="56"/>
      <c r="K1042" s="56"/>
      <c r="L1042" s="56"/>
      <c r="M1042" s="56"/>
      <c r="N1042" s="56"/>
      <c r="O1042" s="389"/>
      <c r="P1042" s="55"/>
      <c r="Q1042" s="55"/>
      <c r="R1042" s="55"/>
      <c r="S1042" s="56"/>
      <c r="T1042" s="56"/>
      <c r="U1042" s="56"/>
      <c r="V1042" s="56"/>
      <c r="W1042" s="56"/>
      <c r="X1042" s="56"/>
      <c r="Y1042" s="56"/>
      <c r="Z1042" s="56"/>
      <c r="AA1042" s="56"/>
      <c r="AB1042" s="56"/>
      <c r="AC1042" s="55"/>
      <c r="AD1042" s="55"/>
      <c r="AE1042" s="56"/>
      <c r="AF1042" s="56"/>
      <c r="AG1042" s="56"/>
      <c r="AH1042" s="56"/>
      <c r="AI1042" s="56"/>
      <c r="AJ1042" s="56"/>
      <c r="AK1042" s="56"/>
      <c r="AL1042" s="56"/>
      <c r="AM1042" s="56"/>
      <c r="AN1042" s="56"/>
      <c r="AO1042" s="56"/>
      <c r="AP1042" s="56"/>
      <c r="AQ1042" s="56"/>
      <c r="AR1042" s="56"/>
      <c r="AS1042" s="56"/>
      <c r="AT1042" s="56"/>
      <c r="AU1042" s="56"/>
      <c r="AV1042" s="56"/>
      <c r="AW1042" s="56"/>
    </row>
    <row r="1043" spans="1:49" ht="15.75" customHeight="1" x14ac:dyDescent="0.15">
      <c r="A1043" s="56"/>
      <c r="B1043" s="56"/>
      <c r="C1043" s="56"/>
      <c r="D1043" s="56"/>
      <c r="E1043" s="56"/>
      <c r="F1043" s="56"/>
      <c r="G1043" s="56"/>
      <c r="H1043" s="56"/>
      <c r="I1043" s="56"/>
      <c r="J1043" s="56"/>
      <c r="K1043" s="56"/>
      <c r="L1043" s="56"/>
      <c r="M1043" s="56"/>
      <c r="N1043" s="56"/>
      <c r="O1043" s="389"/>
      <c r="P1043" s="55"/>
      <c r="Q1043" s="55"/>
      <c r="R1043" s="55"/>
      <c r="S1043" s="56"/>
      <c r="T1043" s="56"/>
      <c r="U1043" s="56"/>
      <c r="V1043" s="56"/>
      <c r="W1043" s="56"/>
      <c r="X1043" s="56"/>
      <c r="Y1043" s="56"/>
      <c r="Z1043" s="56"/>
      <c r="AA1043" s="56"/>
      <c r="AB1043" s="56"/>
      <c r="AC1043" s="55"/>
      <c r="AD1043" s="55"/>
      <c r="AE1043" s="56"/>
      <c r="AF1043" s="56"/>
      <c r="AG1043" s="56"/>
      <c r="AH1043" s="56"/>
      <c r="AI1043" s="56"/>
      <c r="AJ1043" s="56"/>
      <c r="AK1043" s="56"/>
      <c r="AL1043" s="56"/>
      <c r="AM1043" s="56"/>
      <c r="AN1043" s="56"/>
      <c r="AO1043" s="56"/>
      <c r="AP1043" s="56"/>
      <c r="AQ1043" s="56"/>
      <c r="AR1043" s="56"/>
      <c r="AS1043" s="56"/>
      <c r="AT1043" s="56"/>
      <c r="AU1043" s="56"/>
      <c r="AV1043" s="56"/>
      <c r="AW1043" s="56"/>
    </row>
    <row r="1044" spans="1:49" ht="15.75" customHeight="1" x14ac:dyDescent="0.15">
      <c r="A1044" s="56"/>
      <c r="B1044" s="56"/>
      <c r="C1044" s="56"/>
      <c r="D1044" s="56"/>
      <c r="E1044" s="56"/>
      <c r="F1044" s="56"/>
      <c r="G1044" s="56"/>
      <c r="H1044" s="56"/>
      <c r="I1044" s="56"/>
      <c r="J1044" s="56"/>
      <c r="K1044" s="56"/>
      <c r="L1044" s="56"/>
      <c r="M1044" s="56"/>
      <c r="N1044" s="56"/>
      <c r="O1044" s="389"/>
      <c r="P1044" s="55"/>
      <c r="Q1044" s="55"/>
      <c r="R1044" s="55"/>
      <c r="S1044" s="56"/>
      <c r="T1044" s="56"/>
      <c r="U1044" s="56"/>
      <c r="V1044" s="56"/>
      <c r="W1044" s="56"/>
      <c r="X1044" s="56"/>
      <c r="Y1044" s="56"/>
      <c r="Z1044" s="56"/>
      <c r="AA1044" s="56"/>
      <c r="AB1044" s="56"/>
      <c r="AC1044" s="55"/>
      <c r="AD1044" s="55"/>
      <c r="AE1044" s="56"/>
      <c r="AF1044" s="56"/>
      <c r="AG1044" s="56"/>
      <c r="AH1044" s="56"/>
      <c r="AI1044" s="56"/>
      <c r="AJ1044" s="56"/>
      <c r="AK1044" s="56"/>
      <c r="AL1044" s="56"/>
      <c r="AM1044" s="56"/>
      <c r="AN1044" s="56"/>
      <c r="AO1044" s="56"/>
      <c r="AP1044" s="56"/>
      <c r="AQ1044" s="56"/>
      <c r="AR1044" s="56"/>
      <c r="AS1044" s="56"/>
      <c r="AT1044" s="56"/>
      <c r="AU1044" s="56"/>
      <c r="AV1044" s="56"/>
      <c r="AW1044" s="56"/>
    </row>
    <row r="1045" spans="1:49" ht="15.75" customHeight="1" x14ac:dyDescent="0.15">
      <c r="A1045" s="56"/>
      <c r="B1045" s="56"/>
      <c r="C1045" s="56"/>
      <c r="D1045" s="56"/>
      <c r="E1045" s="56"/>
      <c r="F1045" s="56"/>
      <c r="G1045" s="56"/>
      <c r="H1045" s="56"/>
      <c r="I1045" s="56"/>
      <c r="J1045" s="56"/>
      <c r="K1045" s="56"/>
      <c r="L1045" s="56"/>
      <c r="M1045" s="56"/>
      <c r="N1045" s="56"/>
      <c r="O1045" s="389"/>
      <c r="P1045" s="55"/>
      <c r="Q1045" s="55"/>
      <c r="R1045" s="55"/>
      <c r="S1045" s="56"/>
      <c r="T1045" s="56"/>
      <c r="U1045" s="56"/>
      <c r="V1045" s="56"/>
      <c r="W1045" s="56"/>
      <c r="X1045" s="56"/>
      <c r="Y1045" s="56"/>
      <c r="Z1045" s="56"/>
      <c r="AA1045" s="56"/>
      <c r="AB1045" s="56"/>
      <c r="AC1045" s="55"/>
      <c r="AD1045" s="55"/>
      <c r="AE1045" s="56"/>
      <c r="AF1045" s="56"/>
      <c r="AG1045" s="56"/>
      <c r="AH1045" s="56"/>
      <c r="AI1045" s="56"/>
      <c r="AJ1045" s="56"/>
      <c r="AK1045" s="56"/>
      <c r="AL1045" s="56"/>
      <c r="AM1045" s="56"/>
      <c r="AN1045" s="56"/>
      <c r="AO1045" s="56"/>
      <c r="AP1045" s="56"/>
      <c r="AQ1045" s="56"/>
      <c r="AR1045" s="56"/>
      <c r="AS1045" s="56"/>
      <c r="AT1045" s="56"/>
      <c r="AU1045" s="56"/>
      <c r="AV1045" s="56"/>
      <c r="AW1045" s="56"/>
    </row>
    <row r="1046" spans="1:49" ht="15.75" customHeight="1" x14ac:dyDescent="0.15">
      <c r="A1046" s="56"/>
      <c r="B1046" s="56"/>
      <c r="C1046" s="56"/>
      <c r="D1046" s="56"/>
      <c r="E1046" s="56"/>
      <c r="F1046" s="56"/>
      <c r="G1046" s="56"/>
      <c r="H1046" s="56"/>
      <c r="I1046" s="56"/>
      <c r="J1046" s="56"/>
      <c r="K1046" s="56"/>
      <c r="L1046" s="56"/>
      <c r="M1046" s="56"/>
      <c r="N1046" s="56"/>
      <c r="O1046" s="389"/>
      <c r="P1046" s="55"/>
      <c r="Q1046" s="55"/>
      <c r="R1046" s="55"/>
      <c r="S1046" s="56"/>
      <c r="T1046" s="56"/>
      <c r="U1046" s="56"/>
      <c r="V1046" s="56"/>
      <c r="W1046" s="56"/>
      <c r="X1046" s="56"/>
      <c r="Y1046" s="56"/>
      <c r="Z1046" s="56"/>
      <c r="AA1046" s="56"/>
      <c r="AB1046" s="56"/>
      <c r="AC1046" s="55"/>
      <c r="AD1046" s="55"/>
      <c r="AE1046" s="56"/>
      <c r="AF1046" s="56"/>
      <c r="AG1046" s="56"/>
      <c r="AH1046" s="56"/>
      <c r="AI1046" s="56"/>
      <c r="AJ1046" s="56"/>
      <c r="AK1046" s="56"/>
      <c r="AL1046" s="56"/>
      <c r="AM1046" s="56"/>
      <c r="AN1046" s="56"/>
      <c r="AO1046" s="56"/>
      <c r="AP1046" s="56"/>
      <c r="AQ1046" s="56"/>
      <c r="AR1046" s="56"/>
      <c r="AS1046" s="56"/>
      <c r="AT1046" s="56"/>
      <c r="AU1046" s="56"/>
      <c r="AV1046" s="56"/>
      <c r="AW1046" s="56"/>
    </row>
    <row r="1047" spans="1:49" ht="15.75" customHeight="1" x14ac:dyDescent="0.15">
      <c r="A1047" s="56"/>
      <c r="B1047" s="56"/>
      <c r="C1047" s="56"/>
      <c r="D1047" s="56"/>
      <c r="E1047" s="56"/>
      <c r="F1047" s="56"/>
      <c r="G1047" s="56"/>
      <c r="H1047" s="56"/>
      <c r="I1047" s="56"/>
      <c r="J1047" s="56"/>
      <c r="K1047" s="56"/>
      <c r="L1047" s="56"/>
      <c r="M1047" s="56"/>
      <c r="N1047" s="56"/>
      <c r="O1047" s="389"/>
      <c r="P1047" s="55"/>
      <c r="Q1047" s="55"/>
      <c r="R1047" s="55"/>
      <c r="S1047" s="56"/>
      <c r="T1047" s="56"/>
      <c r="U1047" s="56"/>
      <c r="V1047" s="56"/>
      <c r="W1047" s="56"/>
      <c r="X1047" s="56"/>
      <c r="Y1047" s="56"/>
      <c r="Z1047" s="56"/>
      <c r="AA1047" s="56"/>
      <c r="AB1047" s="56"/>
      <c r="AC1047" s="55"/>
      <c r="AD1047" s="55"/>
      <c r="AE1047" s="56"/>
      <c r="AF1047" s="56"/>
      <c r="AG1047" s="56"/>
      <c r="AH1047" s="56"/>
      <c r="AI1047" s="56"/>
      <c r="AJ1047" s="56"/>
      <c r="AK1047" s="56"/>
      <c r="AL1047" s="56"/>
      <c r="AM1047" s="56"/>
      <c r="AN1047" s="56"/>
      <c r="AO1047" s="56"/>
      <c r="AP1047" s="56"/>
      <c r="AQ1047" s="56"/>
      <c r="AR1047" s="56"/>
      <c r="AS1047" s="56"/>
      <c r="AT1047" s="56"/>
      <c r="AU1047" s="56"/>
      <c r="AV1047" s="56"/>
      <c r="AW1047" s="56"/>
    </row>
    <row r="1048" spans="1:49" ht="15.75" customHeight="1" x14ac:dyDescent="0.15">
      <c r="A1048" s="56"/>
      <c r="B1048" s="56"/>
      <c r="C1048" s="56"/>
      <c r="D1048" s="56"/>
      <c r="E1048" s="56"/>
      <c r="F1048" s="56"/>
      <c r="G1048" s="56"/>
      <c r="H1048" s="56"/>
      <c r="I1048" s="56"/>
      <c r="J1048" s="56"/>
      <c r="K1048" s="56"/>
      <c r="L1048" s="56"/>
      <c r="M1048" s="56"/>
      <c r="N1048" s="56"/>
      <c r="O1048" s="389"/>
      <c r="P1048" s="55"/>
      <c r="Q1048" s="55"/>
      <c r="R1048" s="55"/>
      <c r="S1048" s="56"/>
      <c r="T1048" s="56"/>
      <c r="U1048" s="56"/>
      <c r="V1048" s="56"/>
      <c r="W1048" s="56"/>
      <c r="X1048" s="56"/>
      <c r="Y1048" s="56"/>
      <c r="Z1048" s="56"/>
      <c r="AA1048" s="56"/>
      <c r="AB1048" s="56"/>
      <c r="AC1048" s="55"/>
      <c r="AD1048" s="55"/>
      <c r="AE1048" s="56"/>
      <c r="AF1048" s="56"/>
      <c r="AG1048" s="56"/>
      <c r="AH1048" s="56"/>
      <c r="AI1048" s="56"/>
      <c r="AJ1048" s="56"/>
      <c r="AK1048" s="56"/>
      <c r="AL1048" s="56"/>
      <c r="AM1048" s="56"/>
      <c r="AN1048" s="56"/>
      <c r="AO1048" s="56"/>
      <c r="AP1048" s="56"/>
      <c r="AQ1048" s="56"/>
      <c r="AR1048" s="56"/>
      <c r="AS1048" s="56"/>
      <c r="AT1048" s="56"/>
      <c r="AU1048" s="56"/>
      <c r="AV1048" s="56"/>
      <c r="AW1048" s="56"/>
    </row>
    <row r="1049" spans="1:49" ht="15.75" customHeight="1" x14ac:dyDescent="0.15">
      <c r="A1049" s="56"/>
      <c r="B1049" s="56"/>
      <c r="C1049" s="56"/>
      <c r="D1049" s="56"/>
      <c r="E1049" s="56"/>
      <c r="F1049" s="56"/>
      <c r="G1049" s="56"/>
      <c r="H1049" s="56"/>
      <c r="I1049" s="56"/>
      <c r="J1049" s="56"/>
      <c r="K1049" s="56"/>
      <c r="L1049" s="56"/>
      <c r="M1049" s="56"/>
      <c r="N1049" s="56"/>
      <c r="O1049" s="389"/>
      <c r="P1049" s="55"/>
      <c r="Q1049" s="55"/>
      <c r="R1049" s="55"/>
      <c r="S1049" s="56"/>
      <c r="T1049" s="56"/>
      <c r="U1049" s="56"/>
      <c r="V1049" s="56"/>
      <c r="W1049" s="56"/>
      <c r="X1049" s="56"/>
      <c r="Y1049" s="56"/>
      <c r="Z1049" s="56"/>
      <c r="AA1049" s="56"/>
      <c r="AB1049" s="56"/>
      <c r="AC1049" s="55"/>
      <c r="AD1049" s="55"/>
      <c r="AE1049" s="56"/>
      <c r="AF1049" s="56"/>
      <c r="AG1049" s="56"/>
      <c r="AH1049" s="56"/>
      <c r="AI1049" s="56"/>
      <c r="AJ1049" s="56"/>
      <c r="AK1049" s="56"/>
      <c r="AL1049" s="56"/>
      <c r="AM1049" s="56"/>
      <c r="AN1049" s="56"/>
      <c r="AO1049" s="56"/>
      <c r="AP1049" s="56"/>
      <c r="AQ1049" s="56"/>
      <c r="AR1049" s="56"/>
      <c r="AS1049" s="56"/>
      <c r="AT1049" s="56"/>
      <c r="AU1049" s="56"/>
      <c r="AV1049" s="56"/>
      <c r="AW1049" s="56"/>
    </row>
    <row r="1050" spans="1:49" ht="15.75" customHeight="1" x14ac:dyDescent="0.15">
      <c r="A1050" s="56"/>
      <c r="B1050" s="56"/>
      <c r="C1050" s="56"/>
      <c r="D1050" s="56"/>
      <c r="E1050" s="56"/>
      <c r="F1050" s="56"/>
      <c r="G1050" s="56"/>
      <c r="H1050" s="56"/>
      <c r="I1050" s="56"/>
      <c r="J1050" s="56"/>
      <c r="K1050" s="56"/>
      <c r="L1050" s="56"/>
      <c r="M1050" s="56"/>
      <c r="N1050" s="56"/>
      <c r="O1050" s="389"/>
      <c r="P1050" s="55"/>
      <c r="Q1050" s="55"/>
      <c r="R1050" s="55"/>
      <c r="S1050" s="56"/>
      <c r="T1050" s="56"/>
      <c r="U1050" s="56"/>
      <c r="V1050" s="56"/>
      <c r="W1050" s="56"/>
      <c r="X1050" s="56"/>
      <c r="Y1050" s="56"/>
      <c r="Z1050" s="56"/>
      <c r="AA1050" s="56"/>
      <c r="AB1050" s="56"/>
      <c r="AC1050" s="55"/>
      <c r="AD1050" s="55"/>
      <c r="AE1050" s="56"/>
      <c r="AF1050" s="56"/>
      <c r="AG1050" s="56"/>
      <c r="AH1050" s="56"/>
      <c r="AI1050" s="56"/>
      <c r="AJ1050" s="56"/>
      <c r="AK1050" s="56"/>
      <c r="AL1050" s="56"/>
      <c r="AM1050" s="56"/>
      <c r="AN1050" s="56"/>
      <c r="AO1050" s="56"/>
      <c r="AP1050" s="56"/>
      <c r="AQ1050" s="56"/>
      <c r="AR1050" s="56"/>
      <c r="AS1050" s="56"/>
      <c r="AT1050" s="56"/>
      <c r="AU1050" s="56"/>
      <c r="AV1050" s="56"/>
      <c r="AW1050" s="56"/>
    </row>
    <row r="1051" spans="1:49" ht="15.75" customHeight="1" x14ac:dyDescent="0.15">
      <c r="A1051" s="56"/>
      <c r="B1051" s="56"/>
      <c r="C1051" s="56"/>
      <c r="D1051" s="56"/>
      <c r="E1051" s="56"/>
      <c r="F1051" s="56"/>
      <c r="G1051" s="56"/>
      <c r="H1051" s="56"/>
      <c r="I1051" s="56"/>
      <c r="J1051" s="56"/>
      <c r="K1051" s="56"/>
      <c r="L1051" s="56"/>
      <c r="M1051" s="56"/>
      <c r="N1051" s="56"/>
      <c r="O1051" s="389"/>
      <c r="P1051" s="55"/>
      <c r="Q1051" s="55"/>
      <c r="R1051" s="55"/>
      <c r="S1051" s="56"/>
      <c r="T1051" s="56"/>
      <c r="U1051" s="56"/>
      <c r="V1051" s="56"/>
      <c r="W1051" s="56"/>
      <c r="X1051" s="56"/>
      <c r="Y1051" s="56"/>
      <c r="Z1051" s="56"/>
      <c r="AA1051" s="56"/>
      <c r="AB1051" s="56"/>
      <c r="AC1051" s="55"/>
      <c r="AD1051" s="55"/>
      <c r="AE1051" s="56"/>
      <c r="AF1051" s="56"/>
      <c r="AG1051" s="56"/>
      <c r="AH1051" s="56"/>
      <c r="AI1051" s="56"/>
      <c r="AJ1051" s="56"/>
      <c r="AK1051" s="56"/>
      <c r="AL1051" s="56"/>
      <c r="AM1051" s="56"/>
      <c r="AN1051" s="56"/>
      <c r="AO1051" s="56"/>
      <c r="AP1051" s="56"/>
      <c r="AQ1051" s="56"/>
      <c r="AR1051" s="56"/>
      <c r="AS1051" s="56"/>
      <c r="AT1051" s="56"/>
      <c r="AU1051" s="56"/>
      <c r="AV1051" s="56"/>
      <c r="AW1051" s="56"/>
    </row>
    <row r="1052" spans="1:49" ht="15.75" customHeight="1" x14ac:dyDescent="0.15">
      <c r="A1052" s="56"/>
      <c r="B1052" s="56"/>
      <c r="C1052" s="56"/>
      <c r="D1052" s="56"/>
      <c r="E1052" s="56"/>
      <c r="F1052" s="56"/>
      <c r="G1052" s="56"/>
      <c r="H1052" s="56"/>
      <c r="I1052" s="56"/>
      <c r="J1052" s="56"/>
      <c r="K1052" s="56"/>
      <c r="L1052" s="56"/>
      <c r="M1052" s="56"/>
      <c r="N1052" s="56"/>
      <c r="O1052" s="389"/>
      <c r="P1052" s="55"/>
      <c r="Q1052" s="55"/>
      <c r="R1052" s="55"/>
      <c r="S1052" s="56"/>
      <c r="T1052" s="56"/>
      <c r="U1052" s="56"/>
      <c r="V1052" s="56"/>
      <c r="W1052" s="56"/>
      <c r="X1052" s="56"/>
      <c r="Y1052" s="56"/>
      <c r="Z1052" s="56"/>
      <c r="AA1052" s="56"/>
      <c r="AB1052" s="56"/>
      <c r="AC1052" s="55"/>
      <c r="AD1052" s="55"/>
      <c r="AE1052" s="56"/>
      <c r="AF1052" s="56"/>
      <c r="AG1052" s="56"/>
      <c r="AH1052" s="56"/>
      <c r="AI1052" s="56"/>
      <c r="AJ1052" s="56"/>
      <c r="AK1052" s="56"/>
      <c r="AL1052" s="56"/>
      <c r="AM1052" s="56"/>
      <c r="AN1052" s="56"/>
      <c r="AO1052" s="56"/>
      <c r="AP1052" s="56"/>
      <c r="AQ1052" s="56"/>
      <c r="AR1052" s="56"/>
      <c r="AS1052" s="56"/>
      <c r="AT1052" s="56"/>
      <c r="AU1052" s="56"/>
      <c r="AV1052" s="56"/>
      <c r="AW1052" s="56"/>
    </row>
    <row r="1053" spans="1:49" ht="15.75" customHeight="1" x14ac:dyDescent="0.15">
      <c r="A1053" s="56"/>
      <c r="B1053" s="56"/>
      <c r="C1053" s="56"/>
      <c r="D1053" s="56"/>
      <c r="E1053" s="56"/>
      <c r="F1053" s="56"/>
      <c r="G1053" s="56"/>
      <c r="H1053" s="56"/>
      <c r="I1053" s="56"/>
      <c r="J1053" s="56"/>
      <c r="K1053" s="56"/>
      <c r="L1053" s="56"/>
      <c r="M1053" s="56"/>
      <c r="N1053" s="56"/>
      <c r="O1053" s="389"/>
      <c r="P1053" s="55"/>
      <c r="Q1053" s="55"/>
      <c r="R1053" s="55"/>
      <c r="S1053" s="56"/>
      <c r="T1053" s="56"/>
      <c r="U1053" s="56"/>
      <c r="V1053" s="56"/>
      <c r="W1053" s="56"/>
      <c r="X1053" s="56"/>
      <c r="Y1053" s="56"/>
      <c r="Z1053" s="56"/>
      <c r="AA1053" s="56"/>
      <c r="AB1053" s="56"/>
      <c r="AC1053" s="55"/>
      <c r="AD1053" s="55"/>
      <c r="AE1053" s="56"/>
      <c r="AF1053" s="56"/>
      <c r="AG1053" s="56"/>
      <c r="AH1053" s="56"/>
      <c r="AI1053" s="56"/>
      <c r="AJ1053" s="56"/>
      <c r="AK1053" s="56"/>
      <c r="AL1053" s="56"/>
      <c r="AM1053" s="56"/>
      <c r="AN1053" s="56"/>
      <c r="AO1053" s="56"/>
      <c r="AP1053" s="56"/>
      <c r="AQ1053" s="56"/>
      <c r="AR1053" s="56"/>
      <c r="AS1053" s="56"/>
      <c r="AT1053" s="56"/>
      <c r="AU1053" s="56"/>
      <c r="AV1053" s="56"/>
      <c r="AW1053" s="56"/>
    </row>
    <row r="1054" spans="1:49" ht="15.75" customHeight="1" x14ac:dyDescent="0.15">
      <c r="A1054" s="56"/>
      <c r="B1054" s="56"/>
      <c r="C1054" s="56"/>
      <c r="D1054" s="56"/>
      <c r="E1054" s="56"/>
      <c r="F1054" s="56"/>
      <c r="G1054" s="56"/>
      <c r="H1054" s="56"/>
      <c r="I1054" s="56"/>
      <c r="J1054" s="56"/>
      <c r="K1054" s="56"/>
      <c r="L1054" s="56"/>
      <c r="M1054" s="56"/>
      <c r="N1054" s="56"/>
      <c r="O1054" s="389"/>
      <c r="P1054" s="55"/>
      <c r="Q1054" s="55"/>
      <c r="R1054" s="55"/>
      <c r="S1054" s="56"/>
      <c r="T1054" s="56"/>
      <c r="U1054" s="56"/>
      <c r="V1054" s="56"/>
      <c r="W1054" s="56"/>
      <c r="X1054" s="56"/>
      <c r="Y1054" s="56"/>
      <c r="Z1054" s="56"/>
      <c r="AA1054" s="56"/>
      <c r="AB1054" s="56"/>
      <c r="AC1054" s="55"/>
      <c r="AD1054" s="55"/>
      <c r="AE1054" s="56"/>
      <c r="AF1054" s="56"/>
      <c r="AG1054" s="56"/>
      <c r="AH1054" s="56"/>
      <c r="AI1054" s="56"/>
      <c r="AJ1054" s="56"/>
      <c r="AK1054" s="56"/>
      <c r="AL1054" s="56"/>
      <c r="AM1054" s="56"/>
      <c r="AN1054" s="56"/>
      <c r="AO1054" s="56"/>
      <c r="AP1054" s="56"/>
      <c r="AQ1054" s="56"/>
      <c r="AR1054" s="56"/>
      <c r="AS1054" s="56"/>
      <c r="AT1054" s="56"/>
      <c r="AU1054" s="56"/>
      <c r="AV1054" s="56"/>
      <c r="AW1054" s="56"/>
    </row>
    <row r="1055" spans="1:49" ht="15.75" customHeight="1" x14ac:dyDescent="0.15">
      <c r="A1055" s="56"/>
      <c r="B1055" s="56"/>
      <c r="C1055" s="56"/>
      <c r="D1055" s="56"/>
      <c r="E1055" s="56"/>
      <c r="F1055" s="56"/>
      <c r="G1055" s="56"/>
      <c r="H1055" s="56"/>
      <c r="I1055" s="56"/>
      <c r="J1055" s="56"/>
      <c r="K1055" s="56"/>
      <c r="L1055" s="56"/>
      <c r="M1055" s="56"/>
      <c r="N1055" s="56"/>
      <c r="O1055" s="389"/>
      <c r="P1055" s="55"/>
      <c r="Q1055" s="55"/>
      <c r="R1055" s="55"/>
      <c r="S1055" s="56"/>
      <c r="T1055" s="56"/>
      <c r="U1055" s="56"/>
      <c r="V1055" s="56"/>
      <c r="W1055" s="56"/>
      <c r="X1055" s="56"/>
      <c r="Y1055" s="56"/>
      <c r="Z1055" s="56"/>
      <c r="AA1055" s="56"/>
      <c r="AB1055" s="56"/>
      <c r="AC1055" s="55"/>
      <c r="AD1055" s="55"/>
      <c r="AE1055" s="56"/>
      <c r="AF1055" s="56"/>
      <c r="AG1055" s="56"/>
      <c r="AH1055" s="56"/>
      <c r="AI1055" s="56"/>
      <c r="AJ1055" s="56"/>
      <c r="AK1055" s="56"/>
      <c r="AL1055" s="56"/>
      <c r="AM1055" s="56"/>
      <c r="AN1055" s="56"/>
      <c r="AO1055" s="56"/>
      <c r="AP1055" s="56"/>
      <c r="AQ1055" s="56"/>
      <c r="AR1055" s="56"/>
      <c r="AS1055" s="56"/>
      <c r="AT1055" s="56"/>
      <c r="AU1055" s="56"/>
      <c r="AV1055" s="56"/>
      <c r="AW1055" s="56"/>
    </row>
    <row r="1056" spans="1:49" ht="15.75" customHeight="1" x14ac:dyDescent="0.15">
      <c r="A1056" s="56"/>
      <c r="B1056" s="56"/>
      <c r="C1056" s="56"/>
      <c r="D1056" s="56"/>
      <c r="E1056" s="56"/>
      <c r="F1056" s="56"/>
      <c r="G1056" s="56"/>
      <c r="H1056" s="56"/>
      <c r="I1056" s="56"/>
      <c r="J1056" s="56"/>
      <c r="K1056" s="56"/>
      <c r="L1056" s="56"/>
      <c r="M1056" s="56"/>
      <c r="N1056" s="56"/>
      <c r="O1056" s="389"/>
      <c r="P1056" s="55"/>
      <c r="Q1056" s="55"/>
      <c r="R1056" s="55"/>
      <c r="S1056" s="56"/>
      <c r="T1056" s="56"/>
      <c r="U1056" s="56"/>
      <c r="V1056" s="56"/>
      <c r="W1056" s="56"/>
      <c r="X1056" s="56"/>
      <c r="Y1056" s="56"/>
      <c r="Z1056" s="56"/>
      <c r="AA1056" s="56"/>
      <c r="AB1056" s="56"/>
      <c r="AC1056" s="55"/>
      <c r="AD1056" s="55"/>
      <c r="AE1056" s="56"/>
      <c r="AF1056" s="56"/>
      <c r="AG1056" s="56"/>
      <c r="AH1056" s="56"/>
      <c r="AI1056" s="56"/>
      <c r="AJ1056" s="56"/>
      <c r="AK1056" s="56"/>
      <c r="AL1056" s="56"/>
      <c r="AM1056" s="56"/>
      <c r="AN1056" s="56"/>
      <c r="AO1056" s="56"/>
      <c r="AP1056" s="56"/>
      <c r="AQ1056" s="56"/>
      <c r="AR1056" s="56"/>
      <c r="AS1056" s="56"/>
      <c r="AT1056" s="56"/>
      <c r="AU1056" s="56"/>
      <c r="AV1056" s="56"/>
      <c r="AW1056" s="56"/>
    </row>
    <row r="1057" spans="1:49" ht="15.75" customHeight="1" x14ac:dyDescent="0.15">
      <c r="A1057" s="56"/>
      <c r="B1057" s="56"/>
      <c r="C1057" s="56"/>
      <c r="D1057" s="56"/>
      <c r="E1057" s="56"/>
      <c r="F1057" s="56"/>
      <c r="G1057" s="56"/>
      <c r="H1057" s="56"/>
      <c r="I1057" s="56"/>
      <c r="J1057" s="56"/>
      <c r="K1057" s="56"/>
      <c r="L1057" s="56"/>
      <c r="M1057" s="56"/>
      <c r="N1057" s="56"/>
      <c r="O1057" s="389"/>
      <c r="P1057" s="55"/>
      <c r="Q1057" s="55"/>
      <c r="R1057" s="55"/>
      <c r="S1057" s="56"/>
      <c r="T1057" s="56"/>
      <c r="U1057" s="56"/>
      <c r="V1057" s="56"/>
      <c r="W1057" s="56"/>
      <c r="X1057" s="56"/>
      <c r="Y1057" s="56"/>
      <c r="Z1057" s="56"/>
      <c r="AA1057" s="56"/>
      <c r="AB1057" s="56"/>
      <c r="AC1057" s="55"/>
      <c r="AD1057" s="55"/>
      <c r="AE1057" s="56"/>
      <c r="AF1057" s="56"/>
      <c r="AG1057" s="56"/>
      <c r="AH1057" s="56"/>
      <c r="AI1057" s="56"/>
      <c r="AJ1057" s="56"/>
      <c r="AK1057" s="56"/>
      <c r="AL1057" s="56"/>
      <c r="AM1057" s="56"/>
      <c r="AN1057" s="56"/>
      <c r="AO1057" s="56"/>
      <c r="AP1057" s="56"/>
      <c r="AQ1057" s="56"/>
      <c r="AR1057" s="56"/>
      <c r="AS1057" s="56"/>
      <c r="AT1057" s="56"/>
      <c r="AU1057" s="56"/>
      <c r="AV1057" s="56"/>
      <c r="AW1057" s="56"/>
    </row>
    <row r="1058" spans="1:49" ht="15.75" customHeight="1" x14ac:dyDescent="0.15">
      <c r="A1058" s="56"/>
      <c r="B1058" s="56"/>
      <c r="C1058" s="56"/>
      <c r="D1058" s="56"/>
      <c r="E1058" s="56"/>
      <c r="F1058" s="56"/>
      <c r="G1058" s="56"/>
      <c r="H1058" s="56"/>
      <c r="I1058" s="56"/>
      <c r="J1058" s="56"/>
      <c r="K1058" s="56"/>
      <c r="L1058" s="56"/>
      <c r="M1058" s="56"/>
      <c r="N1058" s="56"/>
      <c r="O1058" s="389"/>
      <c r="P1058" s="55"/>
      <c r="Q1058" s="55"/>
      <c r="R1058" s="55"/>
      <c r="S1058" s="56"/>
      <c r="T1058" s="56"/>
      <c r="U1058" s="56"/>
      <c r="V1058" s="56"/>
      <c r="W1058" s="56"/>
      <c r="X1058" s="56"/>
      <c r="Y1058" s="56"/>
      <c r="Z1058" s="56"/>
      <c r="AA1058" s="56"/>
      <c r="AB1058" s="56"/>
      <c r="AC1058" s="55"/>
      <c r="AD1058" s="55"/>
      <c r="AE1058" s="56"/>
      <c r="AF1058" s="56"/>
      <c r="AG1058" s="56"/>
      <c r="AH1058" s="56"/>
      <c r="AI1058" s="56"/>
      <c r="AJ1058" s="56"/>
      <c r="AK1058" s="56"/>
      <c r="AL1058" s="56"/>
      <c r="AM1058" s="56"/>
      <c r="AN1058" s="56"/>
      <c r="AO1058" s="56"/>
      <c r="AP1058" s="56"/>
      <c r="AQ1058" s="56"/>
      <c r="AR1058" s="56"/>
      <c r="AS1058" s="56"/>
      <c r="AT1058" s="56"/>
      <c r="AU1058" s="56"/>
      <c r="AV1058" s="56"/>
      <c r="AW1058" s="56"/>
    </row>
    <row r="1059" spans="1:49" ht="15.75" customHeight="1" x14ac:dyDescent="0.15">
      <c r="A1059" s="56"/>
      <c r="B1059" s="56"/>
      <c r="C1059" s="56"/>
      <c r="D1059" s="56"/>
      <c r="E1059" s="56"/>
      <c r="F1059" s="56"/>
      <c r="G1059" s="56"/>
      <c r="H1059" s="56"/>
      <c r="I1059" s="56"/>
      <c r="J1059" s="56"/>
      <c r="K1059" s="56"/>
      <c r="L1059" s="56"/>
      <c r="M1059" s="56"/>
      <c r="N1059" s="56"/>
      <c r="O1059" s="389"/>
      <c r="P1059" s="55"/>
      <c r="Q1059" s="55"/>
      <c r="R1059" s="55"/>
      <c r="S1059" s="56"/>
      <c r="T1059" s="56"/>
      <c r="U1059" s="56"/>
      <c r="V1059" s="56"/>
      <c r="W1059" s="56"/>
      <c r="X1059" s="56"/>
      <c r="Y1059" s="56"/>
      <c r="Z1059" s="56"/>
      <c r="AA1059" s="56"/>
      <c r="AB1059" s="56"/>
      <c r="AC1059" s="55"/>
      <c r="AD1059" s="55"/>
      <c r="AE1059" s="56"/>
      <c r="AF1059" s="56"/>
      <c r="AG1059" s="56"/>
      <c r="AH1059" s="56"/>
      <c r="AI1059" s="56"/>
      <c r="AJ1059" s="56"/>
      <c r="AK1059" s="56"/>
      <c r="AL1059" s="56"/>
      <c r="AM1059" s="56"/>
      <c r="AN1059" s="56"/>
      <c r="AO1059" s="56"/>
      <c r="AP1059" s="56"/>
      <c r="AQ1059" s="56"/>
      <c r="AR1059" s="56"/>
      <c r="AS1059" s="56"/>
      <c r="AT1059" s="56"/>
      <c r="AU1059" s="56"/>
      <c r="AV1059" s="56"/>
      <c r="AW1059" s="56"/>
    </row>
    <row r="1060" spans="1:49" ht="15.75" customHeight="1" x14ac:dyDescent="0.15">
      <c r="A1060" s="56"/>
      <c r="B1060" s="56"/>
      <c r="C1060" s="56"/>
      <c r="D1060" s="56"/>
      <c r="E1060" s="56"/>
      <c r="F1060" s="56"/>
      <c r="G1060" s="56"/>
      <c r="H1060" s="56"/>
      <c r="I1060" s="56"/>
      <c r="J1060" s="56"/>
      <c r="K1060" s="56"/>
      <c r="L1060" s="56"/>
      <c r="M1060" s="56"/>
      <c r="N1060" s="56"/>
      <c r="O1060" s="389"/>
      <c r="P1060" s="55"/>
      <c r="Q1060" s="55"/>
      <c r="R1060" s="55"/>
      <c r="S1060" s="56"/>
      <c r="T1060" s="56"/>
      <c r="U1060" s="56"/>
      <c r="V1060" s="56"/>
      <c r="W1060" s="56"/>
      <c r="X1060" s="56"/>
      <c r="Y1060" s="56"/>
      <c r="Z1060" s="56"/>
      <c r="AA1060" s="56"/>
      <c r="AB1060" s="56"/>
      <c r="AC1060" s="55"/>
      <c r="AD1060" s="55"/>
      <c r="AE1060" s="56"/>
      <c r="AF1060" s="56"/>
      <c r="AG1060" s="56"/>
      <c r="AH1060" s="56"/>
      <c r="AI1060" s="56"/>
      <c r="AJ1060" s="56"/>
      <c r="AK1060" s="56"/>
      <c r="AL1060" s="56"/>
      <c r="AM1060" s="56"/>
      <c r="AN1060" s="56"/>
      <c r="AO1060" s="56"/>
      <c r="AP1060" s="56"/>
      <c r="AQ1060" s="56"/>
      <c r="AR1060" s="56"/>
      <c r="AS1060" s="56"/>
      <c r="AT1060" s="56"/>
      <c r="AU1060" s="56"/>
      <c r="AV1060" s="56"/>
      <c r="AW1060" s="56"/>
    </row>
    <row r="1061" spans="1:49" ht="15.75" customHeight="1" x14ac:dyDescent="0.15">
      <c r="A1061" s="56"/>
      <c r="B1061" s="56"/>
      <c r="C1061" s="56"/>
      <c r="D1061" s="56"/>
      <c r="E1061" s="56"/>
      <c r="F1061" s="56"/>
      <c r="G1061" s="56"/>
      <c r="H1061" s="56"/>
      <c r="I1061" s="56"/>
      <c r="J1061" s="56"/>
      <c r="K1061" s="56"/>
      <c r="L1061" s="56"/>
      <c r="M1061" s="56"/>
      <c r="N1061" s="56"/>
      <c r="O1061" s="389"/>
      <c r="P1061" s="55"/>
      <c r="Q1061" s="55"/>
      <c r="R1061" s="55"/>
      <c r="S1061" s="56"/>
      <c r="T1061" s="56"/>
      <c r="U1061" s="56"/>
      <c r="V1061" s="56"/>
      <c r="W1061" s="56"/>
      <c r="X1061" s="56"/>
      <c r="Y1061" s="56"/>
      <c r="Z1061" s="56"/>
      <c r="AA1061" s="56"/>
      <c r="AB1061" s="56"/>
      <c r="AC1061" s="55"/>
      <c r="AD1061" s="55"/>
      <c r="AE1061" s="56"/>
      <c r="AF1061" s="56"/>
      <c r="AG1061" s="56"/>
      <c r="AH1061" s="56"/>
      <c r="AI1061" s="56"/>
      <c r="AJ1061" s="56"/>
      <c r="AK1061" s="56"/>
      <c r="AL1061" s="56"/>
      <c r="AM1061" s="56"/>
      <c r="AN1061" s="56"/>
      <c r="AO1061" s="56"/>
      <c r="AP1061" s="56"/>
      <c r="AQ1061" s="56"/>
      <c r="AR1061" s="56"/>
      <c r="AS1061" s="56"/>
      <c r="AT1061" s="56"/>
      <c r="AU1061" s="56"/>
      <c r="AV1061" s="56"/>
      <c r="AW1061" s="56"/>
    </row>
    <row r="1062" spans="1:49" ht="15.75" customHeight="1" x14ac:dyDescent="0.15">
      <c r="A1062" s="56"/>
      <c r="B1062" s="56"/>
      <c r="C1062" s="56"/>
      <c r="D1062" s="56"/>
      <c r="E1062" s="56"/>
      <c r="F1062" s="56"/>
      <c r="G1062" s="56"/>
      <c r="H1062" s="56"/>
      <c r="I1062" s="56"/>
      <c r="J1062" s="56"/>
      <c r="K1062" s="56"/>
      <c r="L1062" s="56"/>
      <c r="M1062" s="56"/>
      <c r="N1062" s="56"/>
      <c r="O1062" s="389"/>
      <c r="P1062" s="55"/>
      <c r="Q1062" s="55"/>
      <c r="R1062" s="55"/>
      <c r="S1062" s="56"/>
      <c r="T1062" s="56"/>
      <c r="U1062" s="56"/>
      <c r="V1062" s="56"/>
      <c r="W1062" s="56"/>
      <c r="X1062" s="56"/>
      <c r="Y1062" s="56"/>
      <c r="Z1062" s="56"/>
      <c r="AA1062" s="56"/>
      <c r="AB1062" s="56"/>
      <c r="AC1062" s="55"/>
      <c r="AD1062" s="55"/>
      <c r="AE1062" s="56"/>
      <c r="AF1062" s="56"/>
      <c r="AG1062" s="56"/>
      <c r="AH1062" s="56"/>
      <c r="AI1062" s="56"/>
      <c r="AJ1062" s="56"/>
      <c r="AK1062" s="56"/>
      <c r="AL1062" s="56"/>
      <c r="AM1062" s="56"/>
      <c r="AN1062" s="56"/>
      <c r="AO1062" s="56"/>
      <c r="AP1062" s="56"/>
      <c r="AQ1062" s="56"/>
      <c r="AR1062" s="56"/>
      <c r="AS1062" s="56"/>
      <c r="AT1062" s="56"/>
      <c r="AU1062" s="56"/>
      <c r="AV1062" s="56"/>
      <c r="AW1062" s="56"/>
    </row>
    <row r="1063" spans="1:49" ht="15.75" customHeight="1" x14ac:dyDescent="0.15">
      <c r="A1063" s="56"/>
      <c r="B1063" s="56"/>
      <c r="C1063" s="56"/>
      <c r="D1063" s="56"/>
      <c r="E1063" s="56"/>
      <c r="F1063" s="56"/>
      <c r="G1063" s="56"/>
      <c r="H1063" s="56"/>
      <c r="I1063" s="56"/>
      <c r="J1063" s="56"/>
      <c r="K1063" s="56"/>
      <c r="L1063" s="56"/>
      <c r="M1063" s="56"/>
      <c r="N1063" s="56"/>
      <c r="O1063" s="389"/>
      <c r="P1063" s="55"/>
      <c r="Q1063" s="55"/>
      <c r="R1063" s="55"/>
      <c r="S1063" s="56"/>
      <c r="T1063" s="56"/>
      <c r="U1063" s="56"/>
      <c r="V1063" s="56"/>
      <c r="W1063" s="56"/>
      <c r="X1063" s="56"/>
      <c r="Y1063" s="56"/>
      <c r="Z1063" s="56"/>
      <c r="AA1063" s="56"/>
      <c r="AB1063" s="56"/>
      <c r="AC1063" s="55"/>
      <c r="AD1063" s="55"/>
      <c r="AE1063" s="56"/>
      <c r="AF1063" s="56"/>
      <c r="AG1063" s="56"/>
      <c r="AH1063" s="56"/>
      <c r="AI1063" s="56"/>
      <c r="AJ1063" s="56"/>
      <c r="AK1063" s="56"/>
      <c r="AL1063" s="56"/>
      <c r="AM1063" s="56"/>
      <c r="AN1063" s="56"/>
      <c r="AO1063" s="56"/>
      <c r="AP1063" s="56"/>
      <c r="AQ1063" s="56"/>
      <c r="AR1063" s="56"/>
      <c r="AS1063" s="56"/>
      <c r="AT1063" s="56"/>
      <c r="AU1063" s="56"/>
      <c r="AV1063" s="56"/>
      <c r="AW1063" s="56"/>
    </row>
    <row r="1064" spans="1:49" ht="15.75" customHeight="1" x14ac:dyDescent="0.15">
      <c r="A1064" s="56"/>
      <c r="B1064" s="56"/>
      <c r="C1064" s="56"/>
      <c r="D1064" s="56"/>
      <c r="E1064" s="56"/>
      <c r="F1064" s="56"/>
      <c r="G1064" s="56"/>
      <c r="H1064" s="56"/>
      <c r="I1064" s="56"/>
      <c r="J1064" s="56"/>
      <c r="K1064" s="56"/>
      <c r="L1064" s="56"/>
      <c r="M1064" s="56"/>
      <c r="N1064" s="56"/>
      <c r="O1064" s="389"/>
      <c r="P1064" s="55"/>
      <c r="Q1064" s="55"/>
      <c r="R1064" s="55"/>
      <c r="S1064" s="56"/>
      <c r="T1064" s="56"/>
      <c r="U1064" s="56"/>
      <c r="V1064" s="56"/>
      <c r="W1064" s="56"/>
      <c r="X1064" s="56"/>
      <c r="Y1064" s="56"/>
      <c r="Z1064" s="56"/>
      <c r="AA1064" s="56"/>
      <c r="AB1064" s="56"/>
      <c r="AC1064" s="55"/>
      <c r="AD1064" s="55"/>
      <c r="AE1064" s="56"/>
      <c r="AF1064" s="56"/>
      <c r="AG1064" s="56"/>
      <c r="AH1064" s="56"/>
      <c r="AI1064" s="56"/>
      <c r="AJ1064" s="56"/>
      <c r="AK1064" s="56"/>
      <c r="AL1064" s="56"/>
      <c r="AM1064" s="56"/>
      <c r="AN1064" s="56"/>
      <c r="AO1064" s="56"/>
      <c r="AP1064" s="56"/>
      <c r="AQ1064" s="56"/>
      <c r="AR1064" s="56"/>
      <c r="AS1064" s="56"/>
      <c r="AT1064" s="56"/>
      <c r="AU1064" s="56"/>
      <c r="AV1064" s="56"/>
      <c r="AW1064" s="56"/>
    </row>
    <row r="1065" spans="1:49" ht="15.75" customHeight="1" x14ac:dyDescent="0.15">
      <c r="A1065" s="56"/>
      <c r="B1065" s="56"/>
      <c r="C1065" s="56"/>
      <c r="D1065" s="56"/>
      <c r="E1065" s="56"/>
      <c r="F1065" s="56"/>
      <c r="G1065" s="56"/>
      <c r="H1065" s="56"/>
      <c r="I1065" s="56"/>
      <c r="J1065" s="56"/>
      <c r="K1065" s="56"/>
      <c r="L1065" s="56"/>
      <c r="M1065" s="56"/>
      <c r="N1065" s="56"/>
      <c r="O1065" s="389"/>
      <c r="P1065" s="55"/>
      <c r="Q1065" s="55"/>
      <c r="R1065" s="55"/>
      <c r="S1065" s="56"/>
      <c r="T1065" s="56"/>
      <c r="U1065" s="56"/>
      <c r="V1065" s="56"/>
      <c r="W1065" s="56"/>
      <c r="X1065" s="56"/>
      <c r="Y1065" s="56"/>
      <c r="Z1065" s="56"/>
      <c r="AA1065" s="56"/>
      <c r="AB1065" s="56"/>
      <c r="AC1065" s="55"/>
      <c r="AD1065" s="55"/>
      <c r="AE1065" s="56"/>
      <c r="AF1065" s="56"/>
      <c r="AG1065" s="56"/>
      <c r="AH1065" s="56"/>
      <c r="AI1065" s="56"/>
      <c r="AJ1065" s="56"/>
      <c r="AK1065" s="56"/>
      <c r="AL1065" s="56"/>
      <c r="AM1065" s="56"/>
      <c r="AN1065" s="56"/>
      <c r="AO1065" s="56"/>
      <c r="AP1065" s="56"/>
      <c r="AQ1065" s="56"/>
      <c r="AR1065" s="56"/>
      <c r="AS1065" s="56"/>
      <c r="AT1065" s="56"/>
      <c r="AU1065" s="56"/>
      <c r="AV1065" s="56"/>
      <c r="AW1065" s="56"/>
    </row>
    <row r="1066" spans="1:49" ht="15.75" customHeight="1" x14ac:dyDescent="0.15">
      <c r="A1066" s="56"/>
      <c r="B1066" s="56"/>
      <c r="C1066" s="56"/>
      <c r="D1066" s="56"/>
      <c r="E1066" s="56"/>
      <c r="F1066" s="56"/>
      <c r="G1066" s="56"/>
      <c r="H1066" s="56"/>
      <c r="I1066" s="56"/>
      <c r="J1066" s="56"/>
      <c r="K1066" s="56"/>
      <c r="L1066" s="56"/>
      <c r="M1066" s="56"/>
      <c r="N1066" s="56"/>
      <c r="O1066" s="389"/>
      <c r="P1066" s="55"/>
      <c r="Q1066" s="55"/>
      <c r="R1066" s="55"/>
      <c r="S1066" s="56"/>
      <c r="T1066" s="56"/>
      <c r="U1066" s="56"/>
      <c r="V1066" s="56"/>
      <c r="W1066" s="56"/>
      <c r="X1066" s="56"/>
      <c r="Y1066" s="56"/>
      <c r="Z1066" s="56"/>
      <c r="AA1066" s="56"/>
      <c r="AB1066" s="56"/>
      <c r="AC1066" s="55"/>
      <c r="AD1066" s="55"/>
      <c r="AE1066" s="56"/>
      <c r="AF1066" s="56"/>
      <c r="AG1066" s="56"/>
      <c r="AH1066" s="56"/>
      <c r="AI1066" s="56"/>
      <c r="AJ1066" s="56"/>
      <c r="AK1066" s="56"/>
      <c r="AL1066" s="56"/>
      <c r="AM1066" s="56"/>
      <c r="AN1066" s="56"/>
      <c r="AO1066" s="56"/>
      <c r="AP1066" s="56"/>
      <c r="AQ1066" s="56"/>
      <c r="AR1066" s="56"/>
      <c r="AS1066" s="56"/>
      <c r="AT1066" s="56"/>
      <c r="AU1066" s="56"/>
      <c r="AV1066" s="56"/>
      <c r="AW1066" s="56"/>
    </row>
    <row r="1067" spans="1:49" ht="15.75" customHeight="1" x14ac:dyDescent="0.15">
      <c r="A1067" s="56"/>
      <c r="B1067" s="56"/>
      <c r="C1067" s="56"/>
      <c r="D1067" s="56"/>
      <c r="E1067" s="56"/>
      <c r="F1067" s="56"/>
      <c r="G1067" s="56"/>
      <c r="H1067" s="56"/>
      <c r="I1067" s="56"/>
      <c r="J1067" s="56"/>
      <c r="K1067" s="56"/>
      <c r="L1067" s="56"/>
      <c r="M1067" s="56"/>
      <c r="N1067" s="56"/>
      <c r="O1067" s="389"/>
      <c r="P1067" s="55"/>
      <c r="Q1067" s="55"/>
      <c r="R1067" s="55"/>
      <c r="S1067" s="56"/>
      <c r="T1067" s="56"/>
      <c r="U1067" s="56"/>
      <c r="V1067" s="56"/>
      <c r="W1067" s="56"/>
      <c r="X1067" s="56"/>
      <c r="Y1067" s="56"/>
      <c r="Z1067" s="56"/>
      <c r="AA1067" s="56"/>
      <c r="AB1067" s="56"/>
      <c r="AC1067" s="55"/>
      <c r="AD1067" s="55"/>
      <c r="AE1067" s="56"/>
      <c r="AF1067" s="56"/>
      <c r="AG1067" s="56"/>
      <c r="AH1067" s="56"/>
      <c r="AI1067" s="56"/>
      <c r="AJ1067" s="56"/>
      <c r="AK1067" s="56"/>
      <c r="AL1067" s="56"/>
      <c r="AM1067" s="56"/>
      <c r="AN1067" s="56"/>
      <c r="AO1067" s="56"/>
      <c r="AP1067" s="56"/>
      <c r="AQ1067" s="56"/>
      <c r="AR1067" s="56"/>
      <c r="AS1067" s="56"/>
      <c r="AT1067" s="56"/>
      <c r="AU1067" s="56"/>
      <c r="AV1067" s="56"/>
      <c r="AW1067" s="56"/>
    </row>
    <row r="1068" spans="1:49" ht="15.75" customHeight="1" x14ac:dyDescent="0.15">
      <c r="A1068" s="56"/>
      <c r="B1068" s="56"/>
      <c r="C1068" s="56"/>
      <c r="D1068" s="56"/>
      <c r="E1068" s="56"/>
      <c r="F1068" s="56"/>
      <c r="G1068" s="56"/>
      <c r="H1068" s="56"/>
      <c r="I1068" s="56"/>
      <c r="J1068" s="56"/>
      <c r="K1068" s="56"/>
      <c r="L1068" s="56"/>
      <c r="M1068" s="56"/>
      <c r="N1068" s="56"/>
      <c r="O1068" s="389"/>
      <c r="P1068" s="55"/>
      <c r="Q1068" s="55"/>
      <c r="R1068" s="55"/>
      <c r="S1068" s="56"/>
      <c r="T1068" s="56"/>
      <c r="U1068" s="56"/>
      <c r="V1068" s="56"/>
      <c r="W1068" s="56"/>
      <c r="X1068" s="56"/>
      <c r="Y1068" s="56"/>
      <c r="Z1068" s="56"/>
      <c r="AA1068" s="56"/>
      <c r="AB1068" s="56"/>
      <c r="AC1068" s="55"/>
      <c r="AD1068" s="55"/>
      <c r="AE1068" s="56"/>
      <c r="AF1068" s="56"/>
      <c r="AG1068" s="56"/>
      <c r="AH1068" s="56"/>
      <c r="AI1068" s="56"/>
      <c r="AJ1068" s="56"/>
      <c r="AK1068" s="56"/>
      <c r="AL1068" s="56"/>
      <c r="AM1068" s="56"/>
      <c r="AN1068" s="56"/>
      <c r="AO1068" s="56"/>
      <c r="AP1068" s="56"/>
      <c r="AQ1068" s="56"/>
      <c r="AR1068" s="56"/>
      <c r="AS1068" s="56"/>
      <c r="AT1068" s="56"/>
      <c r="AU1068" s="56"/>
      <c r="AV1068" s="56"/>
      <c r="AW1068" s="56"/>
    </row>
    <row r="1069" spans="1:49" ht="15.75" customHeight="1" x14ac:dyDescent="0.15">
      <c r="A1069" s="56"/>
      <c r="B1069" s="56"/>
      <c r="C1069" s="56"/>
      <c r="D1069" s="56"/>
      <c r="E1069" s="56"/>
      <c r="F1069" s="56"/>
      <c r="G1069" s="56"/>
      <c r="H1069" s="56"/>
      <c r="I1069" s="56"/>
      <c r="J1069" s="56"/>
      <c r="K1069" s="56"/>
      <c r="L1069" s="56"/>
      <c r="M1069" s="56"/>
      <c r="N1069" s="56"/>
      <c r="O1069" s="389"/>
      <c r="P1069" s="55"/>
      <c r="Q1069" s="55"/>
      <c r="R1069" s="55"/>
      <c r="S1069" s="56"/>
      <c r="T1069" s="56"/>
      <c r="U1069" s="56"/>
      <c r="V1069" s="56"/>
      <c r="W1069" s="56"/>
      <c r="X1069" s="56"/>
      <c r="Y1069" s="56"/>
      <c r="Z1069" s="56"/>
      <c r="AA1069" s="56"/>
      <c r="AB1069" s="56"/>
      <c r="AC1069" s="55"/>
      <c r="AD1069" s="55"/>
      <c r="AE1069" s="56"/>
      <c r="AF1069" s="56"/>
      <c r="AG1069" s="56"/>
      <c r="AH1069" s="56"/>
      <c r="AI1069" s="56"/>
      <c r="AJ1069" s="56"/>
      <c r="AK1069" s="56"/>
      <c r="AL1069" s="56"/>
      <c r="AM1069" s="56"/>
      <c r="AN1069" s="56"/>
      <c r="AO1069" s="56"/>
      <c r="AP1069" s="56"/>
      <c r="AQ1069" s="56"/>
      <c r="AR1069" s="56"/>
      <c r="AS1069" s="56"/>
      <c r="AT1069" s="56"/>
      <c r="AU1069" s="56"/>
      <c r="AV1069" s="56"/>
      <c r="AW1069" s="56"/>
    </row>
    <row r="1070" spans="1:49" ht="15.75" customHeight="1" x14ac:dyDescent="0.15">
      <c r="A1070" s="56"/>
      <c r="B1070" s="56"/>
      <c r="C1070" s="56"/>
      <c r="D1070" s="56"/>
      <c r="E1070" s="56"/>
      <c r="F1070" s="56"/>
      <c r="G1070" s="56"/>
      <c r="H1070" s="56"/>
      <c r="I1070" s="56"/>
      <c r="J1070" s="56"/>
      <c r="K1070" s="56"/>
      <c r="L1070" s="56"/>
      <c r="M1070" s="56"/>
      <c r="N1070" s="56"/>
      <c r="O1070" s="389"/>
      <c r="P1070" s="55"/>
      <c r="Q1070" s="55"/>
      <c r="R1070" s="55"/>
      <c r="S1070" s="56"/>
      <c r="T1070" s="56"/>
      <c r="U1070" s="56"/>
      <c r="V1070" s="56"/>
      <c r="W1070" s="56"/>
      <c r="X1070" s="56"/>
      <c r="Y1070" s="56"/>
      <c r="Z1070" s="56"/>
      <c r="AA1070" s="56"/>
      <c r="AB1070" s="56"/>
      <c r="AC1070" s="55"/>
      <c r="AD1070" s="55"/>
      <c r="AE1070" s="56"/>
      <c r="AF1070" s="56"/>
      <c r="AG1070" s="56"/>
      <c r="AH1070" s="56"/>
      <c r="AI1070" s="56"/>
      <c r="AJ1070" s="56"/>
      <c r="AK1070" s="56"/>
      <c r="AL1070" s="56"/>
      <c r="AM1070" s="56"/>
      <c r="AN1070" s="56"/>
      <c r="AO1070" s="56"/>
      <c r="AP1070" s="56"/>
      <c r="AQ1070" s="56"/>
      <c r="AR1070" s="56"/>
      <c r="AS1070" s="56"/>
      <c r="AT1070" s="56"/>
      <c r="AU1070" s="56"/>
      <c r="AV1070" s="56"/>
      <c r="AW1070" s="56"/>
    </row>
    <row r="1071" spans="1:49" ht="15.75" customHeight="1" x14ac:dyDescent="0.15">
      <c r="A1071" s="56"/>
      <c r="B1071" s="56"/>
      <c r="C1071" s="56"/>
      <c r="D1071" s="56"/>
      <c r="E1071" s="56"/>
      <c r="F1071" s="56"/>
      <c r="G1071" s="56"/>
      <c r="H1071" s="56"/>
      <c r="I1071" s="56"/>
      <c r="J1071" s="56"/>
      <c r="K1071" s="56"/>
      <c r="L1071" s="56"/>
      <c r="M1071" s="56"/>
      <c r="N1071" s="56"/>
      <c r="O1071" s="389"/>
      <c r="P1071" s="55"/>
      <c r="Q1071" s="55"/>
      <c r="R1071" s="55"/>
      <c r="S1071" s="56"/>
      <c r="T1071" s="56"/>
      <c r="U1071" s="56"/>
      <c r="V1071" s="56"/>
      <c r="W1071" s="56"/>
      <c r="X1071" s="56"/>
      <c r="Y1071" s="56"/>
      <c r="Z1071" s="56"/>
      <c r="AA1071" s="56"/>
      <c r="AB1071" s="56"/>
      <c r="AC1071" s="55"/>
      <c r="AD1071" s="55"/>
      <c r="AE1071" s="56"/>
      <c r="AF1071" s="56"/>
      <c r="AG1071" s="56"/>
      <c r="AH1071" s="56"/>
      <c r="AI1071" s="56"/>
      <c r="AJ1071" s="56"/>
      <c r="AK1071" s="56"/>
      <c r="AL1071" s="56"/>
      <c r="AM1071" s="56"/>
      <c r="AN1071" s="56"/>
      <c r="AO1071" s="56"/>
      <c r="AP1071" s="56"/>
      <c r="AQ1071" s="56"/>
      <c r="AR1071" s="56"/>
      <c r="AS1071" s="56"/>
      <c r="AT1071" s="56"/>
      <c r="AU1071" s="56"/>
      <c r="AV1071" s="56"/>
      <c r="AW1071" s="56"/>
    </row>
    <row r="1072" spans="1:49" ht="15.75" customHeight="1" x14ac:dyDescent="0.15">
      <c r="A1072" s="56"/>
      <c r="B1072" s="56"/>
      <c r="C1072" s="56"/>
      <c r="D1072" s="56"/>
      <c r="E1072" s="56"/>
      <c r="F1072" s="56"/>
      <c r="G1072" s="56"/>
      <c r="H1072" s="56"/>
      <c r="I1072" s="56"/>
      <c r="J1072" s="56"/>
      <c r="K1072" s="56"/>
      <c r="L1072" s="56"/>
      <c r="M1072" s="56"/>
      <c r="N1072" s="56"/>
      <c r="O1072" s="389"/>
      <c r="P1072" s="55"/>
      <c r="Q1072" s="55"/>
      <c r="R1072" s="55"/>
      <c r="S1072" s="56"/>
      <c r="T1072" s="56"/>
      <c r="U1072" s="56"/>
      <c r="V1072" s="56"/>
      <c r="W1072" s="56"/>
      <c r="X1072" s="56"/>
      <c r="Y1072" s="56"/>
      <c r="Z1072" s="56"/>
      <c r="AA1072" s="56"/>
      <c r="AB1072" s="56"/>
      <c r="AC1072" s="55"/>
      <c r="AD1072" s="55"/>
      <c r="AE1072" s="56"/>
      <c r="AF1072" s="56"/>
      <c r="AG1072" s="56"/>
      <c r="AH1072" s="56"/>
      <c r="AI1072" s="56"/>
      <c r="AJ1072" s="56"/>
      <c r="AK1072" s="56"/>
      <c r="AL1072" s="56"/>
      <c r="AM1072" s="56"/>
      <c r="AN1072" s="56"/>
      <c r="AO1072" s="56"/>
      <c r="AP1072" s="56"/>
      <c r="AQ1072" s="56"/>
      <c r="AR1072" s="56"/>
      <c r="AS1072" s="56"/>
      <c r="AT1072" s="56"/>
      <c r="AU1072" s="56"/>
      <c r="AV1072" s="56"/>
      <c r="AW1072" s="56"/>
    </row>
    <row r="1073" spans="1:49" ht="15.75" customHeight="1" x14ac:dyDescent="0.15">
      <c r="A1073" s="56"/>
      <c r="B1073" s="56"/>
      <c r="C1073" s="56"/>
      <c r="D1073" s="56"/>
      <c r="E1073" s="56"/>
      <c r="F1073" s="56"/>
      <c r="G1073" s="56"/>
      <c r="H1073" s="56"/>
      <c r="I1073" s="56"/>
      <c r="J1073" s="56"/>
      <c r="K1073" s="56"/>
      <c r="L1073" s="56"/>
      <c r="M1073" s="56"/>
      <c r="N1073" s="56"/>
      <c r="O1073" s="389"/>
      <c r="P1073" s="55"/>
      <c r="Q1073" s="55"/>
      <c r="R1073" s="55"/>
      <c r="S1073" s="56"/>
      <c r="T1073" s="56"/>
      <c r="U1073" s="56"/>
      <c r="V1073" s="56"/>
      <c r="W1073" s="56"/>
      <c r="X1073" s="56"/>
      <c r="Y1073" s="56"/>
      <c r="Z1073" s="56"/>
      <c r="AA1073" s="56"/>
      <c r="AB1073" s="56"/>
      <c r="AC1073" s="55"/>
      <c r="AD1073" s="55"/>
      <c r="AE1073" s="56"/>
      <c r="AF1073" s="56"/>
      <c r="AG1073" s="56"/>
      <c r="AH1073" s="56"/>
      <c r="AI1073" s="56"/>
      <c r="AJ1073" s="56"/>
      <c r="AK1073" s="56"/>
      <c r="AL1073" s="56"/>
      <c r="AM1073" s="56"/>
      <c r="AN1073" s="56"/>
      <c r="AO1073" s="56"/>
      <c r="AP1073" s="56"/>
      <c r="AQ1073" s="56"/>
      <c r="AR1073" s="56"/>
      <c r="AS1073" s="56"/>
      <c r="AT1073" s="56"/>
      <c r="AU1073" s="56"/>
      <c r="AV1073" s="56"/>
      <c r="AW1073" s="56"/>
    </row>
    <row r="1074" spans="1:49" ht="15.75" customHeight="1" x14ac:dyDescent="0.15">
      <c r="A1074" s="56"/>
      <c r="B1074" s="56"/>
      <c r="C1074" s="56"/>
      <c r="D1074" s="56"/>
      <c r="E1074" s="56"/>
      <c r="F1074" s="56"/>
      <c r="G1074" s="56"/>
      <c r="H1074" s="56"/>
      <c r="I1074" s="56"/>
      <c r="J1074" s="56"/>
      <c r="K1074" s="56"/>
      <c r="L1074" s="56"/>
      <c r="M1074" s="56"/>
      <c r="N1074" s="56"/>
      <c r="O1074" s="389"/>
      <c r="P1074" s="55"/>
      <c r="Q1074" s="55"/>
      <c r="R1074" s="55"/>
      <c r="S1074" s="56"/>
      <c r="T1074" s="56"/>
      <c r="U1074" s="56"/>
      <c r="V1074" s="56"/>
      <c r="W1074" s="56"/>
      <c r="X1074" s="56"/>
      <c r="Y1074" s="56"/>
      <c r="Z1074" s="56"/>
      <c r="AA1074" s="56"/>
      <c r="AB1074" s="56"/>
      <c r="AC1074" s="55"/>
      <c r="AD1074" s="55"/>
      <c r="AE1074" s="56"/>
      <c r="AF1074" s="56"/>
      <c r="AG1074" s="56"/>
      <c r="AH1074" s="56"/>
      <c r="AI1074" s="56"/>
      <c r="AJ1074" s="56"/>
      <c r="AK1074" s="56"/>
      <c r="AL1074" s="56"/>
      <c r="AM1074" s="56"/>
      <c r="AN1074" s="56"/>
      <c r="AO1074" s="56"/>
      <c r="AP1074" s="56"/>
      <c r="AQ1074" s="56"/>
      <c r="AR1074" s="56"/>
      <c r="AS1074" s="56"/>
      <c r="AT1074" s="56"/>
      <c r="AU1074" s="56"/>
      <c r="AV1074" s="56"/>
      <c r="AW1074" s="56"/>
    </row>
    <row r="1075" spans="1:49" ht="15.75" customHeight="1" x14ac:dyDescent="0.15">
      <c r="A1075" s="56"/>
      <c r="B1075" s="56"/>
      <c r="C1075" s="56"/>
      <c r="D1075" s="56"/>
      <c r="E1075" s="56"/>
      <c r="F1075" s="56"/>
      <c r="G1075" s="56"/>
      <c r="H1075" s="56"/>
      <c r="I1075" s="56"/>
      <c r="J1075" s="56"/>
      <c r="K1075" s="56"/>
      <c r="L1075" s="56"/>
      <c r="M1075" s="56"/>
      <c r="N1075" s="56"/>
      <c r="O1075" s="389"/>
      <c r="P1075" s="55"/>
      <c r="Q1075" s="55"/>
      <c r="R1075" s="55"/>
      <c r="S1075" s="56"/>
      <c r="T1075" s="56"/>
      <c r="U1075" s="56"/>
      <c r="V1075" s="56"/>
      <c r="W1075" s="56"/>
      <c r="X1075" s="56"/>
      <c r="Y1075" s="56"/>
      <c r="Z1075" s="56"/>
      <c r="AA1075" s="56"/>
      <c r="AB1075" s="56"/>
      <c r="AC1075" s="55"/>
      <c r="AD1075" s="55"/>
      <c r="AE1075" s="56"/>
      <c r="AF1075" s="56"/>
      <c r="AG1075" s="56"/>
      <c r="AH1075" s="56"/>
      <c r="AI1075" s="56"/>
      <c r="AJ1075" s="56"/>
      <c r="AK1075" s="56"/>
      <c r="AL1075" s="56"/>
      <c r="AM1075" s="56"/>
      <c r="AN1075" s="56"/>
      <c r="AO1075" s="56"/>
      <c r="AP1075" s="56"/>
      <c r="AQ1075" s="56"/>
      <c r="AR1075" s="56"/>
      <c r="AS1075" s="56"/>
      <c r="AT1075" s="56"/>
      <c r="AU1075" s="56"/>
      <c r="AV1075" s="56"/>
      <c r="AW1075" s="56"/>
    </row>
    <row r="1076" spans="1:49" ht="15.75" customHeight="1" x14ac:dyDescent="0.15">
      <c r="A1076" s="56"/>
      <c r="B1076" s="56"/>
      <c r="C1076" s="56"/>
      <c r="D1076" s="56"/>
      <c r="E1076" s="56"/>
      <c r="F1076" s="56"/>
      <c r="G1076" s="56"/>
      <c r="H1076" s="56"/>
      <c r="I1076" s="56"/>
      <c r="J1076" s="56"/>
      <c r="K1076" s="56"/>
      <c r="L1076" s="56"/>
      <c r="M1076" s="56"/>
      <c r="N1076" s="56"/>
      <c r="O1076" s="389"/>
      <c r="P1076" s="55"/>
      <c r="Q1076" s="55"/>
      <c r="R1076" s="55"/>
      <c r="S1076" s="56"/>
      <c r="T1076" s="56"/>
      <c r="U1076" s="56"/>
      <c r="V1076" s="56"/>
      <c r="W1076" s="56"/>
      <c r="X1076" s="56"/>
      <c r="Y1076" s="56"/>
      <c r="Z1076" s="56"/>
      <c r="AA1076" s="56"/>
      <c r="AB1076" s="56"/>
      <c r="AC1076" s="55"/>
      <c r="AD1076" s="55"/>
      <c r="AE1076" s="56"/>
      <c r="AF1076" s="56"/>
      <c r="AG1076" s="56"/>
      <c r="AH1076" s="56"/>
      <c r="AI1076" s="56"/>
      <c r="AJ1076" s="56"/>
      <c r="AK1076" s="56"/>
      <c r="AL1076" s="56"/>
      <c r="AM1076" s="56"/>
      <c r="AN1076" s="56"/>
      <c r="AO1076" s="56"/>
      <c r="AP1076" s="56"/>
      <c r="AQ1076" s="56"/>
      <c r="AR1076" s="56"/>
      <c r="AS1076" s="56"/>
      <c r="AT1076" s="56"/>
      <c r="AU1076" s="56"/>
      <c r="AV1076" s="56"/>
      <c r="AW1076" s="56"/>
    </row>
    <row r="1077" spans="1:49" ht="15.75" customHeight="1" x14ac:dyDescent="0.15">
      <c r="A1077" s="56"/>
      <c r="B1077" s="56"/>
      <c r="C1077" s="56"/>
      <c r="D1077" s="56"/>
      <c r="E1077" s="56"/>
      <c r="F1077" s="56"/>
      <c r="G1077" s="56"/>
      <c r="H1077" s="56"/>
      <c r="I1077" s="56"/>
      <c r="J1077" s="56"/>
      <c r="K1077" s="56"/>
      <c r="L1077" s="56"/>
      <c r="M1077" s="56"/>
      <c r="N1077" s="56"/>
      <c r="O1077" s="389"/>
      <c r="P1077" s="55"/>
      <c r="Q1077" s="55"/>
      <c r="R1077" s="55"/>
      <c r="S1077" s="56"/>
      <c r="T1077" s="56"/>
      <c r="U1077" s="56"/>
      <c r="V1077" s="56"/>
      <c r="W1077" s="56"/>
      <c r="X1077" s="56"/>
      <c r="Y1077" s="56"/>
      <c r="Z1077" s="56"/>
      <c r="AA1077" s="56"/>
      <c r="AB1077" s="56"/>
      <c r="AC1077" s="55"/>
      <c r="AD1077" s="55"/>
      <c r="AE1077" s="56"/>
      <c r="AF1077" s="56"/>
      <c r="AG1077" s="56"/>
      <c r="AH1077" s="56"/>
      <c r="AI1077" s="56"/>
      <c r="AJ1077" s="56"/>
      <c r="AK1077" s="56"/>
      <c r="AL1077" s="56"/>
      <c r="AM1077" s="56"/>
      <c r="AN1077" s="56"/>
      <c r="AO1077" s="56"/>
      <c r="AP1077" s="56"/>
      <c r="AQ1077" s="56"/>
      <c r="AR1077" s="56"/>
      <c r="AS1077" s="56"/>
      <c r="AT1077" s="56"/>
      <c r="AU1077" s="56"/>
      <c r="AV1077" s="56"/>
      <c r="AW1077" s="56"/>
    </row>
    <row r="1078" spans="1:49" ht="15.75" customHeight="1" x14ac:dyDescent="0.15">
      <c r="A1078" s="56"/>
      <c r="B1078" s="56"/>
      <c r="C1078" s="56"/>
      <c r="D1078" s="56"/>
      <c r="E1078" s="56"/>
      <c r="F1078" s="56"/>
      <c r="G1078" s="56"/>
      <c r="H1078" s="56"/>
      <c r="I1078" s="56"/>
      <c r="J1078" s="56"/>
      <c r="K1078" s="56"/>
      <c r="L1078" s="56"/>
      <c r="M1078" s="56"/>
      <c r="N1078" s="56"/>
      <c r="O1078" s="389"/>
      <c r="P1078" s="55"/>
      <c r="Q1078" s="55"/>
      <c r="R1078" s="55"/>
      <c r="S1078" s="56"/>
      <c r="T1078" s="56"/>
      <c r="U1078" s="56"/>
      <c r="V1078" s="56"/>
      <c r="W1078" s="56"/>
      <c r="X1078" s="56"/>
      <c r="Y1078" s="56"/>
      <c r="Z1078" s="56"/>
      <c r="AA1078" s="56"/>
      <c r="AB1078" s="56"/>
      <c r="AC1078" s="55"/>
      <c r="AD1078" s="55"/>
      <c r="AE1078" s="56"/>
      <c r="AF1078" s="56"/>
      <c r="AG1078" s="56"/>
      <c r="AH1078" s="56"/>
      <c r="AI1078" s="56"/>
      <c r="AJ1078" s="56"/>
      <c r="AK1078" s="56"/>
      <c r="AL1078" s="56"/>
      <c r="AM1078" s="56"/>
      <c r="AN1078" s="56"/>
      <c r="AO1078" s="56"/>
      <c r="AP1078" s="56"/>
      <c r="AQ1078" s="56"/>
      <c r="AR1078" s="56"/>
      <c r="AS1078" s="56"/>
      <c r="AT1078" s="56"/>
      <c r="AU1078" s="56"/>
      <c r="AV1078" s="56"/>
      <c r="AW1078" s="56"/>
    </row>
    <row r="1079" spans="1:49" ht="15.75" customHeight="1" x14ac:dyDescent="0.15">
      <c r="A1079" s="56"/>
      <c r="B1079" s="56"/>
      <c r="C1079" s="56"/>
      <c r="D1079" s="56"/>
      <c r="E1079" s="56"/>
      <c r="F1079" s="56"/>
      <c r="G1079" s="56"/>
      <c r="H1079" s="56"/>
      <c r="I1079" s="56"/>
      <c r="J1079" s="56"/>
      <c r="K1079" s="56"/>
      <c r="L1079" s="56"/>
      <c r="M1079" s="56"/>
      <c r="N1079" s="56"/>
      <c r="O1079" s="389"/>
      <c r="P1079" s="55"/>
      <c r="Q1079" s="55"/>
      <c r="R1079" s="55"/>
      <c r="S1079" s="56"/>
      <c r="T1079" s="56"/>
      <c r="U1079" s="56"/>
      <c r="V1079" s="56"/>
      <c r="W1079" s="56"/>
      <c r="X1079" s="56"/>
      <c r="Y1079" s="56"/>
      <c r="Z1079" s="56"/>
      <c r="AA1079" s="56"/>
      <c r="AB1079" s="56"/>
      <c r="AC1079" s="55"/>
      <c r="AD1079" s="55"/>
      <c r="AE1079" s="56"/>
      <c r="AF1079" s="56"/>
      <c r="AG1079" s="56"/>
      <c r="AH1079" s="56"/>
      <c r="AI1079" s="56"/>
      <c r="AJ1079" s="56"/>
      <c r="AK1079" s="56"/>
      <c r="AL1079" s="56"/>
      <c r="AM1079" s="56"/>
      <c r="AN1079" s="56"/>
      <c r="AO1079" s="56"/>
      <c r="AP1079" s="56"/>
      <c r="AQ1079" s="56"/>
      <c r="AR1079" s="56"/>
      <c r="AS1079" s="56"/>
      <c r="AT1079" s="56"/>
      <c r="AU1079" s="56"/>
      <c r="AV1079" s="56"/>
      <c r="AW1079" s="56"/>
    </row>
    <row r="1080" spans="1:49" ht="15.75" customHeight="1" x14ac:dyDescent="0.15">
      <c r="A1080" s="56"/>
      <c r="B1080" s="56"/>
      <c r="C1080" s="56"/>
      <c r="D1080" s="56"/>
      <c r="E1080" s="56"/>
      <c r="F1080" s="56"/>
      <c r="G1080" s="56"/>
      <c r="H1080" s="56"/>
      <c r="I1080" s="56"/>
      <c r="J1080" s="56"/>
      <c r="K1080" s="56"/>
      <c r="L1080" s="56"/>
      <c r="M1080" s="56"/>
      <c r="N1080" s="56"/>
      <c r="O1080" s="389"/>
      <c r="P1080" s="55"/>
      <c r="Q1080" s="55"/>
      <c r="R1080" s="55"/>
      <c r="S1080" s="56"/>
      <c r="T1080" s="56"/>
      <c r="U1080" s="56"/>
      <c r="V1080" s="56"/>
      <c r="W1080" s="56"/>
      <c r="X1080" s="56"/>
      <c r="Y1080" s="56"/>
      <c r="Z1080" s="56"/>
      <c r="AA1080" s="56"/>
      <c r="AB1080" s="56"/>
      <c r="AC1080" s="55"/>
      <c r="AD1080" s="55"/>
      <c r="AE1080" s="56"/>
      <c r="AF1080" s="56"/>
      <c r="AG1080" s="56"/>
      <c r="AH1080" s="56"/>
      <c r="AI1080" s="56"/>
      <c r="AJ1080" s="56"/>
      <c r="AK1080" s="56"/>
      <c r="AL1080" s="56"/>
      <c r="AM1080" s="56"/>
      <c r="AN1080" s="56"/>
      <c r="AO1080" s="56"/>
      <c r="AP1080" s="56"/>
      <c r="AQ1080" s="56"/>
      <c r="AR1080" s="56"/>
      <c r="AS1080" s="56"/>
      <c r="AT1080" s="56"/>
      <c r="AU1080" s="56"/>
      <c r="AV1080" s="56"/>
      <c r="AW1080" s="56"/>
    </row>
    <row r="1081" spans="1:49" ht="15.75" customHeight="1" x14ac:dyDescent="0.15">
      <c r="A1081" s="56"/>
      <c r="B1081" s="56"/>
      <c r="C1081" s="56"/>
      <c r="D1081" s="56"/>
      <c r="E1081" s="56"/>
      <c r="F1081" s="56"/>
      <c r="G1081" s="56"/>
      <c r="H1081" s="56"/>
      <c r="I1081" s="56"/>
      <c r="J1081" s="56"/>
      <c r="K1081" s="56"/>
      <c r="L1081" s="56"/>
      <c r="M1081" s="56"/>
      <c r="N1081" s="56"/>
      <c r="O1081" s="389"/>
      <c r="P1081" s="55"/>
      <c r="Q1081" s="55"/>
      <c r="R1081" s="55"/>
      <c r="S1081" s="56"/>
      <c r="T1081" s="56"/>
      <c r="U1081" s="56"/>
      <c r="V1081" s="56"/>
      <c r="W1081" s="56"/>
      <c r="X1081" s="56"/>
      <c r="Y1081" s="56"/>
      <c r="Z1081" s="56"/>
      <c r="AA1081" s="56"/>
      <c r="AB1081" s="56"/>
      <c r="AC1081" s="55"/>
      <c r="AD1081" s="55"/>
      <c r="AE1081" s="56"/>
      <c r="AF1081" s="56"/>
      <c r="AG1081" s="56"/>
      <c r="AH1081" s="56"/>
      <c r="AI1081" s="56"/>
      <c r="AJ1081" s="56"/>
      <c r="AK1081" s="56"/>
      <c r="AL1081" s="56"/>
      <c r="AM1081" s="56"/>
      <c r="AN1081" s="56"/>
      <c r="AO1081" s="56"/>
      <c r="AP1081" s="56"/>
      <c r="AQ1081" s="56"/>
      <c r="AR1081" s="56"/>
      <c r="AS1081" s="56"/>
      <c r="AT1081" s="56"/>
      <c r="AU1081" s="56"/>
      <c r="AV1081" s="56"/>
      <c r="AW1081" s="56"/>
    </row>
    <row r="1082" spans="1:49" ht="15.75" customHeight="1" x14ac:dyDescent="0.15">
      <c r="A1082" s="56"/>
      <c r="B1082" s="56"/>
      <c r="C1082" s="56"/>
      <c r="D1082" s="56"/>
      <c r="E1082" s="56"/>
      <c r="F1082" s="56"/>
      <c r="G1082" s="56"/>
      <c r="H1082" s="56"/>
      <c r="I1082" s="56"/>
      <c r="J1082" s="56"/>
      <c r="K1082" s="56"/>
      <c r="L1082" s="56"/>
      <c r="M1082" s="56"/>
      <c r="N1082" s="56"/>
      <c r="O1082" s="389"/>
      <c r="P1082" s="55"/>
      <c r="Q1082" s="55"/>
      <c r="R1082" s="55"/>
      <c r="S1082" s="56"/>
      <c r="T1082" s="56"/>
      <c r="U1082" s="56"/>
      <c r="V1082" s="56"/>
      <c r="W1082" s="56"/>
      <c r="X1082" s="56"/>
      <c r="Y1082" s="56"/>
      <c r="Z1082" s="56"/>
      <c r="AA1082" s="56"/>
      <c r="AB1082" s="56"/>
      <c r="AC1082" s="55"/>
      <c r="AD1082" s="55"/>
      <c r="AE1082" s="56"/>
      <c r="AF1082" s="56"/>
      <c r="AG1082" s="56"/>
      <c r="AH1082" s="56"/>
      <c r="AI1082" s="56"/>
      <c r="AJ1082" s="56"/>
      <c r="AK1082" s="56"/>
      <c r="AL1082" s="56"/>
      <c r="AM1082" s="56"/>
      <c r="AN1082" s="56"/>
      <c r="AO1082" s="56"/>
      <c r="AP1082" s="56"/>
      <c r="AQ1082" s="56"/>
      <c r="AR1082" s="56"/>
      <c r="AS1082" s="56"/>
      <c r="AT1082" s="56"/>
      <c r="AU1082" s="56"/>
      <c r="AV1082" s="56"/>
      <c r="AW1082" s="56"/>
    </row>
    <row r="1083" spans="1:49" ht="15.75" customHeight="1" x14ac:dyDescent="0.15">
      <c r="A1083" s="56"/>
      <c r="B1083" s="56"/>
      <c r="C1083" s="56"/>
      <c r="D1083" s="56"/>
      <c r="E1083" s="56"/>
      <c r="F1083" s="56"/>
      <c r="G1083" s="56"/>
      <c r="H1083" s="56"/>
      <c r="I1083" s="56"/>
      <c r="J1083" s="56"/>
      <c r="K1083" s="56"/>
      <c r="L1083" s="56"/>
      <c r="M1083" s="56"/>
      <c r="N1083" s="56"/>
      <c r="O1083" s="389"/>
      <c r="P1083" s="55"/>
      <c r="Q1083" s="55"/>
      <c r="R1083" s="55"/>
      <c r="S1083" s="56"/>
      <c r="T1083" s="56"/>
      <c r="U1083" s="56"/>
      <c r="V1083" s="56"/>
      <c r="W1083" s="56"/>
      <c r="X1083" s="56"/>
      <c r="Y1083" s="56"/>
      <c r="Z1083" s="56"/>
      <c r="AA1083" s="56"/>
      <c r="AB1083" s="56"/>
      <c r="AC1083" s="55"/>
      <c r="AD1083" s="55"/>
      <c r="AE1083" s="56"/>
      <c r="AF1083" s="56"/>
      <c r="AG1083" s="56"/>
      <c r="AH1083" s="56"/>
      <c r="AI1083" s="56"/>
      <c r="AJ1083" s="56"/>
      <c r="AK1083" s="56"/>
      <c r="AL1083" s="56"/>
      <c r="AM1083" s="56"/>
      <c r="AN1083" s="56"/>
      <c r="AO1083" s="56"/>
      <c r="AP1083" s="56"/>
      <c r="AQ1083" s="56"/>
      <c r="AR1083" s="56"/>
      <c r="AS1083" s="56"/>
      <c r="AT1083" s="56"/>
      <c r="AU1083" s="56"/>
      <c r="AV1083" s="56"/>
      <c r="AW1083" s="56"/>
    </row>
    <row r="1084" spans="1:49" ht="15.75" customHeight="1" x14ac:dyDescent="0.15">
      <c r="A1084" s="56"/>
      <c r="B1084" s="56"/>
      <c r="C1084" s="56"/>
      <c r="D1084" s="56"/>
      <c r="E1084" s="56"/>
      <c r="F1084" s="56"/>
      <c r="G1084" s="56"/>
      <c r="H1084" s="56"/>
      <c r="I1084" s="56"/>
      <c r="J1084" s="56"/>
      <c r="K1084" s="56"/>
      <c r="L1084" s="56"/>
      <c r="M1084" s="56"/>
      <c r="N1084" s="56"/>
      <c r="O1084" s="389"/>
      <c r="P1084" s="55"/>
      <c r="Q1084" s="55"/>
      <c r="R1084" s="55"/>
      <c r="S1084" s="56"/>
      <c r="T1084" s="56"/>
      <c r="U1084" s="56"/>
      <c r="V1084" s="56"/>
      <c r="W1084" s="56"/>
      <c r="X1084" s="56"/>
      <c r="Y1084" s="56"/>
      <c r="Z1084" s="56"/>
      <c r="AA1084" s="56"/>
      <c r="AB1084" s="56"/>
      <c r="AC1084" s="55"/>
      <c r="AD1084" s="55"/>
      <c r="AE1084" s="56"/>
      <c r="AF1084" s="56"/>
      <c r="AG1084" s="56"/>
      <c r="AH1084" s="56"/>
      <c r="AI1084" s="56"/>
      <c r="AJ1084" s="56"/>
      <c r="AK1084" s="56"/>
      <c r="AL1084" s="56"/>
      <c r="AM1084" s="56"/>
      <c r="AN1084" s="56"/>
      <c r="AO1084" s="56"/>
      <c r="AP1084" s="56"/>
      <c r="AQ1084" s="56"/>
      <c r="AR1084" s="56"/>
      <c r="AS1084" s="56"/>
      <c r="AT1084" s="56"/>
      <c r="AU1084" s="56"/>
      <c r="AV1084" s="56"/>
      <c r="AW1084" s="56"/>
    </row>
    <row r="1085" spans="1:49" ht="15.75" customHeight="1" x14ac:dyDescent="0.15">
      <c r="A1085" s="56"/>
      <c r="B1085" s="56"/>
      <c r="C1085" s="56"/>
      <c r="D1085" s="56"/>
      <c r="E1085" s="56"/>
      <c r="F1085" s="56"/>
      <c r="G1085" s="56"/>
      <c r="H1085" s="56"/>
      <c r="I1085" s="56"/>
      <c r="J1085" s="56"/>
      <c r="K1085" s="56"/>
      <c r="L1085" s="56"/>
      <c r="M1085" s="56"/>
      <c r="N1085" s="56"/>
      <c r="O1085" s="389"/>
      <c r="P1085" s="55"/>
      <c r="Q1085" s="55"/>
      <c r="R1085" s="55"/>
      <c r="S1085" s="56"/>
      <c r="T1085" s="56"/>
      <c r="U1085" s="56"/>
      <c r="V1085" s="56"/>
      <c r="W1085" s="56"/>
      <c r="X1085" s="56"/>
      <c r="Y1085" s="56"/>
      <c r="Z1085" s="56"/>
      <c r="AA1085" s="56"/>
      <c r="AB1085" s="56"/>
      <c r="AC1085" s="55"/>
      <c r="AD1085" s="55"/>
      <c r="AE1085" s="56"/>
      <c r="AF1085" s="56"/>
      <c r="AG1085" s="56"/>
      <c r="AH1085" s="56"/>
      <c r="AI1085" s="56"/>
      <c r="AJ1085" s="56"/>
      <c r="AK1085" s="56"/>
      <c r="AL1085" s="56"/>
      <c r="AM1085" s="56"/>
      <c r="AN1085" s="56"/>
      <c r="AO1085" s="56"/>
      <c r="AP1085" s="56"/>
      <c r="AQ1085" s="56"/>
      <c r="AR1085" s="56"/>
      <c r="AS1085" s="56"/>
      <c r="AT1085" s="56"/>
      <c r="AU1085" s="56"/>
      <c r="AV1085" s="56"/>
      <c r="AW1085" s="56"/>
    </row>
    <row r="1086" spans="1:49" ht="15.75" customHeight="1" x14ac:dyDescent="0.15">
      <c r="A1086" s="56"/>
      <c r="B1086" s="56"/>
      <c r="C1086" s="56"/>
      <c r="D1086" s="56"/>
      <c r="E1086" s="56"/>
      <c r="F1086" s="56"/>
      <c r="G1086" s="56"/>
      <c r="H1086" s="56"/>
      <c r="I1086" s="56"/>
      <c r="J1086" s="56"/>
      <c r="K1086" s="56"/>
      <c r="L1086" s="56"/>
      <c r="M1086" s="56"/>
      <c r="N1086" s="56"/>
      <c r="O1086" s="389"/>
      <c r="P1086" s="55"/>
      <c r="Q1086" s="55"/>
      <c r="R1086" s="55"/>
      <c r="S1086" s="56"/>
      <c r="T1086" s="56"/>
      <c r="U1086" s="56"/>
      <c r="V1086" s="56"/>
      <c r="W1086" s="56"/>
      <c r="X1086" s="56"/>
      <c r="Y1086" s="56"/>
      <c r="Z1086" s="56"/>
      <c r="AA1086" s="56"/>
      <c r="AB1086" s="56"/>
      <c r="AC1086" s="55"/>
      <c r="AD1086" s="55"/>
      <c r="AE1086" s="56"/>
      <c r="AF1086" s="56"/>
      <c r="AG1086" s="56"/>
      <c r="AH1086" s="56"/>
      <c r="AI1086" s="56"/>
      <c r="AJ1086" s="56"/>
      <c r="AK1086" s="56"/>
      <c r="AL1086" s="56"/>
      <c r="AM1086" s="56"/>
      <c r="AN1086" s="56"/>
      <c r="AO1086" s="56"/>
      <c r="AP1086" s="56"/>
      <c r="AQ1086" s="56"/>
      <c r="AR1086" s="56"/>
      <c r="AS1086" s="56"/>
      <c r="AT1086" s="56"/>
      <c r="AU1086" s="56"/>
      <c r="AV1086" s="56"/>
      <c r="AW1086" s="56"/>
    </row>
    <row r="1087" spans="1:49" ht="15.75" customHeight="1" x14ac:dyDescent="0.15">
      <c r="A1087" s="56"/>
      <c r="B1087" s="56"/>
      <c r="C1087" s="56"/>
      <c r="D1087" s="56"/>
      <c r="E1087" s="56"/>
      <c r="F1087" s="56"/>
      <c r="G1087" s="56"/>
      <c r="H1087" s="56"/>
      <c r="I1087" s="56"/>
      <c r="J1087" s="56"/>
      <c r="K1087" s="56"/>
      <c r="L1087" s="56"/>
      <c r="M1087" s="56"/>
      <c r="N1087" s="56"/>
      <c r="O1087" s="389"/>
      <c r="P1087" s="55"/>
      <c r="Q1087" s="55"/>
      <c r="R1087" s="55"/>
      <c r="S1087" s="56"/>
      <c r="T1087" s="56"/>
      <c r="U1087" s="56"/>
      <c r="V1087" s="56"/>
      <c r="W1087" s="56"/>
      <c r="X1087" s="56"/>
      <c r="Y1087" s="56"/>
      <c r="Z1087" s="56"/>
      <c r="AA1087" s="56"/>
      <c r="AB1087" s="56"/>
      <c r="AC1087" s="55"/>
      <c r="AD1087" s="55"/>
      <c r="AE1087" s="56"/>
      <c r="AF1087" s="56"/>
      <c r="AG1087" s="56"/>
      <c r="AH1087" s="56"/>
      <c r="AI1087" s="56"/>
      <c r="AJ1087" s="56"/>
      <c r="AK1087" s="56"/>
      <c r="AL1087" s="56"/>
      <c r="AM1087" s="56"/>
      <c r="AN1087" s="56"/>
      <c r="AO1087" s="56"/>
      <c r="AP1087" s="56"/>
      <c r="AQ1087" s="56"/>
      <c r="AR1087" s="56"/>
      <c r="AS1087" s="56"/>
      <c r="AT1087" s="56"/>
      <c r="AU1087" s="56"/>
      <c r="AV1087" s="56"/>
      <c r="AW1087" s="56"/>
    </row>
    <row r="1088" spans="1:49" ht="15.75" customHeight="1" x14ac:dyDescent="0.15">
      <c r="A1088" s="56"/>
      <c r="B1088" s="56"/>
      <c r="C1088" s="56"/>
      <c r="D1088" s="56"/>
      <c r="E1088" s="56"/>
      <c r="F1088" s="56"/>
      <c r="G1088" s="56"/>
      <c r="H1088" s="56"/>
      <c r="I1088" s="56"/>
      <c r="J1088" s="56"/>
      <c r="K1088" s="56"/>
      <c r="L1088" s="56"/>
      <c r="M1088" s="56"/>
      <c r="N1088" s="56"/>
      <c r="O1088" s="389"/>
      <c r="P1088" s="55"/>
      <c r="Q1088" s="55"/>
      <c r="R1088" s="55"/>
      <c r="S1088" s="56"/>
      <c r="T1088" s="56"/>
      <c r="U1088" s="56"/>
      <c r="V1088" s="56"/>
      <c r="W1088" s="56"/>
      <c r="X1088" s="56"/>
      <c r="Y1088" s="56"/>
      <c r="Z1088" s="56"/>
      <c r="AA1088" s="56"/>
      <c r="AB1088" s="56"/>
      <c r="AC1088" s="55"/>
      <c r="AD1088" s="55"/>
      <c r="AE1088" s="56"/>
      <c r="AF1088" s="56"/>
      <c r="AG1088" s="56"/>
      <c r="AH1088" s="56"/>
      <c r="AI1088" s="56"/>
      <c r="AJ1088" s="56"/>
      <c r="AK1088" s="56"/>
      <c r="AL1088" s="56"/>
      <c r="AM1088" s="56"/>
      <c r="AN1088" s="56"/>
      <c r="AO1088" s="56"/>
      <c r="AP1088" s="56"/>
      <c r="AQ1088" s="56"/>
      <c r="AR1088" s="56"/>
      <c r="AS1088" s="56"/>
      <c r="AT1088" s="56"/>
      <c r="AU1088" s="56"/>
      <c r="AV1088" s="56"/>
      <c r="AW1088" s="56"/>
    </row>
    <row r="1089" spans="1:49" ht="15.75" customHeight="1" x14ac:dyDescent="0.15">
      <c r="A1089" s="56"/>
      <c r="B1089" s="56"/>
      <c r="C1089" s="56"/>
      <c r="D1089" s="56"/>
      <c r="E1089" s="56"/>
      <c r="F1089" s="56"/>
      <c r="G1089" s="56"/>
      <c r="H1089" s="56"/>
      <c r="I1089" s="56"/>
      <c r="J1089" s="56"/>
      <c r="K1089" s="56"/>
      <c r="L1089" s="56"/>
      <c r="M1089" s="56"/>
      <c r="N1089" s="56"/>
      <c r="O1089" s="389"/>
      <c r="P1089" s="55"/>
      <c r="Q1089" s="55"/>
      <c r="R1089" s="55"/>
      <c r="S1089" s="56"/>
      <c r="T1089" s="56"/>
      <c r="U1089" s="56"/>
      <c r="V1089" s="56"/>
      <c r="W1089" s="56"/>
      <c r="X1089" s="56"/>
      <c r="Y1089" s="56"/>
      <c r="Z1089" s="56"/>
      <c r="AA1089" s="56"/>
      <c r="AB1089" s="56"/>
      <c r="AC1089" s="55"/>
      <c r="AD1089" s="55"/>
      <c r="AE1089" s="56"/>
      <c r="AF1089" s="56"/>
      <c r="AG1089" s="56"/>
      <c r="AH1089" s="56"/>
      <c r="AI1089" s="56"/>
      <c r="AJ1089" s="56"/>
      <c r="AK1089" s="56"/>
      <c r="AL1089" s="56"/>
      <c r="AM1089" s="56"/>
      <c r="AN1089" s="56"/>
      <c r="AO1089" s="56"/>
      <c r="AP1089" s="56"/>
      <c r="AQ1089" s="56"/>
      <c r="AR1089" s="56"/>
      <c r="AS1089" s="56"/>
      <c r="AT1089" s="56"/>
      <c r="AU1089" s="56"/>
      <c r="AV1089" s="56"/>
      <c r="AW1089" s="56"/>
    </row>
    <row r="1090" spans="1:49" ht="15.75" customHeight="1" x14ac:dyDescent="0.15">
      <c r="A1090" s="56"/>
      <c r="B1090" s="56"/>
      <c r="C1090" s="56"/>
      <c r="D1090" s="56"/>
      <c r="E1090" s="56"/>
      <c r="F1090" s="56"/>
      <c r="G1090" s="56"/>
      <c r="H1090" s="56"/>
      <c r="I1090" s="56"/>
      <c r="J1090" s="56"/>
      <c r="K1090" s="56"/>
      <c r="L1090" s="56"/>
      <c r="M1090" s="56"/>
      <c r="N1090" s="56"/>
      <c r="O1090" s="389"/>
      <c r="P1090" s="55"/>
      <c r="Q1090" s="55"/>
      <c r="R1090" s="55"/>
      <c r="S1090" s="56"/>
      <c r="T1090" s="56"/>
      <c r="U1090" s="56"/>
      <c r="V1090" s="56"/>
      <c r="W1090" s="56"/>
      <c r="X1090" s="56"/>
      <c r="Y1090" s="56"/>
      <c r="Z1090" s="56"/>
      <c r="AA1090" s="56"/>
      <c r="AB1090" s="56"/>
      <c r="AC1090" s="55"/>
      <c r="AD1090" s="55"/>
      <c r="AE1090" s="56"/>
      <c r="AF1090" s="56"/>
      <c r="AG1090" s="56"/>
      <c r="AH1090" s="56"/>
      <c r="AI1090" s="56"/>
      <c r="AJ1090" s="56"/>
      <c r="AK1090" s="56"/>
      <c r="AL1090" s="56"/>
      <c r="AM1090" s="56"/>
      <c r="AN1090" s="56"/>
      <c r="AO1090" s="56"/>
      <c r="AP1090" s="56"/>
      <c r="AQ1090" s="56"/>
      <c r="AR1090" s="56"/>
      <c r="AS1090" s="56"/>
      <c r="AT1090" s="56"/>
      <c r="AU1090" s="56"/>
      <c r="AV1090" s="56"/>
      <c r="AW1090" s="56"/>
    </row>
    <row r="1091" spans="1:49" ht="15.75" customHeight="1" x14ac:dyDescent="0.15">
      <c r="A1091" s="56"/>
      <c r="B1091" s="56"/>
      <c r="C1091" s="56"/>
      <c r="D1091" s="56"/>
      <c r="E1091" s="56"/>
      <c r="F1091" s="56"/>
      <c r="G1091" s="56"/>
      <c r="H1091" s="56"/>
      <c r="I1091" s="56"/>
      <c r="J1091" s="56"/>
      <c r="K1091" s="56"/>
      <c r="L1091" s="56"/>
      <c r="M1091" s="56"/>
      <c r="N1091" s="56"/>
      <c r="O1091" s="389"/>
      <c r="P1091" s="55"/>
      <c r="Q1091" s="55"/>
      <c r="R1091" s="55"/>
      <c r="S1091" s="56"/>
      <c r="T1091" s="56"/>
      <c r="U1091" s="56"/>
      <c r="V1091" s="56"/>
      <c r="W1091" s="56"/>
      <c r="X1091" s="56"/>
      <c r="Y1091" s="56"/>
      <c r="Z1091" s="56"/>
      <c r="AA1091" s="56"/>
      <c r="AB1091" s="56"/>
      <c r="AC1091" s="55"/>
      <c r="AD1091" s="55"/>
      <c r="AE1091" s="56"/>
      <c r="AF1091" s="56"/>
      <c r="AG1091" s="56"/>
      <c r="AH1091" s="56"/>
      <c r="AI1091" s="56"/>
      <c r="AJ1091" s="56"/>
      <c r="AK1091" s="56"/>
      <c r="AL1091" s="56"/>
      <c r="AM1091" s="56"/>
      <c r="AN1091" s="56"/>
      <c r="AO1091" s="56"/>
      <c r="AP1091" s="56"/>
      <c r="AQ1091" s="56"/>
      <c r="AR1091" s="56"/>
      <c r="AS1091" s="56"/>
      <c r="AT1091" s="56"/>
      <c r="AU1091" s="56"/>
      <c r="AV1091" s="56"/>
      <c r="AW1091" s="56"/>
    </row>
    <row r="1092" spans="1:49" ht="15.75" customHeight="1" x14ac:dyDescent="0.15">
      <c r="A1092" s="56"/>
      <c r="B1092" s="56"/>
      <c r="C1092" s="56"/>
      <c r="D1092" s="56"/>
      <c r="E1092" s="56"/>
      <c r="F1092" s="56"/>
      <c r="G1092" s="56"/>
      <c r="H1092" s="56"/>
      <c r="I1092" s="56"/>
      <c r="J1092" s="56"/>
      <c r="K1092" s="56"/>
      <c r="L1092" s="56"/>
      <c r="M1092" s="56"/>
      <c r="N1092" s="56"/>
      <c r="O1092" s="389"/>
      <c r="P1092" s="55"/>
      <c r="Q1092" s="55"/>
      <c r="R1092" s="55"/>
      <c r="S1092" s="56"/>
      <c r="T1092" s="56"/>
      <c r="U1092" s="56"/>
      <c r="V1092" s="56"/>
      <c r="W1092" s="56"/>
      <c r="X1092" s="56"/>
      <c r="Y1092" s="56"/>
      <c r="Z1092" s="56"/>
      <c r="AA1092" s="56"/>
      <c r="AB1092" s="56"/>
      <c r="AC1092" s="55"/>
      <c r="AD1092" s="55"/>
      <c r="AE1092" s="56"/>
      <c r="AF1092" s="56"/>
      <c r="AG1092" s="56"/>
      <c r="AH1092" s="56"/>
      <c r="AI1092" s="56"/>
      <c r="AJ1092" s="56"/>
      <c r="AK1092" s="56"/>
      <c r="AL1092" s="56"/>
      <c r="AM1092" s="56"/>
      <c r="AN1092" s="56"/>
      <c r="AO1092" s="56"/>
      <c r="AP1092" s="56"/>
      <c r="AQ1092" s="56"/>
      <c r="AR1092" s="56"/>
      <c r="AS1092" s="56"/>
      <c r="AT1092" s="56"/>
      <c r="AU1092" s="56"/>
      <c r="AV1092" s="56"/>
      <c r="AW1092" s="56"/>
    </row>
    <row r="1093" spans="1:49" ht="15.75" customHeight="1" x14ac:dyDescent="0.15">
      <c r="A1093" s="56"/>
      <c r="B1093" s="56"/>
      <c r="C1093" s="56"/>
      <c r="D1093" s="56"/>
      <c r="E1093" s="56"/>
      <c r="F1093" s="56"/>
      <c r="G1093" s="56"/>
      <c r="H1093" s="56"/>
      <c r="I1093" s="56"/>
      <c r="J1093" s="56"/>
      <c r="K1093" s="56"/>
      <c r="L1093" s="56"/>
      <c r="M1093" s="56"/>
      <c r="N1093" s="56"/>
      <c r="O1093" s="389"/>
      <c r="P1093" s="55"/>
      <c r="Q1093" s="55"/>
      <c r="R1093" s="55"/>
      <c r="S1093" s="56"/>
      <c r="T1093" s="56"/>
      <c r="U1093" s="56"/>
      <c r="V1093" s="56"/>
      <c r="W1093" s="56"/>
      <c r="X1093" s="56"/>
      <c r="Y1093" s="56"/>
      <c r="Z1093" s="56"/>
      <c r="AA1093" s="56"/>
      <c r="AB1093" s="56"/>
      <c r="AC1093" s="55"/>
      <c r="AD1093" s="55"/>
      <c r="AE1093" s="56"/>
      <c r="AF1093" s="56"/>
      <c r="AG1093" s="56"/>
      <c r="AH1093" s="56"/>
      <c r="AI1093" s="56"/>
      <c r="AJ1093" s="56"/>
      <c r="AK1093" s="56"/>
      <c r="AL1093" s="56"/>
      <c r="AM1093" s="56"/>
      <c r="AN1093" s="56"/>
      <c r="AO1093" s="56"/>
      <c r="AP1093" s="56"/>
      <c r="AQ1093" s="56"/>
      <c r="AR1093" s="56"/>
      <c r="AS1093" s="56"/>
      <c r="AT1093" s="56"/>
      <c r="AU1093" s="56"/>
      <c r="AV1093" s="56"/>
      <c r="AW1093" s="56"/>
    </row>
    <row r="1094" spans="1:49" ht="15.75" customHeight="1" x14ac:dyDescent="0.15">
      <c r="A1094" s="56"/>
      <c r="B1094" s="56"/>
      <c r="C1094" s="56"/>
      <c r="D1094" s="56"/>
      <c r="E1094" s="56"/>
      <c r="F1094" s="56"/>
      <c r="G1094" s="56"/>
      <c r="H1094" s="56"/>
      <c r="I1094" s="56"/>
      <c r="J1094" s="56"/>
      <c r="K1094" s="56"/>
      <c r="L1094" s="56"/>
      <c r="M1094" s="56"/>
      <c r="N1094" s="56"/>
      <c r="O1094" s="389"/>
      <c r="P1094" s="55"/>
      <c r="Q1094" s="55"/>
      <c r="R1094" s="55"/>
      <c r="S1094" s="56"/>
      <c r="T1094" s="56"/>
      <c r="U1094" s="56"/>
      <c r="V1094" s="56"/>
      <c r="W1094" s="56"/>
      <c r="X1094" s="56"/>
      <c r="Y1094" s="56"/>
      <c r="Z1094" s="56"/>
      <c r="AA1094" s="56"/>
      <c r="AB1094" s="56"/>
      <c r="AC1094" s="55"/>
      <c r="AD1094" s="55"/>
      <c r="AE1094" s="56"/>
      <c r="AF1094" s="56"/>
      <c r="AG1094" s="56"/>
      <c r="AH1094" s="56"/>
      <c r="AI1094" s="56"/>
      <c r="AJ1094" s="56"/>
      <c r="AK1094" s="56"/>
      <c r="AL1094" s="56"/>
      <c r="AM1094" s="56"/>
      <c r="AN1094" s="56"/>
      <c r="AO1094" s="56"/>
      <c r="AP1094" s="56"/>
      <c r="AQ1094" s="56"/>
      <c r="AR1094" s="56"/>
      <c r="AS1094" s="56"/>
      <c r="AT1094" s="56"/>
      <c r="AU1094" s="56"/>
      <c r="AV1094" s="56"/>
      <c r="AW1094" s="56"/>
    </row>
    <row r="1095" spans="1:49" ht="15.75" customHeight="1" x14ac:dyDescent="0.15">
      <c r="A1095" s="56"/>
      <c r="B1095" s="56"/>
      <c r="C1095" s="56"/>
      <c r="D1095" s="56"/>
      <c r="E1095" s="56"/>
      <c r="F1095" s="56"/>
      <c r="G1095" s="56"/>
      <c r="H1095" s="56"/>
      <c r="I1095" s="56"/>
      <c r="J1095" s="56"/>
      <c r="K1095" s="56"/>
      <c r="L1095" s="56"/>
      <c r="M1095" s="56"/>
      <c r="N1095" s="56"/>
      <c r="O1095" s="389"/>
      <c r="P1095" s="55"/>
      <c r="Q1095" s="55"/>
      <c r="R1095" s="55"/>
      <c r="S1095" s="56"/>
      <c r="T1095" s="56"/>
      <c r="U1095" s="56"/>
      <c r="V1095" s="56"/>
      <c r="W1095" s="56"/>
      <c r="X1095" s="56"/>
      <c r="Y1095" s="56"/>
      <c r="Z1095" s="56"/>
      <c r="AA1095" s="56"/>
      <c r="AB1095" s="56"/>
      <c r="AC1095" s="55"/>
      <c r="AD1095" s="55"/>
      <c r="AE1095" s="56"/>
      <c r="AF1095" s="56"/>
      <c r="AG1095" s="56"/>
      <c r="AH1095" s="56"/>
      <c r="AI1095" s="56"/>
      <c r="AJ1095" s="56"/>
      <c r="AK1095" s="56"/>
      <c r="AL1095" s="56"/>
      <c r="AM1095" s="56"/>
      <c r="AN1095" s="56"/>
      <c r="AO1095" s="56"/>
      <c r="AP1095" s="56"/>
      <c r="AQ1095" s="56"/>
      <c r="AR1095" s="56"/>
      <c r="AS1095" s="56"/>
      <c r="AT1095" s="56"/>
      <c r="AU1095" s="56"/>
      <c r="AV1095" s="56"/>
      <c r="AW1095" s="56"/>
    </row>
    <row r="1096" spans="1:49" ht="15.75" customHeight="1" x14ac:dyDescent="0.15">
      <c r="A1096" s="56"/>
      <c r="B1096" s="56"/>
      <c r="C1096" s="56"/>
      <c r="D1096" s="56"/>
      <c r="E1096" s="56"/>
      <c r="F1096" s="56"/>
      <c r="G1096" s="56"/>
      <c r="H1096" s="56"/>
      <c r="I1096" s="56"/>
      <c r="J1096" s="56"/>
      <c r="K1096" s="56"/>
      <c r="L1096" s="56"/>
      <c r="M1096" s="56"/>
      <c r="N1096" s="56"/>
      <c r="O1096" s="389"/>
      <c r="P1096" s="55"/>
      <c r="Q1096" s="55"/>
      <c r="R1096" s="55"/>
      <c r="S1096" s="56"/>
      <c r="T1096" s="56"/>
      <c r="U1096" s="56"/>
      <c r="V1096" s="56"/>
      <c r="W1096" s="56"/>
      <c r="X1096" s="56"/>
      <c r="Y1096" s="56"/>
      <c r="Z1096" s="56"/>
      <c r="AA1096" s="56"/>
      <c r="AB1096" s="56"/>
      <c r="AC1096" s="55"/>
      <c r="AD1096" s="55"/>
      <c r="AE1096" s="56"/>
      <c r="AF1096" s="56"/>
      <c r="AG1096" s="56"/>
      <c r="AH1096" s="56"/>
      <c r="AI1096" s="56"/>
      <c r="AJ1096" s="56"/>
      <c r="AK1096" s="56"/>
      <c r="AL1096" s="56"/>
      <c r="AM1096" s="56"/>
      <c r="AN1096" s="56"/>
      <c r="AO1096" s="56"/>
      <c r="AP1096" s="56"/>
      <c r="AQ1096" s="56"/>
      <c r="AR1096" s="56"/>
      <c r="AS1096" s="56"/>
      <c r="AT1096" s="56"/>
      <c r="AU1096" s="56"/>
      <c r="AV1096" s="56"/>
      <c r="AW1096" s="56"/>
    </row>
    <row r="1097" spans="1:49" ht="15.75" customHeight="1" x14ac:dyDescent="0.15">
      <c r="A1097" s="56"/>
      <c r="B1097" s="56"/>
      <c r="C1097" s="56"/>
      <c r="D1097" s="56"/>
      <c r="E1097" s="56"/>
      <c r="F1097" s="56"/>
      <c r="G1097" s="56"/>
      <c r="H1097" s="56"/>
      <c r="I1097" s="56"/>
      <c r="J1097" s="56"/>
      <c r="K1097" s="56"/>
      <c r="L1097" s="56"/>
      <c r="M1097" s="56"/>
      <c r="N1097" s="56"/>
      <c r="O1097" s="389"/>
      <c r="P1097" s="55"/>
      <c r="Q1097" s="55"/>
      <c r="R1097" s="55"/>
      <c r="S1097" s="56"/>
      <c r="T1097" s="56"/>
      <c r="U1097" s="56"/>
      <c r="V1097" s="56"/>
      <c r="W1097" s="56"/>
      <c r="X1097" s="56"/>
      <c r="Y1097" s="56"/>
      <c r="Z1097" s="56"/>
      <c r="AA1097" s="56"/>
      <c r="AB1097" s="56"/>
      <c r="AC1097" s="55"/>
      <c r="AD1097" s="55"/>
      <c r="AE1097" s="56"/>
      <c r="AF1097" s="56"/>
      <c r="AG1097" s="56"/>
      <c r="AH1097" s="56"/>
      <c r="AI1097" s="56"/>
      <c r="AJ1097" s="56"/>
      <c r="AK1097" s="56"/>
      <c r="AL1097" s="56"/>
      <c r="AM1097" s="56"/>
      <c r="AN1097" s="56"/>
      <c r="AO1097" s="56"/>
      <c r="AP1097" s="56"/>
      <c r="AQ1097" s="56"/>
      <c r="AR1097" s="56"/>
      <c r="AS1097" s="56"/>
      <c r="AT1097" s="56"/>
      <c r="AU1097" s="56"/>
      <c r="AV1097" s="56"/>
      <c r="AW1097" s="56"/>
    </row>
    <row r="1098" spans="1:49" ht="15.75" customHeight="1" x14ac:dyDescent="0.15">
      <c r="A1098" s="56"/>
      <c r="B1098" s="56"/>
      <c r="C1098" s="56"/>
      <c r="D1098" s="56"/>
      <c r="E1098" s="56"/>
      <c r="F1098" s="56"/>
      <c r="G1098" s="56"/>
      <c r="H1098" s="56"/>
      <c r="I1098" s="56"/>
      <c r="J1098" s="56"/>
      <c r="K1098" s="56"/>
      <c r="L1098" s="56"/>
      <c r="M1098" s="56"/>
      <c r="N1098" s="56"/>
      <c r="O1098" s="389"/>
      <c r="P1098" s="55"/>
      <c r="Q1098" s="55"/>
      <c r="R1098" s="55"/>
      <c r="S1098" s="56"/>
      <c r="T1098" s="56"/>
      <c r="U1098" s="56"/>
      <c r="V1098" s="56"/>
      <c r="W1098" s="56"/>
      <c r="X1098" s="56"/>
      <c r="Y1098" s="56"/>
      <c r="Z1098" s="56"/>
      <c r="AA1098" s="56"/>
      <c r="AB1098" s="56"/>
      <c r="AC1098" s="55"/>
      <c r="AD1098" s="55"/>
      <c r="AE1098" s="56"/>
      <c r="AF1098" s="56"/>
      <c r="AG1098" s="56"/>
      <c r="AH1098" s="56"/>
      <c r="AI1098" s="56"/>
      <c r="AJ1098" s="56"/>
      <c r="AK1098" s="56"/>
      <c r="AL1098" s="56"/>
      <c r="AM1098" s="56"/>
      <c r="AN1098" s="56"/>
      <c r="AO1098" s="56"/>
      <c r="AP1098" s="56"/>
      <c r="AQ1098" s="56"/>
      <c r="AR1098" s="56"/>
      <c r="AS1098" s="56"/>
      <c r="AT1098" s="56"/>
      <c r="AU1098" s="56"/>
      <c r="AV1098" s="56"/>
      <c r="AW1098" s="56"/>
    </row>
    <row r="1099" spans="1:49" ht="15.75" customHeight="1" x14ac:dyDescent="0.15">
      <c r="A1099" s="56"/>
      <c r="B1099" s="56"/>
      <c r="C1099" s="56"/>
      <c r="D1099" s="56"/>
      <c r="E1099" s="56"/>
      <c r="F1099" s="56"/>
      <c r="G1099" s="56"/>
      <c r="H1099" s="56"/>
      <c r="I1099" s="56"/>
      <c r="J1099" s="56"/>
      <c r="K1099" s="56"/>
      <c r="L1099" s="56"/>
      <c r="M1099" s="56"/>
      <c r="N1099" s="56"/>
      <c r="O1099" s="389"/>
      <c r="P1099" s="55"/>
      <c r="Q1099" s="55"/>
      <c r="R1099" s="55"/>
      <c r="S1099" s="56"/>
      <c r="T1099" s="56"/>
      <c r="U1099" s="56"/>
      <c r="V1099" s="56"/>
      <c r="W1099" s="56"/>
      <c r="X1099" s="56"/>
      <c r="Y1099" s="56"/>
      <c r="Z1099" s="56"/>
      <c r="AA1099" s="56"/>
      <c r="AB1099" s="56"/>
      <c r="AC1099" s="55"/>
      <c r="AD1099" s="55"/>
      <c r="AE1099" s="56"/>
      <c r="AF1099" s="56"/>
      <c r="AG1099" s="56"/>
      <c r="AH1099" s="56"/>
      <c r="AI1099" s="56"/>
      <c r="AJ1099" s="56"/>
      <c r="AK1099" s="56"/>
      <c r="AL1099" s="56"/>
      <c r="AM1099" s="56"/>
      <c r="AN1099" s="56"/>
      <c r="AO1099" s="56"/>
      <c r="AP1099" s="56"/>
      <c r="AQ1099" s="56"/>
      <c r="AR1099" s="56"/>
      <c r="AS1099" s="56"/>
      <c r="AT1099" s="56"/>
      <c r="AU1099" s="56"/>
      <c r="AV1099" s="56"/>
      <c r="AW1099" s="56"/>
    </row>
    <row r="1100" spans="1:49" ht="15.75" customHeight="1" x14ac:dyDescent="0.15">
      <c r="A1100" s="56"/>
      <c r="B1100" s="56"/>
      <c r="C1100" s="56"/>
      <c r="D1100" s="56"/>
      <c r="E1100" s="56"/>
      <c r="F1100" s="56"/>
      <c r="G1100" s="56"/>
      <c r="H1100" s="56"/>
      <c r="I1100" s="56"/>
      <c r="J1100" s="56"/>
      <c r="K1100" s="56"/>
      <c r="L1100" s="56"/>
      <c r="M1100" s="56"/>
      <c r="N1100" s="56"/>
      <c r="O1100" s="389"/>
      <c r="P1100" s="55"/>
      <c r="Q1100" s="55"/>
      <c r="R1100" s="55"/>
      <c r="S1100" s="56"/>
      <c r="T1100" s="56"/>
      <c r="U1100" s="56"/>
      <c r="V1100" s="56"/>
      <c r="W1100" s="56"/>
      <c r="X1100" s="56"/>
      <c r="Y1100" s="56"/>
      <c r="Z1100" s="56"/>
      <c r="AA1100" s="56"/>
      <c r="AB1100" s="56"/>
      <c r="AC1100" s="55"/>
      <c r="AD1100" s="55"/>
      <c r="AE1100" s="56"/>
      <c r="AF1100" s="56"/>
      <c r="AG1100" s="56"/>
      <c r="AH1100" s="56"/>
      <c r="AI1100" s="56"/>
      <c r="AJ1100" s="56"/>
      <c r="AK1100" s="56"/>
      <c r="AL1100" s="56"/>
      <c r="AM1100" s="56"/>
      <c r="AN1100" s="56"/>
      <c r="AO1100" s="56"/>
      <c r="AP1100" s="56"/>
      <c r="AQ1100" s="56"/>
      <c r="AR1100" s="56"/>
      <c r="AS1100" s="56"/>
      <c r="AT1100" s="56"/>
      <c r="AU1100" s="56"/>
      <c r="AV1100" s="56"/>
      <c r="AW1100" s="56"/>
    </row>
    <row r="1101" spans="1:49" ht="15.75" customHeight="1" x14ac:dyDescent="0.15">
      <c r="A1101" s="56"/>
      <c r="B1101" s="56"/>
      <c r="C1101" s="56"/>
      <c r="D1101" s="56"/>
      <c r="E1101" s="56"/>
      <c r="F1101" s="56"/>
      <c r="G1101" s="56"/>
      <c r="H1101" s="56"/>
      <c r="I1101" s="56"/>
      <c r="J1101" s="56"/>
      <c r="K1101" s="56"/>
      <c r="L1101" s="56"/>
      <c r="M1101" s="56"/>
      <c r="N1101" s="56"/>
      <c r="O1101" s="389"/>
      <c r="P1101" s="55"/>
      <c r="Q1101" s="55"/>
      <c r="R1101" s="55"/>
      <c r="S1101" s="56"/>
      <c r="T1101" s="56"/>
      <c r="U1101" s="56"/>
      <c r="V1101" s="56"/>
      <c r="W1101" s="56"/>
      <c r="X1101" s="56"/>
      <c r="Y1101" s="56"/>
      <c r="Z1101" s="56"/>
      <c r="AA1101" s="56"/>
      <c r="AB1101" s="56"/>
      <c r="AC1101" s="55"/>
      <c r="AD1101" s="55"/>
      <c r="AE1101" s="56"/>
      <c r="AF1101" s="56"/>
      <c r="AG1101" s="56"/>
      <c r="AH1101" s="56"/>
      <c r="AI1101" s="56"/>
      <c r="AJ1101" s="56"/>
      <c r="AK1101" s="56"/>
      <c r="AL1101" s="56"/>
      <c r="AM1101" s="56"/>
      <c r="AN1101" s="56"/>
      <c r="AO1101" s="56"/>
      <c r="AP1101" s="56"/>
      <c r="AQ1101" s="56"/>
      <c r="AR1101" s="56"/>
      <c r="AS1101" s="56"/>
      <c r="AT1101" s="56"/>
      <c r="AU1101" s="56"/>
      <c r="AV1101" s="56"/>
      <c r="AW1101" s="56"/>
    </row>
    <row r="1102" spans="1:49" ht="15.75" customHeight="1" x14ac:dyDescent="0.15">
      <c r="A1102" s="56"/>
      <c r="B1102" s="56"/>
      <c r="C1102" s="56"/>
      <c r="D1102" s="56"/>
      <c r="E1102" s="56"/>
      <c r="F1102" s="56"/>
      <c r="G1102" s="56"/>
      <c r="H1102" s="56"/>
      <c r="I1102" s="56"/>
      <c r="J1102" s="56"/>
      <c r="K1102" s="56"/>
      <c r="L1102" s="56"/>
      <c r="M1102" s="56"/>
      <c r="N1102" s="56"/>
      <c r="O1102" s="389"/>
      <c r="P1102" s="55"/>
      <c r="Q1102" s="55"/>
      <c r="R1102" s="55"/>
      <c r="S1102" s="56"/>
      <c r="T1102" s="56"/>
      <c r="U1102" s="56"/>
      <c r="V1102" s="56"/>
      <c r="W1102" s="56"/>
      <c r="X1102" s="56"/>
      <c r="Y1102" s="56"/>
      <c r="Z1102" s="56"/>
      <c r="AA1102" s="56"/>
      <c r="AB1102" s="56"/>
      <c r="AC1102" s="55"/>
      <c r="AD1102" s="55"/>
      <c r="AE1102" s="56"/>
      <c r="AF1102" s="56"/>
      <c r="AG1102" s="56"/>
      <c r="AH1102" s="56"/>
      <c r="AI1102" s="56"/>
      <c r="AJ1102" s="56"/>
      <c r="AK1102" s="56"/>
      <c r="AL1102" s="56"/>
      <c r="AM1102" s="56"/>
      <c r="AN1102" s="56"/>
      <c r="AO1102" s="56"/>
      <c r="AP1102" s="56"/>
      <c r="AQ1102" s="56"/>
      <c r="AR1102" s="56"/>
      <c r="AS1102" s="56"/>
      <c r="AT1102" s="56"/>
      <c r="AU1102" s="56"/>
      <c r="AV1102" s="56"/>
      <c r="AW1102" s="56"/>
    </row>
    <row r="1103" spans="1:49" ht="15.75" customHeight="1" x14ac:dyDescent="0.15">
      <c r="A1103" s="56"/>
      <c r="B1103" s="56"/>
      <c r="C1103" s="56"/>
      <c r="D1103" s="56"/>
      <c r="E1103" s="56"/>
      <c r="F1103" s="56"/>
      <c r="G1103" s="56"/>
      <c r="H1103" s="56"/>
      <c r="I1103" s="56"/>
      <c r="J1103" s="56"/>
      <c r="K1103" s="56"/>
      <c r="L1103" s="56"/>
      <c r="M1103" s="56"/>
      <c r="N1103" s="56"/>
      <c r="O1103" s="389"/>
      <c r="P1103" s="55"/>
      <c r="Q1103" s="55"/>
      <c r="R1103" s="55"/>
      <c r="S1103" s="56"/>
      <c r="T1103" s="56"/>
      <c r="U1103" s="56"/>
      <c r="V1103" s="56"/>
      <c r="W1103" s="56"/>
      <c r="X1103" s="56"/>
      <c r="Y1103" s="56"/>
      <c r="Z1103" s="56"/>
      <c r="AA1103" s="56"/>
      <c r="AB1103" s="56"/>
      <c r="AC1103" s="55"/>
      <c r="AD1103" s="55"/>
      <c r="AE1103" s="56"/>
      <c r="AF1103" s="56"/>
      <c r="AG1103" s="56"/>
      <c r="AH1103" s="56"/>
      <c r="AI1103" s="56"/>
      <c r="AJ1103" s="56"/>
      <c r="AK1103" s="56"/>
      <c r="AL1103" s="56"/>
      <c r="AM1103" s="56"/>
      <c r="AN1103" s="56"/>
      <c r="AO1103" s="56"/>
      <c r="AP1103" s="56"/>
      <c r="AQ1103" s="56"/>
      <c r="AR1103" s="56"/>
      <c r="AS1103" s="56"/>
      <c r="AT1103" s="56"/>
      <c r="AU1103" s="56"/>
      <c r="AV1103" s="56"/>
      <c r="AW1103" s="56"/>
    </row>
    <row r="1104" spans="1:49" ht="15.75" customHeight="1" x14ac:dyDescent="0.15">
      <c r="A1104" s="56"/>
      <c r="B1104" s="56"/>
      <c r="C1104" s="56"/>
      <c r="D1104" s="56"/>
      <c r="E1104" s="56"/>
      <c r="F1104" s="56"/>
      <c r="G1104" s="56"/>
      <c r="H1104" s="56"/>
      <c r="I1104" s="56"/>
      <c r="J1104" s="56"/>
      <c r="K1104" s="56"/>
      <c r="L1104" s="56"/>
      <c r="M1104" s="56"/>
      <c r="N1104" s="56"/>
      <c r="O1104" s="389"/>
      <c r="P1104" s="55"/>
      <c r="Q1104" s="55"/>
      <c r="R1104" s="55"/>
      <c r="S1104" s="56"/>
      <c r="T1104" s="56"/>
      <c r="U1104" s="56"/>
      <c r="V1104" s="56"/>
      <c r="W1104" s="56"/>
      <c r="X1104" s="56"/>
      <c r="Y1104" s="56"/>
      <c r="Z1104" s="56"/>
      <c r="AA1104" s="56"/>
      <c r="AB1104" s="56"/>
      <c r="AC1104" s="55"/>
      <c r="AD1104" s="55"/>
      <c r="AE1104" s="56"/>
      <c r="AF1104" s="56"/>
      <c r="AG1104" s="56"/>
      <c r="AH1104" s="56"/>
      <c r="AI1104" s="56"/>
      <c r="AJ1104" s="56"/>
      <c r="AK1104" s="56"/>
      <c r="AL1104" s="56"/>
      <c r="AM1104" s="56"/>
      <c r="AN1104" s="56"/>
      <c r="AO1104" s="56"/>
      <c r="AP1104" s="56"/>
      <c r="AQ1104" s="56"/>
      <c r="AR1104" s="56"/>
      <c r="AS1104" s="56"/>
      <c r="AT1104" s="56"/>
      <c r="AU1104" s="56"/>
      <c r="AV1104" s="56"/>
      <c r="AW1104" s="56"/>
    </row>
    <row r="1105" spans="1:49" ht="15.75" customHeight="1" x14ac:dyDescent="0.15">
      <c r="A1105" s="56"/>
      <c r="B1105" s="56"/>
      <c r="C1105" s="56"/>
      <c r="D1105" s="56"/>
      <c r="E1105" s="56"/>
      <c r="F1105" s="56"/>
      <c r="G1105" s="56"/>
      <c r="H1105" s="56"/>
      <c r="I1105" s="56"/>
      <c r="J1105" s="56"/>
      <c r="K1105" s="56"/>
      <c r="L1105" s="56"/>
      <c r="M1105" s="56"/>
      <c r="N1105" s="56"/>
      <c r="O1105" s="389"/>
      <c r="P1105" s="55"/>
      <c r="Q1105" s="55"/>
      <c r="R1105" s="55"/>
      <c r="S1105" s="56"/>
      <c r="T1105" s="56"/>
      <c r="U1105" s="56"/>
      <c r="V1105" s="56"/>
      <c r="W1105" s="56"/>
      <c r="X1105" s="56"/>
      <c r="Y1105" s="56"/>
      <c r="Z1105" s="56"/>
      <c r="AA1105" s="56"/>
      <c r="AB1105" s="56"/>
      <c r="AC1105" s="55"/>
      <c r="AD1105" s="55"/>
      <c r="AE1105" s="56"/>
      <c r="AF1105" s="56"/>
      <c r="AG1105" s="56"/>
      <c r="AH1105" s="56"/>
      <c r="AI1105" s="56"/>
      <c r="AJ1105" s="56"/>
      <c r="AK1105" s="56"/>
      <c r="AL1105" s="56"/>
      <c r="AM1105" s="56"/>
      <c r="AN1105" s="56"/>
      <c r="AO1105" s="56"/>
      <c r="AP1105" s="56"/>
      <c r="AQ1105" s="56"/>
      <c r="AR1105" s="56"/>
      <c r="AS1105" s="56"/>
      <c r="AT1105" s="56"/>
      <c r="AU1105" s="56"/>
      <c r="AV1105" s="56"/>
      <c r="AW1105" s="56"/>
    </row>
    <row r="1106" spans="1:49" ht="15.75" customHeight="1" x14ac:dyDescent="0.15">
      <c r="A1106" s="56"/>
      <c r="B1106" s="56"/>
      <c r="C1106" s="56"/>
      <c r="D1106" s="56"/>
      <c r="E1106" s="56"/>
      <c r="F1106" s="56"/>
      <c r="G1106" s="56"/>
      <c r="H1106" s="56"/>
      <c r="I1106" s="56"/>
      <c r="J1106" s="56"/>
      <c r="K1106" s="56"/>
      <c r="L1106" s="56"/>
      <c r="M1106" s="56"/>
      <c r="N1106" s="56"/>
      <c r="O1106" s="389"/>
      <c r="P1106" s="55"/>
      <c r="Q1106" s="55"/>
      <c r="R1106" s="55"/>
      <c r="S1106" s="56"/>
      <c r="T1106" s="56"/>
      <c r="U1106" s="56"/>
      <c r="V1106" s="56"/>
      <c r="W1106" s="56"/>
      <c r="X1106" s="56"/>
      <c r="Y1106" s="56"/>
      <c r="Z1106" s="56"/>
      <c r="AA1106" s="56"/>
      <c r="AB1106" s="56"/>
      <c r="AC1106" s="55"/>
      <c r="AD1106" s="55"/>
      <c r="AE1106" s="56"/>
      <c r="AF1106" s="56"/>
      <c r="AG1106" s="56"/>
      <c r="AH1106" s="56"/>
      <c r="AI1106" s="56"/>
      <c r="AJ1106" s="56"/>
      <c r="AK1106" s="56"/>
      <c r="AL1106" s="56"/>
      <c r="AM1106" s="56"/>
      <c r="AN1106" s="56"/>
      <c r="AO1106" s="56"/>
      <c r="AP1106" s="56"/>
      <c r="AQ1106" s="56"/>
      <c r="AR1106" s="56"/>
      <c r="AS1106" s="56"/>
      <c r="AT1106" s="56"/>
      <c r="AU1106" s="56"/>
      <c r="AV1106" s="56"/>
      <c r="AW1106" s="56"/>
    </row>
    <row r="1107" spans="1:49" ht="15.75" customHeight="1" x14ac:dyDescent="0.15">
      <c r="A1107" s="56"/>
      <c r="B1107" s="56"/>
      <c r="C1107" s="56"/>
      <c r="D1107" s="56"/>
      <c r="E1107" s="56"/>
      <c r="F1107" s="56"/>
      <c r="G1107" s="56"/>
      <c r="H1107" s="56"/>
      <c r="I1107" s="56"/>
      <c r="J1107" s="56"/>
      <c r="K1107" s="56"/>
      <c r="L1107" s="56"/>
      <c r="M1107" s="56"/>
      <c r="N1107" s="56"/>
      <c r="O1107" s="389"/>
      <c r="P1107" s="55"/>
      <c r="Q1107" s="55"/>
      <c r="R1107" s="55"/>
      <c r="S1107" s="56"/>
      <c r="T1107" s="56"/>
      <c r="U1107" s="56"/>
      <c r="V1107" s="56"/>
      <c r="W1107" s="56"/>
      <c r="X1107" s="56"/>
      <c r="Y1107" s="56"/>
      <c r="Z1107" s="56"/>
      <c r="AA1107" s="56"/>
      <c r="AB1107" s="56"/>
      <c r="AC1107" s="55"/>
      <c r="AD1107" s="55"/>
      <c r="AE1107" s="56"/>
      <c r="AF1107" s="56"/>
      <c r="AG1107" s="56"/>
      <c r="AH1107" s="56"/>
      <c r="AI1107" s="56"/>
      <c r="AJ1107" s="56"/>
      <c r="AK1107" s="56"/>
      <c r="AL1107" s="56"/>
      <c r="AM1107" s="56"/>
      <c r="AN1107" s="56"/>
      <c r="AO1107" s="56"/>
      <c r="AP1107" s="56"/>
      <c r="AQ1107" s="56"/>
      <c r="AR1107" s="56"/>
      <c r="AS1107" s="56"/>
      <c r="AT1107" s="56"/>
      <c r="AU1107" s="56"/>
      <c r="AV1107" s="56"/>
      <c r="AW1107" s="56"/>
    </row>
    <row r="1108" spans="1:49" ht="15.75" customHeight="1" x14ac:dyDescent="0.15">
      <c r="A1108" s="56"/>
      <c r="B1108" s="56"/>
      <c r="C1108" s="56"/>
      <c r="D1108" s="56"/>
      <c r="E1108" s="56"/>
      <c r="F1108" s="56"/>
      <c r="G1108" s="56"/>
      <c r="H1108" s="56"/>
      <c r="I1108" s="56"/>
      <c r="J1108" s="56"/>
      <c r="K1108" s="56"/>
      <c r="L1108" s="56"/>
      <c r="M1108" s="56"/>
      <c r="N1108" s="56"/>
      <c r="O1108" s="389"/>
      <c r="P1108" s="55"/>
      <c r="Q1108" s="55"/>
      <c r="R1108" s="55"/>
      <c r="S1108" s="56"/>
      <c r="T1108" s="56"/>
      <c r="U1108" s="56"/>
      <c r="V1108" s="56"/>
      <c r="W1108" s="56"/>
      <c r="X1108" s="56"/>
      <c r="Y1108" s="56"/>
      <c r="Z1108" s="56"/>
      <c r="AA1108" s="56"/>
      <c r="AB1108" s="56"/>
      <c r="AC1108" s="55"/>
      <c r="AD1108" s="55"/>
      <c r="AE1108" s="56"/>
      <c r="AF1108" s="56"/>
      <c r="AG1108" s="56"/>
      <c r="AH1108" s="56"/>
      <c r="AI1108" s="56"/>
      <c r="AJ1108" s="56"/>
      <c r="AK1108" s="56"/>
      <c r="AL1108" s="56"/>
      <c r="AM1108" s="56"/>
      <c r="AN1108" s="56"/>
      <c r="AO1108" s="56"/>
      <c r="AP1108" s="56"/>
      <c r="AQ1108" s="56"/>
      <c r="AR1108" s="56"/>
      <c r="AS1108" s="56"/>
      <c r="AT1108" s="56"/>
      <c r="AU1108" s="56"/>
      <c r="AV1108" s="56"/>
      <c r="AW1108" s="56"/>
    </row>
    <row r="1109" spans="1:49" ht="15.75" customHeight="1" x14ac:dyDescent="0.15">
      <c r="A1109" s="56"/>
      <c r="B1109" s="56"/>
      <c r="C1109" s="56"/>
      <c r="D1109" s="56"/>
      <c r="E1109" s="56"/>
      <c r="F1109" s="56"/>
      <c r="G1109" s="56"/>
      <c r="H1109" s="56"/>
      <c r="I1109" s="56"/>
      <c r="J1109" s="56"/>
      <c r="K1109" s="56"/>
      <c r="L1109" s="56"/>
      <c r="M1109" s="56"/>
      <c r="N1109" s="56"/>
      <c r="O1109" s="389"/>
      <c r="P1109" s="55"/>
      <c r="Q1109" s="55"/>
      <c r="R1109" s="55"/>
      <c r="S1109" s="56"/>
      <c r="T1109" s="56"/>
      <c r="U1109" s="56"/>
      <c r="V1109" s="56"/>
      <c r="W1109" s="56"/>
      <c r="X1109" s="56"/>
      <c r="Y1109" s="56"/>
      <c r="Z1109" s="56"/>
      <c r="AA1109" s="56"/>
      <c r="AB1109" s="56"/>
      <c r="AC1109" s="55"/>
      <c r="AD1109" s="55"/>
      <c r="AE1109" s="56"/>
      <c r="AF1109" s="56"/>
      <c r="AG1109" s="56"/>
      <c r="AH1109" s="56"/>
      <c r="AI1109" s="56"/>
      <c r="AJ1109" s="56"/>
      <c r="AK1109" s="56"/>
      <c r="AL1109" s="56"/>
      <c r="AM1109" s="56"/>
      <c r="AN1109" s="56"/>
      <c r="AO1109" s="56"/>
      <c r="AP1109" s="56"/>
      <c r="AQ1109" s="56"/>
      <c r="AR1109" s="56"/>
      <c r="AS1109" s="56"/>
      <c r="AT1109" s="56"/>
      <c r="AU1109" s="56"/>
      <c r="AV1109" s="56"/>
      <c r="AW1109" s="56"/>
    </row>
    <row r="1110" spans="1:49" ht="15.75" customHeight="1" x14ac:dyDescent="0.15">
      <c r="A1110" s="56"/>
      <c r="B1110" s="56"/>
      <c r="C1110" s="56"/>
      <c r="D1110" s="56"/>
      <c r="E1110" s="56"/>
      <c r="F1110" s="56"/>
      <c r="G1110" s="56"/>
      <c r="H1110" s="56"/>
      <c r="I1110" s="56"/>
      <c r="J1110" s="56"/>
      <c r="K1110" s="56"/>
      <c r="L1110" s="56"/>
      <c r="M1110" s="56"/>
      <c r="N1110" s="56"/>
      <c r="O1110" s="389"/>
      <c r="P1110" s="55"/>
      <c r="Q1110" s="55"/>
      <c r="R1110" s="55"/>
      <c r="S1110" s="56"/>
      <c r="T1110" s="56"/>
      <c r="U1110" s="56"/>
      <c r="V1110" s="56"/>
      <c r="W1110" s="56"/>
      <c r="X1110" s="56"/>
      <c r="Y1110" s="56"/>
      <c r="Z1110" s="56"/>
      <c r="AA1110" s="56"/>
      <c r="AB1110" s="56"/>
      <c r="AC1110" s="55"/>
      <c r="AD1110" s="55"/>
      <c r="AE1110" s="56"/>
      <c r="AF1110" s="56"/>
      <c r="AG1110" s="56"/>
      <c r="AH1110" s="56"/>
      <c r="AI1110" s="56"/>
      <c r="AJ1110" s="56"/>
      <c r="AK1110" s="56"/>
      <c r="AL1110" s="56"/>
      <c r="AM1110" s="56"/>
      <c r="AN1110" s="56"/>
      <c r="AO1110" s="56"/>
      <c r="AP1110" s="56"/>
      <c r="AQ1110" s="56"/>
      <c r="AR1110" s="56"/>
      <c r="AS1110" s="56"/>
      <c r="AT1110" s="56"/>
      <c r="AU1110" s="56"/>
      <c r="AV1110" s="56"/>
      <c r="AW1110" s="56"/>
    </row>
    <row r="1111" spans="1:49" ht="15.75" customHeight="1" x14ac:dyDescent="0.15">
      <c r="A1111" s="56"/>
      <c r="B1111" s="56"/>
      <c r="C1111" s="56"/>
      <c r="D1111" s="56"/>
      <c r="E1111" s="56"/>
      <c r="F1111" s="56"/>
      <c r="G1111" s="56"/>
      <c r="H1111" s="56"/>
      <c r="I1111" s="56"/>
      <c r="J1111" s="56"/>
      <c r="K1111" s="56"/>
      <c r="L1111" s="56"/>
      <c r="M1111" s="56"/>
      <c r="N1111" s="56"/>
      <c r="O1111" s="389"/>
      <c r="P1111" s="55"/>
      <c r="Q1111" s="55"/>
      <c r="R1111" s="55"/>
      <c r="S1111" s="56"/>
      <c r="T1111" s="56"/>
      <c r="U1111" s="56"/>
      <c r="V1111" s="56"/>
      <c r="W1111" s="56"/>
      <c r="X1111" s="56"/>
      <c r="Y1111" s="56"/>
      <c r="Z1111" s="56"/>
      <c r="AA1111" s="56"/>
      <c r="AB1111" s="56"/>
      <c r="AC1111" s="55"/>
      <c r="AD1111" s="55"/>
      <c r="AE1111" s="56"/>
      <c r="AF1111" s="56"/>
      <c r="AG1111" s="56"/>
      <c r="AH1111" s="56"/>
      <c r="AI1111" s="56"/>
      <c r="AJ1111" s="56"/>
      <c r="AK1111" s="56"/>
      <c r="AL1111" s="56"/>
      <c r="AM1111" s="56"/>
      <c r="AN1111" s="56"/>
      <c r="AO1111" s="56"/>
      <c r="AP1111" s="56"/>
      <c r="AQ1111" s="56"/>
      <c r="AR1111" s="56"/>
      <c r="AS1111" s="56"/>
      <c r="AT1111" s="56"/>
      <c r="AU1111" s="56"/>
      <c r="AV1111" s="56"/>
      <c r="AW1111" s="56"/>
    </row>
    <row r="1112" spans="1:49" ht="15.75" customHeight="1" x14ac:dyDescent="0.15">
      <c r="A1112" s="56"/>
      <c r="B1112" s="56"/>
      <c r="C1112" s="56"/>
      <c r="D1112" s="56"/>
      <c r="E1112" s="56"/>
      <c r="F1112" s="56"/>
      <c r="G1112" s="56"/>
      <c r="H1112" s="56"/>
      <c r="I1112" s="56"/>
      <c r="J1112" s="56"/>
      <c r="K1112" s="56"/>
      <c r="L1112" s="56"/>
      <c r="M1112" s="56"/>
      <c r="N1112" s="56"/>
      <c r="O1112" s="389"/>
      <c r="P1112" s="55"/>
      <c r="Q1112" s="55"/>
      <c r="R1112" s="55"/>
      <c r="S1112" s="56"/>
      <c r="T1112" s="56"/>
      <c r="U1112" s="56"/>
      <c r="V1112" s="56"/>
      <c r="W1112" s="56"/>
      <c r="X1112" s="56"/>
      <c r="Y1112" s="56"/>
      <c r="Z1112" s="56"/>
      <c r="AA1112" s="56"/>
      <c r="AB1112" s="56"/>
      <c r="AC1112" s="55"/>
      <c r="AD1112" s="55"/>
      <c r="AE1112" s="56"/>
      <c r="AF1112" s="56"/>
      <c r="AG1112" s="56"/>
      <c r="AH1112" s="56"/>
      <c r="AI1112" s="56"/>
      <c r="AJ1112" s="56"/>
      <c r="AK1112" s="56"/>
      <c r="AL1112" s="56"/>
      <c r="AM1112" s="56"/>
      <c r="AN1112" s="56"/>
      <c r="AO1112" s="56"/>
      <c r="AP1112" s="56"/>
      <c r="AQ1112" s="56"/>
      <c r="AR1112" s="56"/>
      <c r="AS1112" s="56"/>
      <c r="AT1112" s="56"/>
      <c r="AU1112" s="56"/>
      <c r="AV1112" s="56"/>
      <c r="AW1112" s="56"/>
    </row>
    <row r="1113" spans="1:49" ht="15.75" customHeight="1" x14ac:dyDescent="0.15">
      <c r="A1113" s="56"/>
      <c r="B1113" s="56"/>
      <c r="C1113" s="56"/>
      <c r="D1113" s="56"/>
      <c r="E1113" s="56"/>
      <c r="F1113" s="56"/>
      <c r="G1113" s="56"/>
      <c r="H1113" s="56"/>
      <c r="I1113" s="56"/>
      <c r="J1113" s="56"/>
      <c r="K1113" s="56"/>
      <c r="L1113" s="56"/>
      <c r="M1113" s="56"/>
      <c r="N1113" s="56"/>
      <c r="O1113" s="389"/>
      <c r="P1113" s="55"/>
      <c r="Q1113" s="55"/>
      <c r="R1113" s="55"/>
      <c r="S1113" s="56"/>
      <c r="T1113" s="56"/>
      <c r="U1113" s="56"/>
      <c r="V1113" s="56"/>
      <c r="W1113" s="56"/>
      <c r="X1113" s="56"/>
      <c r="Y1113" s="56"/>
      <c r="Z1113" s="56"/>
      <c r="AA1113" s="56"/>
      <c r="AB1113" s="56"/>
      <c r="AC1113" s="55"/>
      <c r="AD1113" s="55"/>
      <c r="AE1113" s="56"/>
      <c r="AF1113" s="56"/>
      <c r="AG1113" s="56"/>
      <c r="AH1113" s="56"/>
      <c r="AI1113" s="56"/>
      <c r="AJ1113" s="56"/>
      <c r="AK1113" s="56"/>
      <c r="AL1113" s="56"/>
      <c r="AM1113" s="56"/>
      <c r="AN1113" s="56"/>
      <c r="AO1113" s="56"/>
      <c r="AP1113" s="56"/>
      <c r="AQ1113" s="56"/>
      <c r="AR1113" s="56"/>
      <c r="AS1113" s="56"/>
      <c r="AT1113" s="56"/>
      <c r="AU1113" s="56"/>
      <c r="AV1113" s="56"/>
      <c r="AW1113" s="56"/>
    </row>
    <row r="1114" spans="1:49" ht="15.75" customHeight="1" x14ac:dyDescent="0.15">
      <c r="A1114" s="56"/>
      <c r="B1114" s="56"/>
      <c r="C1114" s="56"/>
      <c r="D1114" s="56"/>
      <c r="E1114" s="56"/>
      <c r="F1114" s="56"/>
      <c r="G1114" s="56"/>
      <c r="H1114" s="56"/>
      <c r="I1114" s="56"/>
      <c r="J1114" s="56"/>
      <c r="K1114" s="56"/>
      <c r="L1114" s="56"/>
      <c r="M1114" s="56"/>
      <c r="N1114" s="56"/>
      <c r="O1114" s="389"/>
      <c r="P1114" s="55"/>
      <c r="Q1114" s="55"/>
      <c r="R1114" s="55"/>
      <c r="S1114" s="56"/>
      <c r="T1114" s="56"/>
      <c r="U1114" s="56"/>
      <c r="V1114" s="56"/>
      <c r="W1114" s="56"/>
      <c r="X1114" s="56"/>
      <c r="Y1114" s="56"/>
      <c r="Z1114" s="56"/>
      <c r="AA1114" s="56"/>
      <c r="AB1114" s="56"/>
      <c r="AC1114" s="55"/>
      <c r="AD1114" s="55"/>
      <c r="AE1114" s="56"/>
      <c r="AF1114" s="56"/>
      <c r="AG1114" s="56"/>
      <c r="AH1114" s="56"/>
      <c r="AI1114" s="56"/>
      <c r="AJ1114" s="56"/>
      <c r="AK1114" s="56"/>
      <c r="AL1114" s="56"/>
      <c r="AM1114" s="56"/>
      <c r="AN1114" s="56"/>
      <c r="AO1114" s="56"/>
      <c r="AP1114" s="56"/>
      <c r="AQ1114" s="56"/>
      <c r="AR1114" s="56"/>
      <c r="AS1114" s="56"/>
      <c r="AT1114" s="56"/>
      <c r="AU1114" s="56"/>
      <c r="AV1114" s="56"/>
      <c r="AW1114" s="56"/>
    </row>
    <row r="1115" spans="1:49" ht="15.75" customHeight="1" x14ac:dyDescent="0.15">
      <c r="A1115" s="56"/>
      <c r="B1115" s="56"/>
      <c r="C1115" s="56"/>
      <c r="D1115" s="56"/>
      <c r="E1115" s="56"/>
      <c r="F1115" s="56"/>
      <c r="G1115" s="56"/>
      <c r="H1115" s="56"/>
      <c r="I1115" s="56"/>
      <c r="J1115" s="56"/>
      <c r="K1115" s="56"/>
      <c r="L1115" s="56"/>
      <c r="M1115" s="56"/>
      <c r="N1115" s="56"/>
      <c r="O1115" s="389"/>
      <c r="P1115" s="55"/>
      <c r="Q1115" s="55"/>
      <c r="R1115" s="55"/>
      <c r="S1115" s="56"/>
      <c r="T1115" s="56"/>
      <c r="U1115" s="56"/>
      <c r="V1115" s="56"/>
      <c r="W1115" s="56"/>
      <c r="X1115" s="56"/>
      <c r="Y1115" s="56"/>
      <c r="Z1115" s="56"/>
      <c r="AA1115" s="56"/>
      <c r="AB1115" s="56"/>
      <c r="AC1115" s="55"/>
      <c r="AD1115" s="55"/>
      <c r="AE1115" s="56"/>
      <c r="AF1115" s="56"/>
      <c r="AG1115" s="56"/>
      <c r="AH1115" s="56"/>
      <c r="AI1115" s="56"/>
      <c r="AJ1115" s="56"/>
      <c r="AK1115" s="56"/>
      <c r="AL1115" s="56"/>
      <c r="AM1115" s="56"/>
      <c r="AN1115" s="56"/>
      <c r="AO1115" s="56"/>
      <c r="AP1115" s="56"/>
      <c r="AQ1115" s="56"/>
      <c r="AR1115" s="56"/>
      <c r="AS1115" s="56"/>
      <c r="AT1115" s="56"/>
      <c r="AU1115" s="56"/>
      <c r="AV1115" s="56"/>
      <c r="AW1115" s="56"/>
    </row>
    <row r="1116" spans="1:49" ht="15.75" customHeight="1" x14ac:dyDescent="0.15">
      <c r="A1116" s="56"/>
      <c r="B1116" s="56"/>
      <c r="C1116" s="56"/>
      <c r="D1116" s="56"/>
      <c r="E1116" s="56"/>
      <c r="F1116" s="56"/>
      <c r="G1116" s="56"/>
      <c r="H1116" s="56"/>
      <c r="I1116" s="56"/>
      <c r="J1116" s="56"/>
      <c r="K1116" s="56"/>
      <c r="L1116" s="56"/>
      <c r="M1116" s="56"/>
      <c r="N1116" s="56"/>
      <c r="O1116" s="389"/>
      <c r="P1116" s="55"/>
      <c r="Q1116" s="55"/>
      <c r="R1116" s="55"/>
      <c r="S1116" s="56"/>
      <c r="T1116" s="56"/>
      <c r="U1116" s="56"/>
      <c r="V1116" s="56"/>
      <c r="W1116" s="56"/>
      <c r="X1116" s="56"/>
      <c r="Y1116" s="56"/>
      <c r="Z1116" s="56"/>
      <c r="AA1116" s="56"/>
      <c r="AB1116" s="56"/>
      <c r="AC1116" s="55"/>
      <c r="AD1116" s="55"/>
      <c r="AE1116" s="56"/>
      <c r="AF1116" s="56"/>
      <c r="AG1116" s="56"/>
      <c r="AH1116" s="56"/>
      <c r="AI1116" s="56"/>
      <c r="AJ1116" s="56"/>
      <c r="AK1116" s="56"/>
      <c r="AL1116" s="56"/>
      <c r="AM1116" s="56"/>
      <c r="AN1116" s="56"/>
      <c r="AO1116" s="56"/>
      <c r="AP1116" s="56"/>
      <c r="AQ1116" s="56"/>
      <c r="AR1116" s="56"/>
      <c r="AS1116" s="56"/>
      <c r="AT1116" s="56"/>
      <c r="AU1116" s="56"/>
      <c r="AV1116" s="56"/>
      <c r="AW1116" s="56"/>
    </row>
    <row r="1117" spans="1:49" ht="15.75" customHeight="1" x14ac:dyDescent="0.15">
      <c r="A1117" s="56"/>
      <c r="B1117" s="56"/>
      <c r="C1117" s="56"/>
      <c r="D1117" s="56"/>
      <c r="E1117" s="56"/>
      <c r="F1117" s="56"/>
      <c r="G1117" s="56"/>
      <c r="H1117" s="56"/>
      <c r="I1117" s="56"/>
      <c r="J1117" s="56"/>
      <c r="K1117" s="56"/>
      <c r="L1117" s="56"/>
      <c r="M1117" s="56"/>
      <c r="N1117" s="56"/>
      <c r="O1117" s="389"/>
      <c r="P1117" s="55"/>
      <c r="Q1117" s="55"/>
      <c r="R1117" s="55"/>
      <c r="S1117" s="56"/>
      <c r="T1117" s="56"/>
      <c r="U1117" s="56"/>
      <c r="V1117" s="56"/>
      <c r="W1117" s="56"/>
      <c r="X1117" s="56"/>
      <c r="Y1117" s="56"/>
      <c r="Z1117" s="56"/>
      <c r="AA1117" s="56"/>
      <c r="AB1117" s="56"/>
      <c r="AC1117" s="55"/>
      <c r="AD1117" s="55"/>
      <c r="AE1117" s="56"/>
      <c r="AF1117" s="56"/>
      <c r="AG1117" s="56"/>
      <c r="AH1117" s="56"/>
      <c r="AI1117" s="56"/>
      <c r="AJ1117" s="56"/>
      <c r="AK1117" s="56"/>
      <c r="AL1117" s="56"/>
      <c r="AM1117" s="56"/>
      <c r="AN1117" s="56"/>
      <c r="AO1117" s="56"/>
      <c r="AP1117" s="56"/>
      <c r="AQ1117" s="56"/>
      <c r="AR1117" s="56"/>
      <c r="AS1117" s="56"/>
      <c r="AT1117" s="56"/>
      <c r="AU1117" s="56"/>
      <c r="AV1117" s="56"/>
      <c r="AW1117" s="56"/>
    </row>
    <row r="1118" spans="1:49" ht="15.75" customHeight="1" x14ac:dyDescent="0.15">
      <c r="A1118" s="56"/>
      <c r="B1118" s="56"/>
      <c r="C1118" s="56"/>
      <c r="D1118" s="56"/>
      <c r="E1118" s="56"/>
      <c r="F1118" s="56"/>
      <c r="G1118" s="56"/>
      <c r="H1118" s="56"/>
      <c r="I1118" s="56"/>
      <c r="J1118" s="56"/>
      <c r="K1118" s="56"/>
      <c r="L1118" s="56"/>
      <c r="M1118" s="56"/>
      <c r="N1118" s="56"/>
      <c r="O1118" s="389"/>
      <c r="P1118" s="55"/>
      <c r="Q1118" s="55"/>
      <c r="R1118" s="55"/>
      <c r="S1118" s="56"/>
      <c r="T1118" s="56"/>
      <c r="U1118" s="56"/>
      <c r="V1118" s="56"/>
      <c r="W1118" s="56"/>
      <c r="X1118" s="56"/>
      <c r="Y1118" s="56"/>
      <c r="Z1118" s="56"/>
      <c r="AA1118" s="56"/>
      <c r="AB1118" s="56"/>
      <c r="AC1118" s="55"/>
      <c r="AD1118" s="55"/>
      <c r="AE1118" s="56"/>
      <c r="AF1118" s="56"/>
      <c r="AG1118" s="56"/>
      <c r="AH1118" s="56"/>
      <c r="AI1118" s="56"/>
      <c r="AJ1118" s="56"/>
      <c r="AK1118" s="56"/>
      <c r="AL1118" s="56"/>
      <c r="AM1118" s="56"/>
      <c r="AN1118" s="56"/>
      <c r="AO1118" s="56"/>
      <c r="AP1118" s="56"/>
      <c r="AQ1118" s="56"/>
      <c r="AR1118" s="56"/>
      <c r="AS1118" s="56"/>
      <c r="AT1118" s="56"/>
      <c r="AU1118" s="56"/>
      <c r="AV1118" s="56"/>
      <c r="AW1118" s="56"/>
    </row>
    <row r="1119" spans="1:49" ht="15.75" customHeight="1" x14ac:dyDescent="0.15">
      <c r="A1119" s="56"/>
      <c r="B1119" s="56"/>
      <c r="C1119" s="56"/>
      <c r="D1119" s="56"/>
      <c r="E1119" s="56"/>
      <c r="F1119" s="56"/>
      <c r="G1119" s="56"/>
      <c r="H1119" s="56"/>
      <c r="I1119" s="56"/>
      <c r="J1119" s="56"/>
      <c r="K1119" s="56"/>
      <c r="L1119" s="56"/>
      <c r="M1119" s="56"/>
      <c r="N1119" s="56"/>
      <c r="O1119" s="389"/>
      <c r="P1119" s="55"/>
      <c r="Q1119" s="55"/>
      <c r="R1119" s="55"/>
      <c r="S1119" s="56"/>
      <c r="T1119" s="56"/>
      <c r="U1119" s="56"/>
      <c r="V1119" s="56"/>
      <c r="W1119" s="56"/>
      <c r="X1119" s="56"/>
      <c r="Y1119" s="56"/>
      <c r="Z1119" s="56"/>
      <c r="AA1119" s="56"/>
      <c r="AB1119" s="56"/>
      <c r="AC1119" s="55"/>
      <c r="AD1119" s="55"/>
      <c r="AE1119" s="56"/>
      <c r="AF1119" s="56"/>
      <c r="AG1119" s="56"/>
      <c r="AH1119" s="56"/>
      <c r="AI1119" s="56"/>
      <c r="AJ1119" s="56"/>
      <c r="AK1119" s="56"/>
      <c r="AL1119" s="56"/>
      <c r="AM1119" s="56"/>
      <c r="AN1119" s="56"/>
      <c r="AO1119" s="56"/>
      <c r="AP1119" s="56"/>
      <c r="AQ1119" s="56"/>
      <c r="AR1119" s="56"/>
      <c r="AS1119" s="56"/>
      <c r="AT1119" s="56"/>
      <c r="AU1119" s="56"/>
      <c r="AV1119" s="56"/>
      <c r="AW1119" s="56"/>
    </row>
    <row r="1120" spans="1:49" ht="15.75" customHeight="1" x14ac:dyDescent="0.15">
      <c r="A1120" s="56"/>
      <c r="B1120" s="56"/>
      <c r="C1120" s="56"/>
      <c r="D1120" s="56"/>
      <c r="E1120" s="56"/>
      <c r="F1120" s="56"/>
      <c r="G1120" s="56"/>
      <c r="H1120" s="56"/>
      <c r="I1120" s="56"/>
      <c r="J1120" s="56"/>
      <c r="K1120" s="56"/>
      <c r="L1120" s="56"/>
      <c r="M1120" s="56"/>
      <c r="N1120" s="56"/>
      <c r="O1120" s="389"/>
      <c r="P1120" s="55"/>
      <c r="Q1120" s="55"/>
      <c r="R1120" s="55"/>
      <c r="S1120" s="56"/>
      <c r="T1120" s="56"/>
      <c r="U1120" s="56"/>
      <c r="V1120" s="56"/>
      <c r="W1120" s="56"/>
      <c r="X1120" s="56"/>
      <c r="Y1120" s="56"/>
      <c r="Z1120" s="56"/>
      <c r="AA1120" s="56"/>
      <c r="AB1120" s="56"/>
      <c r="AC1120" s="55"/>
      <c r="AD1120" s="55"/>
      <c r="AE1120" s="56"/>
      <c r="AF1120" s="56"/>
      <c r="AG1120" s="56"/>
      <c r="AH1120" s="56"/>
      <c r="AI1120" s="56"/>
      <c r="AJ1120" s="56"/>
      <c r="AK1120" s="56"/>
      <c r="AL1120" s="56"/>
      <c r="AM1120" s="56"/>
      <c r="AN1120" s="56"/>
      <c r="AO1120" s="56"/>
      <c r="AP1120" s="56"/>
      <c r="AQ1120" s="56"/>
      <c r="AR1120" s="56"/>
      <c r="AS1120" s="56"/>
      <c r="AT1120" s="56"/>
      <c r="AU1120" s="56"/>
      <c r="AV1120" s="56"/>
      <c r="AW1120" s="56"/>
    </row>
    <row r="1121" spans="1:49" ht="15.75" customHeight="1" x14ac:dyDescent="0.15">
      <c r="A1121" s="56"/>
      <c r="B1121" s="56"/>
      <c r="C1121" s="56"/>
      <c r="D1121" s="56"/>
      <c r="E1121" s="56"/>
      <c r="F1121" s="56"/>
      <c r="G1121" s="56"/>
      <c r="H1121" s="56"/>
      <c r="I1121" s="56"/>
      <c r="J1121" s="56"/>
      <c r="K1121" s="56"/>
      <c r="L1121" s="56"/>
      <c r="M1121" s="56"/>
      <c r="N1121" s="56"/>
      <c r="O1121" s="389"/>
      <c r="P1121" s="55"/>
      <c r="Q1121" s="55"/>
      <c r="R1121" s="55"/>
      <c r="S1121" s="56"/>
      <c r="T1121" s="56"/>
      <c r="U1121" s="56"/>
      <c r="V1121" s="56"/>
      <c r="W1121" s="56"/>
      <c r="X1121" s="56"/>
      <c r="Y1121" s="56"/>
      <c r="Z1121" s="56"/>
      <c r="AA1121" s="56"/>
      <c r="AB1121" s="56"/>
      <c r="AC1121" s="55"/>
      <c r="AD1121" s="55"/>
      <c r="AE1121" s="56"/>
      <c r="AF1121" s="56"/>
      <c r="AG1121" s="56"/>
      <c r="AH1121" s="56"/>
      <c r="AI1121" s="56"/>
      <c r="AJ1121" s="56"/>
      <c r="AK1121" s="56"/>
      <c r="AL1121" s="56"/>
      <c r="AM1121" s="56"/>
      <c r="AN1121" s="56"/>
      <c r="AO1121" s="56"/>
      <c r="AP1121" s="56"/>
      <c r="AQ1121" s="56"/>
      <c r="AR1121" s="56"/>
      <c r="AS1121" s="56"/>
      <c r="AT1121" s="56"/>
      <c r="AU1121" s="56"/>
      <c r="AV1121" s="56"/>
      <c r="AW1121" s="56"/>
    </row>
    <row r="1122" spans="1:49" ht="15.75" customHeight="1" x14ac:dyDescent="0.15">
      <c r="A1122" s="56"/>
      <c r="B1122" s="56"/>
      <c r="C1122" s="56"/>
      <c r="D1122" s="56"/>
      <c r="E1122" s="56"/>
      <c r="F1122" s="56"/>
      <c r="G1122" s="56"/>
      <c r="H1122" s="56"/>
      <c r="I1122" s="56"/>
      <c r="J1122" s="56"/>
      <c r="K1122" s="56"/>
      <c r="L1122" s="56"/>
      <c r="M1122" s="56"/>
      <c r="N1122" s="56"/>
      <c r="O1122" s="389"/>
      <c r="P1122" s="55"/>
      <c r="Q1122" s="55"/>
      <c r="R1122" s="55"/>
      <c r="S1122" s="56"/>
      <c r="T1122" s="56"/>
      <c r="U1122" s="56"/>
      <c r="V1122" s="56"/>
      <c r="W1122" s="56"/>
      <c r="X1122" s="56"/>
      <c r="Y1122" s="56"/>
      <c r="Z1122" s="56"/>
      <c r="AA1122" s="56"/>
      <c r="AB1122" s="56"/>
      <c r="AC1122" s="55"/>
      <c r="AD1122" s="55"/>
      <c r="AE1122" s="56"/>
      <c r="AF1122" s="56"/>
      <c r="AG1122" s="56"/>
      <c r="AH1122" s="56"/>
      <c r="AI1122" s="56"/>
      <c r="AJ1122" s="56"/>
      <c r="AK1122" s="56"/>
      <c r="AL1122" s="56"/>
      <c r="AM1122" s="56"/>
      <c r="AN1122" s="56"/>
      <c r="AO1122" s="56"/>
      <c r="AP1122" s="56"/>
      <c r="AQ1122" s="56"/>
      <c r="AR1122" s="56"/>
      <c r="AS1122" s="56"/>
      <c r="AT1122" s="56"/>
      <c r="AU1122" s="56"/>
      <c r="AV1122" s="56"/>
      <c r="AW1122" s="56"/>
    </row>
    <row r="1123" spans="1:49" ht="15.75" customHeight="1" x14ac:dyDescent="0.15">
      <c r="A1123" s="56"/>
      <c r="B1123" s="56"/>
      <c r="C1123" s="56"/>
      <c r="D1123" s="56"/>
      <c r="E1123" s="56"/>
      <c r="F1123" s="56"/>
      <c r="G1123" s="56"/>
      <c r="H1123" s="56"/>
      <c r="I1123" s="56"/>
      <c r="J1123" s="56"/>
      <c r="K1123" s="56"/>
      <c r="L1123" s="56"/>
      <c r="M1123" s="56"/>
      <c r="N1123" s="56"/>
      <c r="O1123" s="389"/>
      <c r="P1123" s="55"/>
      <c r="Q1123" s="55"/>
      <c r="R1123" s="55"/>
      <c r="S1123" s="56"/>
      <c r="T1123" s="56"/>
      <c r="U1123" s="56"/>
      <c r="V1123" s="56"/>
      <c r="W1123" s="56"/>
      <c r="X1123" s="56"/>
      <c r="Y1123" s="56"/>
      <c r="Z1123" s="56"/>
      <c r="AA1123" s="56"/>
      <c r="AB1123" s="56"/>
      <c r="AC1123" s="55"/>
      <c r="AD1123" s="55"/>
      <c r="AE1123" s="56"/>
      <c r="AF1123" s="56"/>
      <c r="AG1123" s="56"/>
      <c r="AH1123" s="56"/>
      <c r="AI1123" s="56"/>
      <c r="AJ1123" s="56"/>
      <c r="AK1123" s="56"/>
      <c r="AL1123" s="56"/>
      <c r="AM1123" s="56"/>
      <c r="AN1123" s="56"/>
      <c r="AO1123" s="56"/>
      <c r="AP1123" s="56"/>
      <c r="AQ1123" s="56"/>
      <c r="AR1123" s="56"/>
      <c r="AS1123" s="56"/>
      <c r="AT1123" s="56"/>
      <c r="AU1123" s="56"/>
      <c r="AV1123" s="56"/>
      <c r="AW1123" s="56"/>
    </row>
    <row r="1124" spans="1:49" ht="15.75" customHeight="1" x14ac:dyDescent="0.15">
      <c r="A1124" s="56"/>
      <c r="B1124" s="56"/>
      <c r="C1124" s="56"/>
      <c r="D1124" s="56"/>
      <c r="E1124" s="56"/>
      <c r="F1124" s="56"/>
      <c r="G1124" s="56"/>
      <c r="H1124" s="56"/>
      <c r="I1124" s="56"/>
      <c r="J1124" s="56"/>
      <c r="K1124" s="56"/>
      <c r="L1124" s="56"/>
      <c r="M1124" s="56"/>
      <c r="N1124" s="56"/>
      <c r="O1124" s="389"/>
      <c r="P1124" s="55"/>
      <c r="Q1124" s="55"/>
      <c r="R1124" s="55"/>
      <c r="S1124" s="56"/>
      <c r="T1124" s="56"/>
      <c r="U1124" s="56"/>
      <c r="V1124" s="56"/>
      <c r="W1124" s="56"/>
      <c r="X1124" s="56"/>
      <c r="Y1124" s="56"/>
      <c r="Z1124" s="56"/>
      <c r="AA1124" s="56"/>
      <c r="AB1124" s="56"/>
      <c r="AC1124" s="55"/>
      <c r="AD1124" s="55"/>
      <c r="AE1124" s="56"/>
      <c r="AF1124" s="56"/>
      <c r="AG1124" s="56"/>
      <c r="AH1124" s="56"/>
      <c r="AI1124" s="56"/>
      <c r="AJ1124" s="56"/>
      <c r="AK1124" s="56"/>
      <c r="AL1124" s="56"/>
      <c r="AM1124" s="56"/>
      <c r="AN1124" s="56"/>
      <c r="AO1124" s="56"/>
      <c r="AP1124" s="56"/>
      <c r="AQ1124" s="56"/>
      <c r="AR1124" s="56"/>
      <c r="AS1124" s="56"/>
      <c r="AT1124" s="56"/>
      <c r="AU1124" s="56"/>
      <c r="AV1124" s="56"/>
      <c r="AW1124" s="56"/>
    </row>
    <row r="1125" spans="1:49" ht="15.75" customHeight="1" x14ac:dyDescent="0.15">
      <c r="A1125" s="56"/>
      <c r="B1125" s="56"/>
      <c r="C1125" s="56"/>
      <c r="D1125" s="56"/>
      <c r="E1125" s="56"/>
      <c r="F1125" s="56"/>
      <c r="G1125" s="56"/>
      <c r="H1125" s="56"/>
      <c r="I1125" s="56"/>
      <c r="J1125" s="56"/>
      <c r="K1125" s="56"/>
      <c r="L1125" s="56"/>
      <c r="M1125" s="56"/>
      <c r="N1125" s="56"/>
      <c r="O1125" s="389"/>
      <c r="P1125" s="55"/>
      <c r="Q1125" s="55"/>
      <c r="R1125" s="55"/>
      <c r="S1125" s="56"/>
      <c r="T1125" s="56"/>
      <c r="U1125" s="56"/>
      <c r="V1125" s="56"/>
      <c r="W1125" s="56"/>
      <c r="X1125" s="56"/>
      <c r="Y1125" s="56"/>
      <c r="Z1125" s="56"/>
      <c r="AA1125" s="56"/>
      <c r="AB1125" s="56"/>
      <c r="AC1125" s="55"/>
      <c r="AD1125" s="55"/>
      <c r="AE1125" s="56"/>
      <c r="AF1125" s="56"/>
      <c r="AG1125" s="56"/>
      <c r="AH1125" s="56"/>
      <c r="AI1125" s="56"/>
      <c r="AJ1125" s="56"/>
      <c r="AK1125" s="56"/>
      <c r="AL1125" s="56"/>
      <c r="AM1125" s="56"/>
      <c r="AN1125" s="56"/>
      <c r="AO1125" s="56"/>
      <c r="AP1125" s="56"/>
      <c r="AQ1125" s="56"/>
      <c r="AR1125" s="56"/>
      <c r="AS1125" s="56"/>
      <c r="AT1125" s="56"/>
      <c r="AU1125" s="56"/>
      <c r="AV1125" s="56"/>
      <c r="AW1125" s="56"/>
    </row>
    <row r="1126" spans="1:49" ht="15.75" customHeight="1" x14ac:dyDescent="0.15">
      <c r="A1126" s="56"/>
      <c r="B1126" s="56"/>
      <c r="C1126" s="56"/>
      <c r="D1126" s="56"/>
      <c r="E1126" s="56"/>
      <c r="F1126" s="56"/>
      <c r="G1126" s="56"/>
      <c r="H1126" s="56"/>
      <c r="I1126" s="56"/>
      <c r="J1126" s="56"/>
      <c r="K1126" s="56"/>
      <c r="L1126" s="56"/>
      <c r="M1126" s="56"/>
      <c r="N1126" s="56"/>
      <c r="O1126" s="389"/>
      <c r="P1126" s="55"/>
      <c r="Q1126" s="55"/>
      <c r="R1126" s="55"/>
      <c r="S1126" s="56"/>
      <c r="T1126" s="56"/>
      <c r="U1126" s="56"/>
      <c r="V1126" s="56"/>
      <c r="W1126" s="56"/>
      <c r="X1126" s="56"/>
      <c r="Y1126" s="56"/>
      <c r="Z1126" s="56"/>
      <c r="AA1126" s="56"/>
      <c r="AB1126" s="56"/>
      <c r="AC1126" s="55"/>
      <c r="AD1126" s="55"/>
      <c r="AE1126" s="56"/>
      <c r="AF1126" s="56"/>
      <c r="AG1126" s="56"/>
      <c r="AH1126" s="56"/>
      <c r="AI1126" s="56"/>
      <c r="AJ1126" s="56"/>
      <c r="AK1126" s="56"/>
      <c r="AL1126" s="56"/>
      <c r="AM1126" s="56"/>
      <c r="AN1126" s="56"/>
      <c r="AO1126" s="56"/>
      <c r="AP1126" s="56"/>
      <c r="AQ1126" s="56"/>
      <c r="AR1126" s="56"/>
      <c r="AS1126" s="56"/>
      <c r="AT1126" s="56"/>
      <c r="AU1126" s="56"/>
      <c r="AV1126" s="56"/>
      <c r="AW1126" s="56"/>
    </row>
    <row r="1127" spans="1:49" ht="15.75" customHeight="1" x14ac:dyDescent="0.15">
      <c r="A1127" s="56"/>
      <c r="B1127" s="56"/>
      <c r="C1127" s="56"/>
      <c r="D1127" s="56"/>
      <c r="E1127" s="56"/>
      <c r="F1127" s="56"/>
      <c r="G1127" s="56"/>
      <c r="H1127" s="56"/>
      <c r="I1127" s="56"/>
      <c r="J1127" s="56"/>
      <c r="K1127" s="56"/>
      <c r="L1127" s="56"/>
      <c r="M1127" s="56"/>
      <c r="N1127" s="56"/>
      <c r="O1127" s="389"/>
      <c r="P1127" s="55"/>
      <c r="Q1127" s="55"/>
      <c r="R1127" s="55"/>
      <c r="S1127" s="56"/>
      <c r="T1127" s="56"/>
      <c r="U1127" s="56"/>
      <c r="V1127" s="56"/>
      <c r="W1127" s="56"/>
      <c r="X1127" s="56"/>
      <c r="Y1127" s="56"/>
      <c r="Z1127" s="56"/>
      <c r="AA1127" s="56"/>
      <c r="AB1127" s="56"/>
      <c r="AC1127" s="55"/>
      <c r="AD1127" s="55"/>
      <c r="AE1127" s="56"/>
      <c r="AF1127" s="56"/>
      <c r="AG1127" s="56"/>
      <c r="AH1127" s="56"/>
      <c r="AI1127" s="56"/>
      <c r="AJ1127" s="56"/>
      <c r="AK1127" s="56"/>
      <c r="AL1127" s="56"/>
      <c r="AM1127" s="56"/>
      <c r="AN1127" s="56"/>
      <c r="AO1127" s="56"/>
      <c r="AP1127" s="56"/>
      <c r="AQ1127" s="56"/>
      <c r="AR1127" s="56"/>
      <c r="AS1127" s="56"/>
      <c r="AT1127" s="56"/>
      <c r="AU1127" s="56"/>
      <c r="AV1127" s="56"/>
      <c r="AW1127" s="56"/>
    </row>
    <row r="1128" spans="1:49" ht="15.75" customHeight="1" x14ac:dyDescent="0.15">
      <c r="A1128" s="56"/>
      <c r="B1128" s="56"/>
      <c r="C1128" s="56"/>
      <c r="D1128" s="56"/>
      <c r="E1128" s="56"/>
      <c r="F1128" s="56"/>
      <c r="G1128" s="56"/>
      <c r="H1128" s="56"/>
      <c r="I1128" s="56"/>
      <c r="J1128" s="56"/>
      <c r="K1128" s="56"/>
      <c r="L1128" s="56"/>
      <c r="M1128" s="56"/>
      <c r="N1128" s="56"/>
      <c r="O1128" s="389"/>
      <c r="P1128" s="55"/>
      <c r="Q1128" s="55"/>
      <c r="R1128" s="55"/>
      <c r="S1128" s="56"/>
      <c r="T1128" s="56"/>
      <c r="U1128" s="56"/>
      <c r="V1128" s="56"/>
      <c r="W1128" s="56"/>
      <c r="X1128" s="56"/>
      <c r="Y1128" s="56"/>
      <c r="Z1128" s="56"/>
      <c r="AA1128" s="56"/>
      <c r="AB1128" s="56"/>
      <c r="AC1128" s="55"/>
      <c r="AD1128" s="55"/>
      <c r="AE1128" s="56"/>
      <c r="AF1128" s="56"/>
      <c r="AG1128" s="56"/>
      <c r="AH1128" s="56"/>
      <c r="AI1128" s="56"/>
      <c r="AJ1128" s="56"/>
      <c r="AK1128" s="56"/>
      <c r="AL1128" s="56"/>
      <c r="AM1128" s="56"/>
      <c r="AN1128" s="56"/>
      <c r="AO1128" s="56"/>
      <c r="AP1128" s="56"/>
      <c r="AQ1128" s="56"/>
      <c r="AR1128" s="56"/>
      <c r="AS1128" s="56"/>
      <c r="AT1128" s="56"/>
      <c r="AU1128" s="56"/>
      <c r="AV1128" s="56"/>
      <c r="AW1128" s="56"/>
    </row>
    <row r="1129" spans="1:49" ht="15.75" customHeight="1" x14ac:dyDescent="0.15">
      <c r="A1129" s="56"/>
      <c r="B1129" s="56"/>
      <c r="C1129" s="56"/>
      <c r="D1129" s="56"/>
      <c r="E1129" s="56"/>
      <c r="F1129" s="56"/>
      <c r="G1129" s="56"/>
      <c r="H1129" s="56"/>
      <c r="I1129" s="56"/>
      <c r="J1129" s="56"/>
      <c r="K1129" s="56"/>
      <c r="L1129" s="56"/>
      <c r="M1129" s="56"/>
      <c r="N1129" s="56"/>
      <c r="O1129" s="389"/>
      <c r="P1129" s="55"/>
      <c r="Q1129" s="55"/>
      <c r="R1129" s="55"/>
      <c r="S1129" s="56"/>
      <c r="T1129" s="56"/>
      <c r="U1129" s="56"/>
      <c r="V1129" s="56"/>
      <c r="W1129" s="56"/>
      <c r="X1129" s="56"/>
      <c r="Y1129" s="56"/>
      <c r="Z1129" s="56"/>
      <c r="AA1129" s="56"/>
      <c r="AB1129" s="56"/>
      <c r="AC1129" s="55"/>
      <c r="AD1129" s="55"/>
      <c r="AE1129" s="56"/>
      <c r="AF1129" s="56"/>
      <c r="AG1129" s="56"/>
      <c r="AH1129" s="56"/>
      <c r="AI1129" s="56"/>
      <c r="AJ1129" s="56"/>
      <c r="AK1129" s="56"/>
      <c r="AL1129" s="56"/>
      <c r="AM1129" s="56"/>
      <c r="AN1129" s="56"/>
      <c r="AO1129" s="56"/>
      <c r="AP1129" s="56"/>
      <c r="AQ1129" s="56"/>
      <c r="AR1129" s="56"/>
      <c r="AS1129" s="56"/>
      <c r="AT1129" s="56"/>
      <c r="AU1129" s="56"/>
      <c r="AV1129" s="56"/>
      <c r="AW1129" s="56"/>
    </row>
    <row r="1130" spans="1:49" ht="15.75" customHeight="1" x14ac:dyDescent="0.15">
      <c r="A1130" s="56"/>
      <c r="B1130" s="56"/>
      <c r="C1130" s="56"/>
      <c r="D1130" s="56"/>
      <c r="E1130" s="56"/>
      <c r="F1130" s="56"/>
      <c r="G1130" s="56"/>
      <c r="H1130" s="56"/>
      <c r="I1130" s="56"/>
      <c r="J1130" s="56"/>
      <c r="K1130" s="56"/>
      <c r="L1130" s="56"/>
      <c r="M1130" s="56"/>
      <c r="N1130" s="56"/>
      <c r="O1130" s="389"/>
      <c r="P1130" s="55"/>
      <c r="Q1130" s="55"/>
      <c r="R1130" s="55"/>
      <c r="S1130" s="56"/>
      <c r="T1130" s="56"/>
      <c r="U1130" s="56"/>
      <c r="V1130" s="56"/>
      <c r="W1130" s="56"/>
      <c r="X1130" s="56"/>
      <c r="Y1130" s="56"/>
      <c r="Z1130" s="56"/>
      <c r="AA1130" s="56"/>
      <c r="AB1130" s="56"/>
      <c r="AC1130" s="55"/>
      <c r="AD1130" s="55"/>
      <c r="AE1130" s="56"/>
      <c r="AF1130" s="56"/>
      <c r="AG1130" s="56"/>
      <c r="AH1130" s="56"/>
      <c r="AI1130" s="56"/>
      <c r="AJ1130" s="56"/>
      <c r="AK1130" s="56"/>
      <c r="AL1130" s="56"/>
      <c r="AM1130" s="56"/>
      <c r="AN1130" s="56"/>
      <c r="AO1130" s="56"/>
      <c r="AP1130" s="56"/>
      <c r="AQ1130" s="56"/>
      <c r="AR1130" s="56"/>
      <c r="AS1130" s="56"/>
      <c r="AT1130" s="56"/>
      <c r="AU1130" s="56"/>
      <c r="AV1130" s="56"/>
      <c r="AW1130" s="56"/>
    </row>
    <row r="1131" spans="1:49" ht="15.75" customHeight="1" x14ac:dyDescent="0.15">
      <c r="A1131" s="56"/>
      <c r="B1131" s="56"/>
      <c r="C1131" s="56"/>
      <c r="D1131" s="56"/>
      <c r="E1131" s="56"/>
      <c r="F1131" s="56"/>
      <c r="G1131" s="56"/>
      <c r="H1131" s="56"/>
      <c r="I1131" s="56"/>
      <c r="J1131" s="56"/>
      <c r="K1131" s="56"/>
      <c r="L1131" s="56"/>
      <c r="M1131" s="56"/>
      <c r="N1131" s="56"/>
      <c r="O1131" s="389"/>
      <c r="P1131" s="55"/>
      <c r="Q1131" s="55"/>
      <c r="R1131" s="55"/>
      <c r="S1131" s="56"/>
      <c r="T1131" s="56"/>
      <c r="U1131" s="56"/>
      <c r="V1131" s="56"/>
      <c r="W1131" s="56"/>
      <c r="X1131" s="56"/>
      <c r="Y1131" s="56"/>
      <c r="Z1131" s="56"/>
      <c r="AA1131" s="56"/>
      <c r="AB1131" s="56"/>
      <c r="AC1131" s="55"/>
      <c r="AD1131" s="55"/>
      <c r="AE1131" s="56"/>
      <c r="AF1131" s="56"/>
      <c r="AG1131" s="56"/>
      <c r="AH1131" s="56"/>
      <c r="AI1131" s="56"/>
      <c r="AJ1131" s="56"/>
      <c r="AK1131" s="56"/>
      <c r="AL1131" s="56"/>
      <c r="AM1131" s="56"/>
      <c r="AN1131" s="56"/>
      <c r="AO1131" s="56"/>
      <c r="AP1131" s="56"/>
      <c r="AQ1131" s="56"/>
      <c r="AR1131" s="56"/>
      <c r="AS1131" s="56"/>
      <c r="AT1131" s="56"/>
      <c r="AU1131" s="56"/>
      <c r="AV1131" s="56"/>
      <c r="AW1131" s="56"/>
    </row>
    <row r="1132" spans="1:49" ht="15.75" customHeight="1" x14ac:dyDescent="0.15">
      <c r="A1132" s="56"/>
      <c r="B1132" s="56"/>
      <c r="C1132" s="56"/>
      <c r="D1132" s="56"/>
      <c r="E1132" s="56"/>
      <c r="F1132" s="56"/>
      <c r="G1132" s="56"/>
      <c r="H1132" s="56"/>
      <c r="I1132" s="56"/>
      <c r="J1132" s="56"/>
      <c r="K1132" s="56"/>
      <c r="L1132" s="56"/>
      <c r="M1132" s="56"/>
      <c r="N1132" s="56"/>
      <c r="O1132" s="389"/>
      <c r="P1132" s="55"/>
      <c r="Q1132" s="55"/>
      <c r="R1132" s="55"/>
      <c r="S1132" s="56"/>
      <c r="T1132" s="56"/>
      <c r="U1132" s="56"/>
      <c r="V1132" s="56"/>
      <c r="W1132" s="56"/>
      <c r="X1132" s="56"/>
      <c r="Y1132" s="56"/>
      <c r="Z1132" s="56"/>
      <c r="AA1132" s="56"/>
      <c r="AB1132" s="56"/>
      <c r="AC1132" s="55"/>
      <c r="AD1132" s="55"/>
      <c r="AE1132" s="56"/>
      <c r="AF1132" s="56"/>
      <c r="AG1132" s="56"/>
      <c r="AH1132" s="56"/>
      <c r="AI1132" s="56"/>
      <c r="AJ1132" s="56"/>
      <c r="AK1132" s="56"/>
      <c r="AL1132" s="56"/>
      <c r="AM1132" s="56"/>
      <c r="AN1132" s="56"/>
      <c r="AO1132" s="56"/>
      <c r="AP1132" s="56"/>
      <c r="AQ1132" s="56"/>
      <c r="AR1132" s="56"/>
      <c r="AS1132" s="56"/>
      <c r="AT1132" s="56"/>
      <c r="AU1132" s="56"/>
      <c r="AV1132" s="56"/>
      <c r="AW1132" s="56"/>
    </row>
    <row r="1133" spans="1:49" ht="15.75" customHeight="1" x14ac:dyDescent="0.15">
      <c r="A1133" s="56"/>
      <c r="B1133" s="56"/>
      <c r="C1133" s="56"/>
      <c r="D1133" s="56"/>
      <c r="E1133" s="56"/>
      <c r="F1133" s="56"/>
      <c r="G1133" s="56"/>
      <c r="H1133" s="56"/>
      <c r="I1133" s="56"/>
      <c r="J1133" s="56"/>
      <c r="K1133" s="56"/>
      <c r="L1133" s="56"/>
      <c r="M1133" s="56"/>
      <c r="N1133" s="56"/>
      <c r="O1133" s="389"/>
      <c r="P1133" s="55"/>
      <c r="Q1133" s="55"/>
      <c r="R1133" s="55"/>
      <c r="S1133" s="56"/>
      <c r="T1133" s="56"/>
      <c r="U1133" s="56"/>
      <c r="V1133" s="56"/>
      <c r="W1133" s="56"/>
      <c r="X1133" s="56"/>
      <c r="Y1133" s="56"/>
      <c r="Z1133" s="56"/>
      <c r="AA1133" s="56"/>
      <c r="AB1133" s="56"/>
      <c r="AC1133" s="55"/>
      <c r="AD1133" s="55"/>
      <c r="AE1133" s="56"/>
      <c r="AF1133" s="56"/>
      <c r="AG1133" s="56"/>
      <c r="AH1133" s="56"/>
      <c r="AI1133" s="56"/>
      <c r="AJ1133" s="56"/>
      <c r="AK1133" s="56"/>
      <c r="AL1133" s="56"/>
      <c r="AM1133" s="56"/>
      <c r="AN1133" s="56"/>
      <c r="AO1133" s="56"/>
      <c r="AP1133" s="56"/>
      <c r="AQ1133" s="56"/>
      <c r="AR1133" s="56"/>
      <c r="AS1133" s="56"/>
      <c r="AT1133" s="56"/>
      <c r="AU1133" s="56"/>
      <c r="AV1133" s="56"/>
      <c r="AW1133" s="56"/>
    </row>
    <row r="1134" spans="1:49" ht="15.75" customHeight="1" x14ac:dyDescent="0.15">
      <c r="A1134" s="56"/>
      <c r="B1134" s="56"/>
      <c r="C1134" s="56"/>
      <c r="D1134" s="56"/>
      <c r="E1134" s="56"/>
      <c r="F1134" s="56"/>
      <c r="G1134" s="56"/>
      <c r="H1134" s="56"/>
      <c r="I1134" s="56"/>
      <c r="J1134" s="56"/>
      <c r="K1134" s="56"/>
      <c r="L1134" s="56"/>
      <c r="M1134" s="56"/>
      <c r="N1134" s="56"/>
      <c r="O1134" s="389"/>
      <c r="P1134" s="55"/>
      <c r="Q1134" s="55"/>
      <c r="R1134" s="55"/>
      <c r="S1134" s="56"/>
      <c r="T1134" s="56"/>
      <c r="U1134" s="56"/>
      <c r="V1134" s="56"/>
      <c r="W1134" s="56"/>
      <c r="X1134" s="56"/>
      <c r="Y1134" s="56"/>
      <c r="Z1134" s="56"/>
      <c r="AA1134" s="56"/>
      <c r="AB1134" s="56"/>
      <c r="AC1134" s="55"/>
      <c r="AD1134" s="55"/>
      <c r="AE1134" s="56"/>
      <c r="AF1134" s="56"/>
      <c r="AG1134" s="56"/>
      <c r="AH1134" s="56"/>
      <c r="AI1134" s="56"/>
      <c r="AJ1134" s="56"/>
      <c r="AK1134" s="56"/>
      <c r="AL1134" s="56"/>
      <c r="AM1134" s="56"/>
      <c r="AN1134" s="56"/>
      <c r="AO1134" s="56"/>
      <c r="AP1134" s="56"/>
      <c r="AQ1134" s="56"/>
      <c r="AR1134" s="56"/>
      <c r="AS1134" s="56"/>
      <c r="AT1134" s="56"/>
      <c r="AU1134" s="56"/>
      <c r="AV1134" s="56"/>
      <c r="AW1134" s="56"/>
    </row>
    <row r="1135" spans="1:49" ht="15.75" customHeight="1" x14ac:dyDescent="0.15">
      <c r="A1135" s="56"/>
      <c r="B1135" s="56"/>
      <c r="C1135" s="56"/>
      <c r="D1135" s="56"/>
      <c r="E1135" s="56"/>
      <c r="F1135" s="56"/>
      <c r="G1135" s="56"/>
      <c r="H1135" s="56"/>
      <c r="I1135" s="56"/>
      <c r="J1135" s="56"/>
      <c r="K1135" s="56"/>
      <c r="L1135" s="56"/>
      <c r="M1135" s="56"/>
      <c r="N1135" s="56"/>
      <c r="O1135" s="389"/>
      <c r="P1135" s="55"/>
      <c r="Q1135" s="55"/>
      <c r="R1135" s="55"/>
      <c r="S1135" s="56"/>
      <c r="T1135" s="56"/>
      <c r="U1135" s="56"/>
      <c r="V1135" s="56"/>
      <c r="W1135" s="56"/>
      <c r="X1135" s="56"/>
      <c r="Y1135" s="56"/>
      <c r="Z1135" s="56"/>
      <c r="AA1135" s="56"/>
      <c r="AB1135" s="56"/>
      <c r="AC1135" s="55"/>
      <c r="AD1135" s="55"/>
      <c r="AE1135" s="56"/>
      <c r="AF1135" s="56"/>
      <c r="AG1135" s="56"/>
      <c r="AH1135" s="56"/>
      <c r="AI1135" s="56"/>
      <c r="AJ1135" s="56"/>
      <c r="AK1135" s="56"/>
      <c r="AL1135" s="56"/>
      <c r="AM1135" s="56"/>
      <c r="AN1135" s="56"/>
      <c r="AO1135" s="56"/>
      <c r="AP1135" s="56"/>
      <c r="AQ1135" s="56"/>
      <c r="AR1135" s="56"/>
      <c r="AS1135" s="56"/>
      <c r="AT1135" s="56"/>
      <c r="AU1135" s="56"/>
      <c r="AV1135" s="56"/>
      <c r="AW1135" s="56"/>
    </row>
    <row r="1136" spans="1:49" ht="15.75" customHeight="1" x14ac:dyDescent="0.15">
      <c r="A1136" s="56"/>
      <c r="B1136" s="56"/>
      <c r="C1136" s="56"/>
      <c r="D1136" s="56"/>
      <c r="E1136" s="56"/>
      <c r="F1136" s="56"/>
      <c r="G1136" s="56"/>
      <c r="H1136" s="56"/>
      <c r="I1136" s="56"/>
      <c r="J1136" s="56"/>
      <c r="K1136" s="56"/>
      <c r="L1136" s="56"/>
      <c r="M1136" s="56"/>
      <c r="N1136" s="56"/>
      <c r="O1136" s="389"/>
      <c r="P1136" s="55"/>
      <c r="Q1136" s="55"/>
      <c r="R1136" s="55"/>
      <c r="S1136" s="56"/>
      <c r="T1136" s="56"/>
      <c r="U1136" s="56"/>
      <c r="V1136" s="56"/>
      <c r="W1136" s="56"/>
      <c r="X1136" s="56"/>
      <c r="Y1136" s="56"/>
      <c r="Z1136" s="56"/>
      <c r="AA1136" s="56"/>
      <c r="AB1136" s="56"/>
      <c r="AC1136" s="55"/>
      <c r="AD1136" s="55"/>
      <c r="AE1136" s="56"/>
      <c r="AF1136" s="56"/>
      <c r="AG1136" s="56"/>
      <c r="AH1136" s="56"/>
      <c r="AI1136" s="56"/>
      <c r="AJ1136" s="56"/>
      <c r="AK1136" s="56"/>
      <c r="AL1136" s="56"/>
      <c r="AM1136" s="56"/>
      <c r="AN1136" s="56"/>
      <c r="AO1136" s="56"/>
      <c r="AP1136" s="56"/>
      <c r="AQ1136" s="56"/>
      <c r="AR1136" s="56"/>
      <c r="AS1136" s="56"/>
      <c r="AT1136" s="56"/>
      <c r="AU1136" s="56"/>
      <c r="AV1136" s="56"/>
      <c r="AW1136" s="56"/>
    </row>
    <row r="1137" spans="1:49" ht="15.75" customHeight="1" x14ac:dyDescent="0.15">
      <c r="A1137" s="56"/>
      <c r="B1137" s="56"/>
      <c r="C1137" s="56"/>
      <c r="D1137" s="56"/>
      <c r="E1137" s="56"/>
      <c r="F1137" s="56"/>
      <c r="G1137" s="56"/>
      <c r="H1137" s="56"/>
      <c r="I1137" s="56"/>
      <c r="J1137" s="56"/>
      <c r="K1137" s="56"/>
      <c r="L1137" s="56"/>
      <c r="M1137" s="56"/>
      <c r="N1137" s="56"/>
      <c r="O1137" s="389"/>
      <c r="P1137" s="55"/>
      <c r="Q1137" s="55"/>
      <c r="R1137" s="55"/>
      <c r="S1137" s="56"/>
      <c r="T1137" s="56"/>
      <c r="U1137" s="56"/>
      <c r="V1137" s="56"/>
      <c r="W1137" s="56"/>
      <c r="X1137" s="56"/>
      <c r="Y1137" s="56"/>
      <c r="Z1137" s="56"/>
      <c r="AA1137" s="56"/>
      <c r="AB1137" s="56"/>
      <c r="AC1137" s="55"/>
      <c r="AD1137" s="55"/>
      <c r="AE1137" s="56"/>
      <c r="AF1137" s="56"/>
      <c r="AG1137" s="56"/>
      <c r="AH1137" s="56"/>
      <c r="AI1137" s="56"/>
      <c r="AJ1137" s="56"/>
      <c r="AK1137" s="56"/>
      <c r="AL1137" s="56"/>
      <c r="AM1137" s="56"/>
      <c r="AN1137" s="56"/>
      <c r="AO1137" s="56"/>
      <c r="AP1137" s="56"/>
      <c r="AQ1137" s="56"/>
      <c r="AR1137" s="56"/>
      <c r="AS1137" s="56"/>
      <c r="AT1137" s="56"/>
      <c r="AU1137" s="56"/>
      <c r="AV1137" s="56"/>
      <c r="AW1137" s="56"/>
    </row>
    <row r="1138" spans="1:49" ht="15.75" customHeight="1" x14ac:dyDescent="0.15">
      <c r="A1138" s="56"/>
      <c r="B1138" s="56"/>
      <c r="C1138" s="56"/>
      <c r="D1138" s="56"/>
      <c r="E1138" s="56"/>
      <c r="F1138" s="56"/>
      <c r="G1138" s="56"/>
      <c r="H1138" s="56"/>
      <c r="I1138" s="56"/>
      <c r="J1138" s="56"/>
      <c r="K1138" s="56"/>
      <c r="L1138" s="56"/>
      <c r="M1138" s="56"/>
      <c r="N1138" s="56"/>
      <c r="O1138" s="389"/>
      <c r="P1138" s="55"/>
      <c r="Q1138" s="55"/>
      <c r="R1138" s="55"/>
      <c r="S1138" s="56"/>
      <c r="T1138" s="56"/>
      <c r="U1138" s="56"/>
      <c r="V1138" s="56"/>
      <c r="W1138" s="56"/>
      <c r="X1138" s="56"/>
      <c r="Y1138" s="56"/>
      <c r="Z1138" s="56"/>
      <c r="AA1138" s="56"/>
      <c r="AB1138" s="56"/>
      <c r="AC1138" s="55"/>
      <c r="AD1138" s="55"/>
      <c r="AE1138" s="56"/>
      <c r="AF1138" s="56"/>
      <c r="AG1138" s="56"/>
      <c r="AH1138" s="56"/>
      <c r="AI1138" s="56"/>
      <c r="AJ1138" s="56"/>
      <c r="AK1138" s="56"/>
      <c r="AL1138" s="56"/>
      <c r="AM1138" s="56"/>
      <c r="AN1138" s="56"/>
      <c r="AO1138" s="56"/>
      <c r="AP1138" s="56"/>
      <c r="AQ1138" s="56"/>
      <c r="AR1138" s="56"/>
      <c r="AS1138" s="56"/>
      <c r="AT1138" s="56"/>
      <c r="AU1138" s="56"/>
      <c r="AV1138" s="56"/>
      <c r="AW1138" s="56"/>
    </row>
    <row r="1139" spans="1:49" ht="15.75" customHeight="1" x14ac:dyDescent="0.15">
      <c r="A1139" s="56"/>
      <c r="B1139" s="56"/>
      <c r="C1139" s="56"/>
      <c r="D1139" s="56"/>
      <c r="E1139" s="56"/>
      <c r="F1139" s="56"/>
      <c r="G1139" s="56"/>
      <c r="H1139" s="56"/>
      <c r="I1139" s="56"/>
      <c r="J1139" s="56"/>
      <c r="K1139" s="56"/>
      <c r="L1139" s="56"/>
      <c r="M1139" s="56"/>
      <c r="N1139" s="56"/>
      <c r="O1139" s="389"/>
      <c r="P1139" s="55"/>
      <c r="Q1139" s="55"/>
      <c r="R1139" s="55"/>
      <c r="S1139" s="56"/>
      <c r="T1139" s="56"/>
      <c r="U1139" s="56"/>
      <c r="V1139" s="56"/>
      <c r="W1139" s="56"/>
      <c r="X1139" s="56"/>
      <c r="Y1139" s="56"/>
      <c r="Z1139" s="56"/>
      <c r="AA1139" s="56"/>
      <c r="AB1139" s="56"/>
      <c r="AC1139" s="55"/>
      <c r="AD1139" s="55"/>
      <c r="AE1139" s="56"/>
      <c r="AF1139" s="56"/>
      <c r="AG1139" s="56"/>
      <c r="AH1139" s="56"/>
      <c r="AI1139" s="56"/>
      <c r="AJ1139" s="56"/>
      <c r="AK1139" s="56"/>
      <c r="AL1139" s="56"/>
      <c r="AM1139" s="56"/>
      <c r="AN1139" s="56"/>
      <c r="AO1139" s="56"/>
      <c r="AP1139" s="56"/>
      <c r="AQ1139" s="56"/>
      <c r="AR1139" s="56"/>
      <c r="AS1139" s="56"/>
      <c r="AT1139" s="56"/>
      <c r="AU1139" s="56"/>
      <c r="AV1139" s="56"/>
      <c r="AW1139" s="56"/>
    </row>
    <row r="1140" spans="1:49" ht="15.75" customHeight="1" x14ac:dyDescent="0.15">
      <c r="A1140" s="56"/>
      <c r="B1140" s="56"/>
      <c r="C1140" s="56"/>
      <c r="D1140" s="56"/>
      <c r="E1140" s="56"/>
      <c r="F1140" s="56"/>
      <c r="G1140" s="56"/>
      <c r="H1140" s="56"/>
      <c r="I1140" s="56"/>
      <c r="J1140" s="56"/>
      <c r="K1140" s="56"/>
      <c r="L1140" s="56"/>
      <c r="M1140" s="56"/>
      <c r="N1140" s="56"/>
      <c r="O1140" s="389"/>
      <c r="P1140" s="55"/>
      <c r="Q1140" s="55"/>
      <c r="R1140" s="55"/>
      <c r="S1140" s="56"/>
      <c r="T1140" s="56"/>
      <c r="U1140" s="56"/>
      <c r="V1140" s="56"/>
      <c r="W1140" s="56"/>
      <c r="X1140" s="56"/>
      <c r="Y1140" s="56"/>
      <c r="Z1140" s="56"/>
      <c r="AA1140" s="56"/>
      <c r="AB1140" s="56"/>
      <c r="AC1140" s="55"/>
      <c r="AD1140" s="55"/>
      <c r="AE1140" s="56"/>
      <c r="AF1140" s="56"/>
      <c r="AG1140" s="56"/>
      <c r="AH1140" s="56"/>
      <c r="AI1140" s="56"/>
      <c r="AJ1140" s="56"/>
      <c r="AK1140" s="56"/>
      <c r="AL1140" s="56"/>
      <c r="AM1140" s="56"/>
      <c r="AN1140" s="56"/>
      <c r="AO1140" s="56"/>
      <c r="AP1140" s="56"/>
      <c r="AQ1140" s="56"/>
      <c r="AR1140" s="56"/>
      <c r="AS1140" s="56"/>
      <c r="AT1140" s="56"/>
      <c r="AU1140" s="56"/>
      <c r="AV1140" s="56"/>
      <c r="AW1140" s="56"/>
    </row>
    <row r="1141" spans="1:49" ht="15.75" customHeight="1" x14ac:dyDescent="0.15">
      <c r="A1141" s="56"/>
      <c r="B1141" s="56"/>
      <c r="C1141" s="56"/>
      <c r="D1141" s="56"/>
      <c r="E1141" s="56"/>
      <c r="F1141" s="56"/>
      <c r="G1141" s="56"/>
      <c r="H1141" s="56"/>
      <c r="I1141" s="56"/>
      <c r="J1141" s="56"/>
      <c r="K1141" s="56"/>
      <c r="L1141" s="56"/>
      <c r="M1141" s="56"/>
      <c r="N1141" s="56"/>
      <c r="O1141" s="389"/>
      <c r="P1141" s="55"/>
      <c r="Q1141" s="55"/>
      <c r="R1141" s="55"/>
      <c r="S1141" s="56"/>
      <c r="T1141" s="56"/>
      <c r="U1141" s="56"/>
      <c r="V1141" s="56"/>
      <c r="W1141" s="56"/>
      <c r="X1141" s="56"/>
      <c r="Y1141" s="56"/>
      <c r="Z1141" s="56"/>
      <c r="AA1141" s="56"/>
      <c r="AB1141" s="56"/>
      <c r="AC1141" s="55"/>
      <c r="AD1141" s="55"/>
      <c r="AE1141" s="56"/>
      <c r="AF1141" s="56"/>
      <c r="AG1141" s="56"/>
      <c r="AH1141" s="56"/>
      <c r="AI1141" s="56"/>
      <c r="AJ1141" s="56"/>
      <c r="AK1141" s="56"/>
      <c r="AL1141" s="56"/>
      <c r="AM1141" s="56"/>
      <c r="AN1141" s="56"/>
      <c r="AO1141" s="56"/>
      <c r="AP1141" s="56"/>
      <c r="AQ1141" s="56"/>
      <c r="AR1141" s="56"/>
      <c r="AS1141" s="56"/>
      <c r="AT1141" s="56"/>
      <c r="AU1141" s="56"/>
      <c r="AV1141" s="56"/>
      <c r="AW1141" s="56"/>
    </row>
    <row r="1142" spans="1:49" ht="15.75" customHeight="1" x14ac:dyDescent="0.15">
      <c r="A1142" s="56"/>
      <c r="B1142" s="56"/>
      <c r="C1142" s="56"/>
      <c r="D1142" s="56"/>
      <c r="E1142" s="56"/>
      <c r="F1142" s="56"/>
      <c r="G1142" s="56"/>
      <c r="H1142" s="56"/>
      <c r="I1142" s="56"/>
      <c r="J1142" s="56"/>
      <c r="K1142" s="56"/>
      <c r="L1142" s="56"/>
      <c r="M1142" s="56"/>
      <c r="N1142" s="56"/>
      <c r="O1142" s="389"/>
      <c r="P1142" s="55"/>
      <c r="Q1142" s="55"/>
      <c r="R1142" s="55"/>
      <c r="S1142" s="56"/>
      <c r="T1142" s="56"/>
      <c r="U1142" s="56"/>
      <c r="V1142" s="56"/>
      <c r="W1142" s="56"/>
      <c r="X1142" s="56"/>
      <c r="Y1142" s="56"/>
      <c r="Z1142" s="56"/>
      <c r="AA1142" s="56"/>
      <c r="AB1142" s="56"/>
      <c r="AC1142" s="55"/>
      <c r="AD1142" s="55"/>
      <c r="AE1142" s="56"/>
      <c r="AF1142" s="56"/>
      <c r="AG1142" s="56"/>
      <c r="AH1142" s="56"/>
      <c r="AI1142" s="56"/>
      <c r="AJ1142" s="56"/>
      <c r="AK1142" s="56"/>
      <c r="AL1142" s="56"/>
      <c r="AM1142" s="56"/>
      <c r="AN1142" s="56"/>
      <c r="AO1142" s="56"/>
      <c r="AP1142" s="56"/>
      <c r="AQ1142" s="56"/>
      <c r="AR1142" s="56"/>
      <c r="AS1142" s="56"/>
      <c r="AT1142" s="56"/>
      <c r="AU1142" s="56"/>
      <c r="AV1142" s="56"/>
      <c r="AW1142" s="56"/>
    </row>
    <row r="1143" spans="1:49" ht="15.75" customHeight="1" x14ac:dyDescent="0.15">
      <c r="A1143" s="56"/>
      <c r="B1143" s="56"/>
      <c r="C1143" s="56"/>
      <c r="D1143" s="56"/>
      <c r="E1143" s="56"/>
      <c r="F1143" s="56"/>
      <c r="G1143" s="56"/>
      <c r="H1143" s="56"/>
      <c r="I1143" s="56"/>
      <c r="J1143" s="56"/>
      <c r="K1143" s="56"/>
      <c r="L1143" s="56"/>
      <c r="M1143" s="56"/>
      <c r="N1143" s="56"/>
      <c r="O1143" s="389"/>
      <c r="P1143" s="55"/>
      <c r="Q1143" s="55"/>
      <c r="R1143" s="55"/>
      <c r="S1143" s="56"/>
      <c r="T1143" s="56"/>
      <c r="U1143" s="56"/>
      <c r="V1143" s="56"/>
      <c r="W1143" s="56"/>
      <c r="X1143" s="56"/>
      <c r="Y1143" s="56"/>
      <c r="Z1143" s="56"/>
      <c r="AA1143" s="56"/>
      <c r="AB1143" s="56"/>
      <c r="AC1143" s="55"/>
      <c r="AD1143" s="55"/>
      <c r="AE1143" s="56"/>
      <c r="AF1143" s="56"/>
      <c r="AG1143" s="56"/>
      <c r="AH1143" s="56"/>
      <c r="AI1143" s="56"/>
      <c r="AJ1143" s="56"/>
      <c r="AK1143" s="56"/>
      <c r="AL1143" s="56"/>
      <c r="AM1143" s="56"/>
      <c r="AN1143" s="56"/>
      <c r="AO1143" s="56"/>
      <c r="AP1143" s="56"/>
      <c r="AQ1143" s="56"/>
      <c r="AR1143" s="56"/>
      <c r="AS1143" s="56"/>
      <c r="AT1143" s="56"/>
      <c r="AU1143" s="56"/>
      <c r="AV1143" s="56"/>
      <c r="AW1143" s="56"/>
    </row>
    <row r="1144" spans="1:49" ht="15.75" customHeight="1" x14ac:dyDescent="0.15">
      <c r="A1144" s="56"/>
      <c r="B1144" s="56"/>
      <c r="C1144" s="56"/>
      <c r="D1144" s="56"/>
      <c r="E1144" s="56"/>
      <c r="F1144" s="56"/>
      <c r="G1144" s="56"/>
      <c r="H1144" s="56"/>
      <c r="I1144" s="56"/>
      <c r="J1144" s="56"/>
      <c r="K1144" s="56"/>
      <c r="L1144" s="56"/>
      <c r="M1144" s="56"/>
      <c r="N1144" s="56"/>
      <c r="O1144" s="389"/>
      <c r="P1144" s="55"/>
      <c r="Q1144" s="55"/>
      <c r="R1144" s="55"/>
      <c r="S1144" s="56"/>
      <c r="T1144" s="56"/>
      <c r="U1144" s="56"/>
      <c r="V1144" s="56"/>
      <c r="W1144" s="56"/>
      <c r="X1144" s="56"/>
      <c r="Y1144" s="56"/>
      <c r="Z1144" s="56"/>
      <c r="AA1144" s="56"/>
      <c r="AB1144" s="56"/>
      <c r="AC1144" s="55"/>
      <c r="AD1144" s="55"/>
      <c r="AE1144" s="56"/>
      <c r="AF1144" s="56"/>
      <c r="AG1144" s="56"/>
      <c r="AH1144" s="56"/>
      <c r="AI1144" s="56"/>
      <c r="AJ1144" s="56"/>
      <c r="AK1144" s="56"/>
      <c r="AL1144" s="56"/>
      <c r="AM1144" s="56"/>
      <c r="AN1144" s="56"/>
      <c r="AO1144" s="56"/>
      <c r="AP1144" s="56"/>
      <c r="AQ1144" s="56"/>
      <c r="AR1144" s="56"/>
      <c r="AS1144" s="56"/>
      <c r="AT1144" s="56"/>
      <c r="AU1144" s="56"/>
      <c r="AV1144" s="56"/>
      <c r="AW1144" s="56"/>
    </row>
    <row r="1145" spans="1:49" ht="15.75" customHeight="1" x14ac:dyDescent="0.15">
      <c r="A1145" s="56"/>
      <c r="B1145" s="56"/>
      <c r="C1145" s="56"/>
      <c r="D1145" s="56"/>
      <c r="E1145" s="56"/>
      <c r="F1145" s="56"/>
      <c r="G1145" s="56"/>
      <c r="H1145" s="56"/>
      <c r="I1145" s="56"/>
      <c r="J1145" s="56"/>
      <c r="K1145" s="56"/>
      <c r="L1145" s="56"/>
      <c r="M1145" s="56"/>
      <c r="N1145" s="56"/>
      <c r="O1145" s="389"/>
      <c r="P1145" s="55"/>
      <c r="Q1145" s="55"/>
      <c r="R1145" s="55"/>
      <c r="S1145" s="56"/>
      <c r="T1145" s="56"/>
      <c r="U1145" s="56"/>
      <c r="V1145" s="56"/>
      <c r="W1145" s="56"/>
      <c r="X1145" s="56"/>
      <c r="Y1145" s="56"/>
      <c r="Z1145" s="56"/>
      <c r="AA1145" s="56"/>
      <c r="AB1145" s="56"/>
      <c r="AC1145" s="55"/>
      <c r="AD1145" s="55"/>
      <c r="AE1145" s="56"/>
      <c r="AF1145" s="56"/>
      <c r="AG1145" s="56"/>
      <c r="AH1145" s="56"/>
      <c r="AI1145" s="56"/>
      <c r="AJ1145" s="56"/>
      <c r="AK1145" s="56"/>
      <c r="AL1145" s="56"/>
      <c r="AM1145" s="56"/>
      <c r="AN1145" s="56"/>
      <c r="AO1145" s="56"/>
      <c r="AP1145" s="56"/>
      <c r="AQ1145" s="56"/>
      <c r="AR1145" s="56"/>
      <c r="AS1145" s="56"/>
      <c r="AT1145" s="56"/>
      <c r="AU1145" s="56"/>
      <c r="AV1145" s="56"/>
      <c r="AW1145" s="56"/>
    </row>
    <row r="1146" spans="1:49" ht="15.75" customHeight="1" x14ac:dyDescent="0.15">
      <c r="A1146" s="56"/>
      <c r="B1146" s="56"/>
      <c r="C1146" s="56"/>
      <c r="D1146" s="56"/>
      <c r="E1146" s="56"/>
      <c r="F1146" s="56"/>
      <c r="G1146" s="56"/>
      <c r="H1146" s="56"/>
      <c r="I1146" s="56"/>
      <c r="J1146" s="56"/>
      <c r="K1146" s="56"/>
      <c r="L1146" s="56"/>
      <c r="M1146" s="56"/>
      <c r="N1146" s="56"/>
      <c r="O1146" s="389"/>
      <c r="P1146" s="55"/>
      <c r="Q1146" s="55"/>
      <c r="R1146" s="55"/>
      <c r="S1146" s="56"/>
      <c r="T1146" s="56"/>
      <c r="U1146" s="56"/>
      <c r="V1146" s="56"/>
      <c r="W1146" s="56"/>
      <c r="X1146" s="56"/>
      <c r="Y1146" s="56"/>
      <c r="Z1146" s="56"/>
      <c r="AA1146" s="56"/>
      <c r="AB1146" s="56"/>
      <c r="AC1146" s="55"/>
      <c r="AD1146" s="55"/>
      <c r="AE1146" s="56"/>
      <c r="AF1146" s="56"/>
      <c r="AG1146" s="56"/>
      <c r="AH1146" s="56"/>
      <c r="AI1146" s="56"/>
      <c r="AJ1146" s="56"/>
      <c r="AK1146" s="56"/>
      <c r="AL1146" s="56"/>
      <c r="AM1146" s="56"/>
      <c r="AN1146" s="56"/>
      <c r="AO1146" s="56"/>
      <c r="AP1146" s="56"/>
      <c r="AQ1146" s="56"/>
      <c r="AR1146" s="56"/>
      <c r="AS1146" s="56"/>
      <c r="AT1146" s="56"/>
      <c r="AU1146" s="56"/>
      <c r="AV1146" s="56"/>
      <c r="AW1146" s="56"/>
    </row>
    <row r="1147" spans="1:49" ht="15.75" customHeight="1" x14ac:dyDescent="0.15">
      <c r="A1147" s="56"/>
      <c r="B1147" s="56"/>
      <c r="C1147" s="56"/>
      <c r="D1147" s="56"/>
      <c r="E1147" s="56"/>
      <c r="F1147" s="56"/>
      <c r="G1147" s="56"/>
      <c r="H1147" s="56"/>
      <c r="I1147" s="56"/>
      <c r="J1147" s="56"/>
      <c r="K1147" s="56"/>
      <c r="L1147" s="56"/>
      <c r="M1147" s="56"/>
      <c r="N1147" s="56"/>
      <c r="O1147" s="389"/>
      <c r="P1147" s="55"/>
      <c r="Q1147" s="55"/>
      <c r="R1147" s="55"/>
      <c r="S1147" s="56"/>
      <c r="T1147" s="56"/>
      <c r="U1147" s="56"/>
      <c r="V1147" s="56"/>
      <c r="W1147" s="56"/>
      <c r="X1147" s="56"/>
      <c r="Y1147" s="56"/>
      <c r="Z1147" s="56"/>
      <c r="AA1147" s="56"/>
      <c r="AB1147" s="56"/>
      <c r="AC1147" s="55"/>
      <c r="AD1147" s="55"/>
      <c r="AE1147" s="56"/>
      <c r="AF1147" s="56"/>
      <c r="AG1147" s="56"/>
      <c r="AH1147" s="56"/>
      <c r="AI1147" s="56"/>
      <c r="AJ1147" s="56"/>
      <c r="AK1147" s="56"/>
      <c r="AL1147" s="56"/>
      <c r="AM1147" s="56"/>
      <c r="AN1147" s="56"/>
      <c r="AO1147" s="56"/>
      <c r="AP1147" s="56"/>
      <c r="AQ1147" s="56"/>
      <c r="AR1147" s="56"/>
      <c r="AS1147" s="56"/>
      <c r="AT1147" s="56"/>
      <c r="AU1147" s="56"/>
      <c r="AV1147" s="56"/>
      <c r="AW1147" s="56"/>
    </row>
    <row r="1148" spans="1:49" ht="15.75" customHeight="1" x14ac:dyDescent="0.15">
      <c r="A1148" s="56"/>
      <c r="B1148" s="56"/>
      <c r="C1148" s="56"/>
      <c r="D1148" s="56"/>
      <c r="E1148" s="56"/>
      <c r="F1148" s="56"/>
      <c r="G1148" s="56"/>
      <c r="H1148" s="56"/>
      <c r="I1148" s="56"/>
      <c r="J1148" s="56"/>
      <c r="K1148" s="56"/>
      <c r="L1148" s="56"/>
      <c r="M1148" s="56"/>
      <c r="N1148" s="56"/>
      <c r="O1148" s="389"/>
      <c r="P1148" s="55"/>
      <c r="Q1148" s="55"/>
      <c r="R1148" s="55"/>
      <c r="S1148" s="56"/>
      <c r="T1148" s="56"/>
      <c r="U1148" s="56"/>
      <c r="V1148" s="56"/>
      <c r="W1148" s="56"/>
      <c r="X1148" s="56"/>
      <c r="Y1148" s="56"/>
      <c r="Z1148" s="56"/>
      <c r="AA1148" s="56"/>
      <c r="AB1148" s="56"/>
      <c r="AC1148" s="55"/>
      <c r="AD1148" s="55"/>
      <c r="AE1148" s="56"/>
      <c r="AF1148" s="56"/>
      <c r="AG1148" s="56"/>
      <c r="AH1148" s="56"/>
      <c r="AI1148" s="56"/>
      <c r="AJ1148" s="56"/>
      <c r="AK1148" s="56"/>
      <c r="AL1148" s="56"/>
      <c r="AM1148" s="56"/>
      <c r="AN1148" s="56"/>
      <c r="AO1148" s="56"/>
      <c r="AP1148" s="56"/>
      <c r="AQ1148" s="56"/>
      <c r="AR1148" s="56"/>
      <c r="AS1148" s="56"/>
      <c r="AT1148" s="56"/>
      <c r="AU1148" s="56"/>
      <c r="AV1148" s="56"/>
      <c r="AW1148" s="56"/>
    </row>
    <row r="1149" spans="1:49" ht="15.75" customHeight="1" x14ac:dyDescent="0.15">
      <c r="A1149" s="56"/>
      <c r="B1149" s="56"/>
      <c r="C1149" s="56"/>
      <c r="D1149" s="56"/>
      <c r="E1149" s="56"/>
      <c r="F1149" s="56"/>
      <c r="G1149" s="56"/>
      <c r="H1149" s="56"/>
      <c r="I1149" s="56"/>
      <c r="J1149" s="56"/>
      <c r="K1149" s="56"/>
      <c r="L1149" s="56"/>
      <c r="M1149" s="56"/>
      <c r="N1149" s="56"/>
      <c r="O1149" s="389"/>
      <c r="P1149" s="55"/>
      <c r="Q1149" s="55"/>
      <c r="R1149" s="55"/>
      <c r="S1149" s="56"/>
      <c r="T1149" s="56"/>
      <c r="U1149" s="56"/>
      <c r="V1149" s="56"/>
      <c r="W1149" s="56"/>
      <c r="X1149" s="56"/>
      <c r="Y1149" s="56"/>
      <c r="Z1149" s="56"/>
      <c r="AA1149" s="56"/>
      <c r="AB1149" s="56"/>
      <c r="AC1149" s="55"/>
      <c r="AD1149" s="55"/>
      <c r="AE1149" s="56"/>
      <c r="AF1149" s="56"/>
      <c r="AG1149" s="56"/>
      <c r="AH1149" s="56"/>
      <c r="AI1149" s="56"/>
      <c r="AJ1149" s="56"/>
      <c r="AK1149" s="56"/>
      <c r="AL1149" s="56"/>
      <c r="AM1149" s="56"/>
      <c r="AN1149" s="56"/>
      <c r="AO1149" s="56"/>
      <c r="AP1149" s="56"/>
      <c r="AQ1149" s="56"/>
      <c r="AR1149" s="56"/>
      <c r="AS1149" s="56"/>
      <c r="AT1149" s="56"/>
      <c r="AU1149" s="56"/>
      <c r="AV1149" s="56"/>
      <c r="AW1149" s="56"/>
    </row>
    <row r="1150" spans="1:49" ht="15.75" customHeight="1" x14ac:dyDescent="0.15">
      <c r="A1150" s="56"/>
      <c r="B1150" s="56"/>
      <c r="C1150" s="56"/>
      <c r="D1150" s="56"/>
      <c r="E1150" s="56"/>
      <c r="F1150" s="56"/>
      <c r="G1150" s="56"/>
      <c r="H1150" s="56"/>
      <c r="I1150" s="56"/>
      <c r="J1150" s="56"/>
      <c r="K1150" s="56"/>
      <c r="L1150" s="56"/>
      <c r="M1150" s="56"/>
      <c r="N1150" s="56"/>
      <c r="O1150" s="389"/>
      <c r="P1150" s="55"/>
      <c r="Q1150" s="55"/>
      <c r="R1150" s="55"/>
      <c r="S1150" s="56"/>
      <c r="T1150" s="56"/>
      <c r="U1150" s="56"/>
      <c r="V1150" s="56"/>
      <c r="W1150" s="56"/>
      <c r="X1150" s="56"/>
      <c r="Y1150" s="56"/>
      <c r="Z1150" s="56"/>
      <c r="AA1150" s="56"/>
      <c r="AB1150" s="56"/>
      <c r="AC1150" s="55"/>
      <c r="AD1150" s="55"/>
      <c r="AE1150" s="56"/>
      <c r="AF1150" s="56"/>
      <c r="AG1150" s="56"/>
      <c r="AH1150" s="56"/>
      <c r="AI1150" s="56"/>
      <c r="AJ1150" s="56"/>
      <c r="AK1150" s="56"/>
      <c r="AL1150" s="56"/>
      <c r="AM1150" s="56"/>
      <c r="AN1150" s="56"/>
      <c r="AO1150" s="56"/>
      <c r="AP1150" s="56"/>
      <c r="AQ1150" s="56"/>
      <c r="AR1150" s="56"/>
      <c r="AS1150" s="56"/>
      <c r="AT1150" s="56"/>
      <c r="AU1150" s="56"/>
      <c r="AV1150" s="56"/>
      <c r="AW1150" s="56"/>
    </row>
    <row r="1151" spans="1:49" ht="15.75" customHeight="1" x14ac:dyDescent="0.15">
      <c r="A1151" s="56"/>
      <c r="B1151" s="56"/>
      <c r="C1151" s="56"/>
      <c r="D1151" s="56"/>
      <c r="E1151" s="56"/>
      <c r="F1151" s="56"/>
      <c r="G1151" s="56"/>
      <c r="H1151" s="56"/>
      <c r="I1151" s="56"/>
      <c r="J1151" s="56"/>
      <c r="K1151" s="56"/>
      <c r="L1151" s="56"/>
      <c r="M1151" s="56"/>
      <c r="N1151" s="56"/>
      <c r="O1151" s="389"/>
      <c r="P1151" s="55"/>
      <c r="Q1151" s="55"/>
      <c r="R1151" s="55"/>
      <c r="S1151" s="56"/>
      <c r="T1151" s="56"/>
      <c r="U1151" s="56"/>
      <c r="V1151" s="56"/>
      <c r="W1151" s="56"/>
      <c r="X1151" s="56"/>
      <c r="Y1151" s="56"/>
      <c r="Z1151" s="56"/>
      <c r="AA1151" s="56"/>
      <c r="AB1151" s="56"/>
      <c r="AC1151" s="55"/>
      <c r="AD1151" s="55"/>
      <c r="AE1151" s="56"/>
      <c r="AF1151" s="56"/>
      <c r="AG1151" s="56"/>
      <c r="AH1151" s="56"/>
      <c r="AI1151" s="56"/>
      <c r="AJ1151" s="56"/>
      <c r="AK1151" s="56"/>
      <c r="AL1151" s="56"/>
      <c r="AM1151" s="56"/>
      <c r="AN1151" s="56"/>
      <c r="AO1151" s="56"/>
      <c r="AP1151" s="56"/>
      <c r="AQ1151" s="56"/>
      <c r="AR1151" s="56"/>
      <c r="AS1151" s="56"/>
      <c r="AT1151" s="56"/>
      <c r="AU1151" s="56"/>
      <c r="AV1151" s="56"/>
      <c r="AW1151" s="56"/>
    </row>
    <row r="1152" spans="1:49" ht="15.75" customHeight="1" x14ac:dyDescent="0.15">
      <c r="A1152" s="56"/>
      <c r="B1152" s="56"/>
      <c r="C1152" s="56"/>
      <c r="D1152" s="56"/>
      <c r="E1152" s="56"/>
      <c r="F1152" s="56"/>
      <c r="G1152" s="56"/>
      <c r="H1152" s="56"/>
      <c r="I1152" s="56"/>
      <c r="J1152" s="56"/>
      <c r="K1152" s="56"/>
      <c r="L1152" s="56"/>
      <c r="M1152" s="56"/>
      <c r="N1152" s="56"/>
      <c r="O1152" s="389"/>
      <c r="P1152" s="55"/>
      <c r="Q1152" s="55"/>
      <c r="R1152" s="55"/>
      <c r="S1152" s="56"/>
      <c r="T1152" s="56"/>
      <c r="U1152" s="56"/>
      <c r="V1152" s="56"/>
      <c r="W1152" s="56"/>
      <c r="X1152" s="56"/>
      <c r="Y1152" s="56"/>
      <c r="Z1152" s="56"/>
      <c r="AA1152" s="56"/>
      <c r="AB1152" s="56"/>
      <c r="AC1152" s="55"/>
      <c r="AD1152" s="55"/>
      <c r="AE1152" s="56"/>
      <c r="AF1152" s="56"/>
      <c r="AG1152" s="56"/>
      <c r="AH1152" s="56"/>
      <c r="AI1152" s="56"/>
      <c r="AJ1152" s="56"/>
      <c r="AK1152" s="56"/>
      <c r="AL1152" s="56"/>
      <c r="AM1152" s="56"/>
      <c r="AN1152" s="56"/>
      <c r="AO1152" s="56"/>
      <c r="AP1152" s="56"/>
      <c r="AQ1152" s="56"/>
      <c r="AR1152" s="56"/>
      <c r="AS1152" s="56"/>
      <c r="AT1152" s="56"/>
      <c r="AU1152" s="56"/>
      <c r="AV1152" s="56"/>
      <c r="AW1152" s="56"/>
    </row>
    <row r="1153" spans="1:49" ht="15.75" customHeight="1" x14ac:dyDescent="0.15">
      <c r="A1153" s="56"/>
      <c r="B1153" s="56"/>
      <c r="C1153" s="56"/>
      <c r="D1153" s="56"/>
      <c r="E1153" s="56"/>
      <c r="F1153" s="56"/>
      <c r="G1153" s="56"/>
      <c r="H1153" s="56"/>
      <c r="I1153" s="56"/>
      <c r="J1153" s="56"/>
      <c r="K1153" s="56"/>
      <c r="L1153" s="56"/>
      <c r="M1153" s="56"/>
      <c r="N1153" s="56"/>
      <c r="O1153" s="389"/>
      <c r="P1153" s="55"/>
      <c r="Q1153" s="55"/>
      <c r="R1153" s="55"/>
      <c r="S1153" s="56"/>
      <c r="T1153" s="56"/>
      <c r="U1153" s="56"/>
      <c r="V1153" s="56"/>
      <c r="W1153" s="56"/>
      <c r="X1153" s="56"/>
      <c r="Y1153" s="56"/>
      <c r="Z1153" s="56"/>
      <c r="AA1153" s="56"/>
      <c r="AB1153" s="56"/>
      <c r="AC1153" s="55"/>
      <c r="AD1153" s="55"/>
      <c r="AE1153" s="56"/>
      <c r="AF1153" s="56"/>
      <c r="AG1153" s="56"/>
      <c r="AH1153" s="56"/>
      <c r="AI1153" s="56"/>
      <c r="AJ1153" s="56"/>
      <c r="AK1153" s="56"/>
      <c r="AL1153" s="56"/>
      <c r="AM1153" s="56"/>
      <c r="AN1153" s="56"/>
      <c r="AO1153" s="56"/>
      <c r="AP1153" s="56"/>
      <c r="AQ1153" s="56"/>
      <c r="AR1153" s="56"/>
      <c r="AS1153" s="56"/>
      <c r="AT1153" s="56"/>
      <c r="AU1153" s="56"/>
      <c r="AV1153" s="56"/>
      <c r="AW1153" s="56"/>
    </row>
    <row r="1154" spans="1:49" ht="15.75" customHeight="1" x14ac:dyDescent="0.15">
      <c r="A1154" s="56"/>
      <c r="B1154" s="56"/>
      <c r="C1154" s="56"/>
      <c r="D1154" s="56"/>
      <c r="E1154" s="56"/>
      <c r="F1154" s="56"/>
      <c r="G1154" s="56"/>
      <c r="H1154" s="56"/>
      <c r="I1154" s="56"/>
      <c r="J1154" s="56"/>
      <c r="K1154" s="56"/>
      <c r="L1154" s="56"/>
      <c r="M1154" s="56"/>
      <c r="N1154" s="56"/>
      <c r="O1154" s="389"/>
      <c r="P1154" s="55"/>
      <c r="Q1154" s="55"/>
      <c r="R1154" s="55"/>
      <c r="S1154" s="56"/>
      <c r="T1154" s="56"/>
      <c r="U1154" s="56"/>
      <c r="V1154" s="56"/>
      <c r="W1154" s="56"/>
      <c r="X1154" s="56"/>
      <c r="Y1154" s="56"/>
      <c r="Z1154" s="56"/>
      <c r="AA1154" s="56"/>
      <c r="AB1154" s="56"/>
      <c r="AC1154" s="55"/>
      <c r="AD1154" s="55"/>
      <c r="AE1154" s="56"/>
      <c r="AF1154" s="56"/>
      <c r="AG1154" s="56"/>
      <c r="AH1154" s="56"/>
      <c r="AI1154" s="56"/>
      <c r="AJ1154" s="56"/>
      <c r="AK1154" s="56"/>
      <c r="AL1154" s="56"/>
      <c r="AM1154" s="56"/>
      <c r="AN1154" s="56"/>
      <c r="AO1154" s="56"/>
      <c r="AP1154" s="56"/>
      <c r="AQ1154" s="56"/>
      <c r="AR1154" s="56"/>
      <c r="AS1154" s="56"/>
      <c r="AT1154" s="56"/>
      <c r="AU1154" s="56"/>
      <c r="AV1154" s="56"/>
      <c r="AW1154" s="56"/>
    </row>
    <row r="1155" spans="1:49" ht="15.75" customHeight="1" x14ac:dyDescent="0.15">
      <c r="A1155" s="56"/>
      <c r="B1155" s="56"/>
      <c r="C1155" s="56"/>
      <c r="D1155" s="56"/>
      <c r="E1155" s="56"/>
      <c r="F1155" s="56"/>
      <c r="G1155" s="56"/>
      <c r="H1155" s="56"/>
      <c r="I1155" s="56"/>
      <c r="J1155" s="56"/>
      <c r="K1155" s="56"/>
      <c r="L1155" s="56"/>
      <c r="M1155" s="56"/>
      <c r="N1155" s="56"/>
      <c r="O1155" s="389"/>
      <c r="P1155" s="55"/>
      <c r="Q1155" s="55"/>
      <c r="R1155" s="55"/>
      <c r="S1155" s="56"/>
      <c r="T1155" s="56"/>
      <c r="U1155" s="56"/>
      <c r="V1155" s="56"/>
      <c r="W1155" s="56"/>
      <c r="X1155" s="56"/>
      <c r="Y1155" s="56"/>
      <c r="Z1155" s="56"/>
      <c r="AA1155" s="56"/>
      <c r="AB1155" s="56"/>
      <c r="AC1155" s="55"/>
      <c r="AD1155" s="55"/>
      <c r="AE1155" s="56"/>
      <c r="AF1155" s="56"/>
      <c r="AG1155" s="56"/>
      <c r="AH1155" s="56"/>
      <c r="AI1155" s="56"/>
      <c r="AJ1155" s="56"/>
      <c r="AK1155" s="56"/>
      <c r="AL1155" s="56"/>
      <c r="AM1155" s="56"/>
      <c r="AN1155" s="56"/>
      <c r="AO1155" s="56"/>
      <c r="AP1155" s="56"/>
      <c r="AQ1155" s="56"/>
      <c r="AR1155" s="56"/>
      <c r="AS1155" s="56"/>
      <c r="AT1155" s="56"/>
      <c r="AU1155" s="56"/>
      <c r="AV1155" s="56"/>
      <c r="AW1155" s="56"/>
    </row>
    <row r="1156" spans="1:49" ht="15.75" customHeight="1" x14ac:dyDescent="0.15">
      <c r="A1156" s="56"/>
      <c r="B1156" s="56"/>
      <c r="C1156" s="56"/>
      <c r="D1156" s="56"/>
      <c r="E1156" s="56"/>
      <c r="F1156" s="56"/>
      <c r="G1156" s="56"/>
      <c r="H1156" s="56"/>
      <c r="I1156" s="56"/>
      <c r="J1156" s="56"/>
      <c r="K1156" s="56"/>
      <c r="L1156" s="56"/>
      <c r="M1156" s="56"/>
      <c r="N1156" s="56"/>
      <c r="O1156" s="389"/>
      <c r="P1156" s="55"/>
      <c r="Q1156" s="55"/>
      <c r="R1156" s="55"/>
      <c r="S1156" s="56"/>
      <c r="T1156" s="56"/>
      <c r="U1156" s="56"/>
      <c r="V1156" s="56"/>
      <c r="W1156" s="56"/>
      <c r="X1156" s="56"/>
      <c r="Y1156" s="56"/>
      <c r="Z1156" s="56"/>
      <c r="AA1156" s="56"/>
      <c r="AB1156" s="56"/>
      <c r="AC1156" s="55"/>
      <c r="AD1156" s="55"/>
      <c r="AE1156" s="56"/>
      <c r="AF1156" s="56"/>
      <c r="AG1156" s="56"/>
      <c r="AH1156" s="56"/>
      <c r="AI1156" s="56"/>
      <c r="AJ1156" s="56"/>
      <c r="AK1156" s="56"/>
      <c r="AL1156" s="56"/>
      <c r="AM1156" s="56"/>
      <c r="AN1156" s="56"/>
      <c r="AO1156" s="56"/>
      <c r="AP1156" s="56"/>
      <c r="AQ1156" s="56"/>
      <c r="AR1156" s="56"/>
      <c r="AS1156" s="56"/>
      <c r="AT1156" s="56"/>
      <c r="AU1156" s="56"/>
      <c r="AV1156" s="56"/>
      <c r="AW1156" s="56"/>
    </row>
    <row r="1157" spans="1:49" ht="15.75" customHeight="1" x14ac:dyDescent="0.15">
      <c r="A1157" s="56"/>
      <c r="B1157" s="56"/>
      <c r="C1157" s="56"/>
      <c r="D1157" s="56"/>
      <c r="E1157" s="56"/>
      <c r="F1157" s="56"/>
      <c r="G1157" s="56"/>
      <c r="H1157" s="56"/>
      <c r="I1157" s="56"/>
      <c r="J1157" s="56"/>
      <c r="K1157" s="56"/>
      <c r="L1157" s="56"/>
      <c r="M1157" s="56"/>
      <c r="N1157" s="56"/>
      <c r="O1157" s="389"/>
      <c r="P1157" s="55"/>
      <c r="Q1157" s="55"/>
      <c r="R1157" s="55"/>
      <c r="S1157" s="56"/>
      <c r="T1157" s="56"/>
      <c r="U1157" s="56"/>
      <c r="V1157" s="56"/>
      <c r="W1157" s="56"/>
      <c r="X1157" s="56"/>
      <c r="Y1157" s="56"/>
      <c r="Z1157" s="56"/>
      <c r="AA1157" s="56"/>
      <c r="AB1157" s="56"/>
      <c r="AC1157" s="55"/>
      <c r="AD1157" s="55"/>
      <c r="AE1157" s="56"/>
      <c r="AF1157" s="56"/>
      <c r="AG1157" s="56"/>
      <c r="AH1157" s="56"/>
      <c r="AI1157" s="56"/>
      <c r="AJ1157" s="56"/>
      <c r="AK1157" s="56"/>
      <c r="AL1157" s="56"/>
      <c r="AM1157" s="56"/>
      <c r="AN1157" s="56"/>
      <c r="AO1157" s="56"/>
      <c r="AP1157" s="56"/>
      <c r="AQ1157" s="56"/>
      <c r="AR1157" s="56"/>
      <c r="AS1157" s="56"/>
      <c r="AT1157" s="56"/>
      <c r="AU1157" s="56"/>
      <c r="AV1157" s="56"/>
      <c r="AW1157" s="56"/>
    </row>
    <row r="1158" spans="1:49" ht="15.75" customHeight="1" x14ac:dyDescent="0.15">
      <c r="A1158" s="56"/>
      <c r="B1158" s="56"/>
      <c r="C1158" s="56"/>
      <c r="D1158" s="56"/>
      <c r="E1158" s="56"/>
      <c r="F1158" s="56"/>
      <c r="G1158" s="56"/>
      <c r="H1158" s="56"/>
      <c r="I1158" s="56"/>
      <c r="J1158" s="56"/>
      <c r="K1158" s="56"/>
      <c r="L1158" s="56"/>
      <c r="M1158" s="56"/>
      <c r="N1158" s="56"/>
      <c r="O1158" s="389"/>
      <c r="P1158" s="55"/>
      <c r="Q1158" s="55"/>
      <c r="R1158" s="55"/>
      <c r="S1158" s="56"/>
      <c r="T1158" s="56"/>
      <c r="U1158" s="56"/>
      <c r="V1158" s="56"/>
      <c r="W1158" s="56"/>
      <c r="X1158" s="56"/>
      <c r="Y1158" s="56"/>
      <c r="Z1158" s="56"/>
      <c r="AA1158" s="56"/>
      <c r="AB1158" s="56"/>
      <c r="AC1158" s="55"/>
      <c r="AD1158" s="55"/>
      <c r="AE1158" s="56"/>
      <c r="AF1158" s="56"/>
      <c r="AG1158" s="56"/>
      <c r="AH1158" s="56"/>
      <c r="AI1158" s="56"/>
      <c r="AJ1158" s="56"/>
      <c r="AK1158" s="56"/>
      <c r="AL1158" s="56"/>
      <c r="AM1158" s="56"/>
      <c r="AN1158" s="56"/>
      <c r="AO1158" s="56"/>
      <c r="AP1158" s="56"/>
      <c r="AQ1158" s="56"/>
      <c r="AR1158" s="56"/>
      <c r="AS1158" s="56"/>
      <c r="AT1158" s="56"/>
      <c r="AU1158" s="56"/>
      <c r="AV1158" s="56"/>
      <c r="AW1158" s="56"/>
    </row>
    <row r="1159" spans="1:49" ht="15.75" customHeight="1" x14ac:dyDescent="0.15">
      <c r="A1159" s="56"/>
      <c r="B1159" s="56"/>
      <c r="C1159" s="56"/>
      <c r="D1159" s="56"/>
      <c r="E1159" s="56"/>
      <c r="F1159" s="56"/>
      <c r="G1159" s="56"/>
      <c r="H1159" s="56"/>
      <c r="I1159" s="56"/>
      <c r="J1159" s="56"/>
      <c r="K1159" s="56"/>
      <c r="L1159" s="56"/>
      <c r="M1159" s="56"/>
      <c r="N1159" s="56"/>
      <c r="O1159" s="389"/>
      <c r="P1159" s="55"/>
      <c r="Q1159" s="55"/>
      <c r="R1159" s="55"/>
      <c r="S1159" s="56"/>
      <c r="T1159" s="56"/>
      <c r="U1159" s="56"/>
      <c r="V1159" s="56"/>
      <c r="W1159" s="56"/>
      <c r="X1159" s="56"/>
      <c r="Y1159" s="56"/>
      <c r="Z1159" s="56"/>
      <c r="AA1159" s="56"/>
      <c r="AB1159" s="56"/>
      <c r="AC1159" s="55"/>
      <c r="AD1159" s="55"/>
      <c r="AE1159" s="56"/>
      <c r="AF1159" s="56"/>
      <c r="AG1159" s="56"/>
      <c r="AH1159" s="56"/>
      <c r="AI1159" s="56"/>
      <c r="AJ1159" s="56"/>
      <c r="AK1159" s="56"/>
      <c r="AL1159" s="56"/>
      <c r="AM1159" s="56"/>
      <c r="AN1159" s="56"/>
      <c r="AO1159" s="56"/>
      <c r="AP1159" s="56"/>
      <c r="AQ1159" s="56"/>
      <c r="AR1159" s="56"/>
      <c r="AS1159" s="56"/>
      <c r="AT1159" s="56"/>
      <c r="AU1159" s="56"/>
      <c r="AV1159" s="56"/>
      <c r="AW1159" s="56"/>
    </row>
    <row r="1160" spans="1:49" ht="15.75" customHeight="1" x14ac:dyDescent="0.15">
      <c r="A1160" s="56"/>
      <c r="B1160" s="56"/>
      <c r="C1160" s="56"/>
      <c r="D1160" s="56"/>
      <c r="E1160" s="56"/>
      <c r="F1160" s="56"/>
      <c r="G1160" s="56"/>
      <c r="H1160" s="56"/>
      <c r="I1160" s="56"/>
      <c r="J1160" s="56"/>
      <c r="K1160" s="56"/>
      <c r="L1160" s="56"/>
      <c r="M1160" s="56"/>
      <c r="N1160" s="56"/>
      <c r="O1160" s="389"/>
      <c r="P1160" s="55"/>
      <c r="Q1160" s="55"/>
      <c r="R1160" s="55"/>
      <c r="S1160" s="56"/>
      <c r="T1160" s="56"/>
      <c r="U1160" s="56"/>
      <c r="V1160" s="56"/>
      <c r="W1160" s="56"/>
      <c r="X1160" s="56"/>
      <c r="Y1160" s="56"/>
      <c r="Z1160" s="56"/>
      <c r="AA1160" s="56"/>
      <c r="AB1160" s="56"/>
      <c r="AC1160" s="55"/>
      <c r="AD1160" s="55"/>
      <c r="AE1160" s="56"/>
      <c r="AF1160" s="56"/>
      <c r="AG1160" s="56"/>
      <c r="AH1160" s="56"/>
      <c r="AI1160" s="56"/>
      <c r="AJ1160" s="56"/>
      <c r="AK1160" s="56"/>
      <c r="AL1160" s="56"/>
      <c r="AM1160" s="56"/>
      <c r="AN1160" s="56"/>
      <c r="AO1160" s="56"/>
      <c r="AP1160" s="56"/>
      <c r="AQ1160" s="56"/>
      <c r="AR1160" s="56"/>
      <c r="AS1160" s="56"/>
      <c r="AT1160" s="56"/>
      <c r="AU1160" s="56"/>
      <c r="AV1160" s="56"/>
      <c r="AW1160" s="56"/>
    </row>
    <row r="1161" spans="1:49" ht="15.75" customHeight="1" x14ac:dyDescent="0.15">
      <c r="A1161" s="56"/>
      <c r="B1161" s="56"/>
      <c r="C1161" s="56"/>
      <c r="D1161" s="56"/>
      <c r="E1161" s="56"/>
      <c r="F1161" s="56"/>
      <c r="G1161" s="56"/>
      <c r="H1161" s="56"/>
      <c r="I1161" s="56"/>
      <c r="J1161" s="56"/>
      <c r="K1161" s="56"/>
      <c r="L1161" s="56"/>
      <c r="M1161" s="56"/>
      <c r="N1161" s="56"/>
      <c r="O1161" s="389"/>
      <c r="P1161" s="55"/>
      <c r="Q1161" s="55"/>
      <c r="R1161" s="55"/>
      <c r="S1161" s="56"/>
      <c r="T1161" s="56"/>
      <c r="U1161" s="56"/>
      <c r="V1161" s="56"/>
      <c r="W1161" s="56"/>
      <c r="X1161" s="56"/>
      <c r="Y1161" s="56"/>
      <c r="Z1161" s="56"/>
      <c r="AA1161" s="56"/>
      <c r="AB1161" s="56"/>
      <c r="AC1161" s="55"/>
      <c r="AD1161" s="55"/>
      <c r="AE1161" s="56"/>
      <c r="AF1161" s="56"/>
      <c r="AG1161" s="56"/>
      <c r="AH1161" s="56"/>
      <c r="AI1161" s="56"/>
      <c r="AJ1161" s="56"/>
      <c r="AK1161" s="56"/>
      <c r="AL1161" s="56"/>
      <c r="AM1161" s="56"/>
      <c r="AN1161" s="56"/>
      <c r="AO1161" s="56"/>
      <c r="AP1161" s="56"/>
      <c r="AQ1161" s="56"/>
      <c r="AR1161" s="56"/>
      <c r="AS1161" s="56"/>
      <c r="AT1161" s="56"/>
      <c r="AU1161" s="56"/>
      <c r="AV1161" s="56"/>
      <c r="AW1161" s="56"/>
    </row>
    <row r="1162" spans="1:49" ht="15.75" customHeight="1" x14ac:dyDescent="0.15">
      <c r="A1162" s="56"/>
      <c r="B1162" s="56"/>
      <c r="C1162" s="56"/>
      <c r="D1162" s="56"/>
      <c r="E1162" s="56"/>
      <c r="F1162" s="56"/>
      <c r="G1162" s="56"/>
      <c r="H1162" s="56"/>
      <c r="I1162" s="56"/>
      <c r="J1162" s="56"/>
      <c r="K1162" s="56"/>
      <c r="L1162" s="56"/>
      <c r="M1162" s="56"/>
      <c r="N1162" s="56"/>
      <c r="O1162" s="389"/>
      <c r="P1162" s="55"/>
      <c r="Q1162" s="55"/>
      <c r="R1162" s="55"/>
      <c r="S1162" s="56"/>
      <c r="T1162" s="56"/>
      <c r="U1162" s="56"/>
      <c r="V1162" s="56"/>
      <c r="W1162" s="56"/>
      <c r="X1162" s="56"/>
      <c r="Y1162" s="56"/>
      <c r="Z1162" s="56"/>
      <c r="AA1162" s="56"/>
      <c r="AB1162" s="56"/>
      <c r="AC1162" s="55"/>
      <c r="AD1162" s="55"/>
      <c r="AE1162" s="56"/>
      <c r="AF1162" s="56"/>
      <c r="AG1162" s="56"/>
      <c r="AH1162" s="56"/>
      <c r="AI1162" s="56"/>
      <c r="AJ1162" s="56"/>
      <c r="AK1162" s="56"/>
      <c r="AL1162" s="56"/>
      <c r="AM1162" s="56"/>
      <c r="AN1162" s="56"/>
      <c r="AO1162" s="56"/>
      <c r="AP1162" s="56"/>
      <c r="AQ1162" s="56"/>
      <c r="AR1162" s="56"/>
      <c r="AS1162" s="56"/>
      <c r="AT1162" s="56"/>
      <c r="AU1162" s="56"/>
      <c r="AV1162" s="56"/>
      <c r="AW1162" s="56"/>
    </row>
    <row r="1163" spans="1:49" ht="15.75" customHeight="1" x14ac:dyDescent="0.15">
      <c r="A1163" s="56"/>
      <c r="B1163" s="56"/>
      <c r="C1163" s="56"/>
      <c r="D1163" s="56"/>
      <c r="E1163" s="56"/>
      <c r="F1163" s="56"/>
      <c r="G1163" s="56"/>
      <c r="H1163" s="56"/>
      <c r="I1163" s="56"/>
      <c r="J1163" s="56"/>
      <c r="K1163" s="56"/>
      <c r="L1163" s="56"/>
      <c r="M1163" s="56"/>
      <c r="N1163" s="56"/>
      <c r="O1163" s="389"/>
      <c r="P1163" s="55"/>
      <c r="Q1163" s="55"/>
      <c r="R1163" s="55"/>
      <c r="S1163" s="56"/>
      <c r="T1163" s="56"/>
      <c r="U1163" s="56"/>
      <c r="V1163" s="56"/>
      <c r="W1163" s="56"/>
      <c r="X1163" s="56"/>
      <c r="Y1163" s="56"/>
      <c r="Z1163" s="56"/>
      <c r="AA1163" s="56"/>
      <c r="AB1163" s="56"/>
      <c r="AC1163" s="55"/>
      <c r="AD1163" s="55"/>
      <c r="AE1163" s="56"/>
      <c r="AF1163" s="56"/>
      <c r="AG1163" s="56"/>
      <c r="AH1163" s="56"/>
      <c r="AI1163" s="56"/>
      <c r="AJ1163" s="56"/>
      <c r="AK1163" s="56"/>
      <c r="AL1163" s="56"/>
      <c r="AM1163" s="56"/>
      <c r="AN1163" s="56"/>
      <c r="AO1163" s="56"/>
      <c r="AP1163" s="56"/>
      <c r="AQ1163" s="56"/>
      <c r="AR1163" s="56"/>
      <c r="AS1163" s="56"/>
      <c r="AT1163" s="56"/>
      <c r="AU1163" s="56"/>
      <c r="AV1163" s="56"/>
      <c r="AW1163" s="56"/>
    </row>
    <row r="1164" spans="1:49" ht="15.75" customHeight="1" x14ac:dyDescent="0.15">
      <c r="A1164" s="56"/>
      <c r="B1164" s="56"/>
      <c r="C1164" s="56"/>
      <c r="D1164" s="56"/>
      <c r="E1164" s="56"/>
      <c r="F1164" s="56"/>
      <c r="G1164" s="56"/>
      <c r="H1164" s="56"/>
      <c r="I1164" s="56"/>
      <c r="J1164" s="56"/>
      <c r="K1164" s="56"/>
      <c r="L1164" s="56"/>
      <c r="M1164" s="56"/>
      <c r="N1164" s="56"/>
      <c r="O1164" s="389"/>
      <c r="P1164" s="55"/>
      <c r="Q1164" s="55"/>
      <c r="R1164" s="55"/>
      <c r="S1164" s="56"/>
      <c r="T1164" s="56"/>
      <c r="U1164" s="56"/>
      <c r="V1164" s="56"/>
      <c r="W1164" s="56"/>
      <c r="X1164" s="56"/>
      <c r="Y1164" s="56"/>
      <c r="Z1164" s="56"/>
      <c r="AA1164" s="56"/>
      <c r="AB1164" s="56"/>
      <c r="AC1164" s="55"/>
      <c r="AD1164" s="55"/>
      <c r="AE1164" s="56"/>
      <c r="AF1164" s="56"/>
      <c r="AG1164" s="56"/>
      <c r="AH1164" s="56"/>
      <c r="AI1164" s="56"/>
      <c r="AJ1164" s="56"/>
      <c r="AK1164" s="56"/>
      <c r="AL1164" s="56"/>
      <c r="AM1164" s="56"/>
      <c r="AN1164" s="56"/>
      <c r="AO1164" s="56"/>
      <c r="AP1164" s="56"/>
      <c r="AQ1164" s="56"/>
      <c r="AR1164" s="56"/>
      <c r="AS1164" s="56"/>
      <c r="AT1164" s="56"/>
      <c r="AU1164" s="56"/>
      <c r="AV1164" s="56"/>
      <c r="AW1164" s="56"/>
    </row>
    <row r="1165" spans="1:49" ht="15.75" customHeight="1" x14ac:dyDescent="0.15">
      <c r="A1165" s="56"/>
      <c r="B1165" s="56"/>
      <c r="C1165" s="56"/>
      <c r="D1165" s="56"/>
      <c r="E1165" s="56"/>
      <c r="F1165" s="56"/>
      <c r="G1165" s="56"/>
      <c r="H1165" s="56"/>
      <c r="I1165" s="56"/>
      <c r="J1165" s="56"/>
      <c r="K1165" s="56"/>
      <c r="L1165" s="56"/>
      <c r="M1165" s="56"/>
      <c r="N1165" s="56"/>
      <c r="O1165" s="389"/>
      <c r="P1165" s="55"/>
      <c r="Q1165" s="55"/>
      <c r="R1165" s="55"/>
      <c r="S1165" s="56"/>
      <c r="T1165" s="56"/>
      <c r="U1165" s="56"/>
      <c r="V1165" s="56"/>
      <c r="W1165" s="56"/>
      <c r="X1165" s="56"/>
      <c r="Y1165" s="56"/>
      <c r="Z1165" s="56"/>
      <c r="AA1165" s="56"/>
      <c r="AB1165" s="56"/>
      <c r="AC1165" s="55"/>
      <c r="AD1165" s="55"/>
      <c r="AE1165" s="56"/>
      <c r="AF1165" s="56"/>
      <c r="AG1165" s="56"/>
      <c r="AH1165" s="56"/>
      <c r="AI1165" s="56"/>
      <c r="AJ1165" s="56"/>
      <c r="AK1165" s="56"/>
      <c r="AL1165" s="56"/>
      <c r="AM1165" s="56"/>
      <c r="AN1165" s="56"/>
      <c r="AO1165" s="56"/>
      <c r="AP1165" s="56"/>
      <c r="AQ1165" s="56"/>
      <c r="AR1165" s="56"/>
      <c r="AS1165" s="56"/>
      <c r="AT1165" s="56"/>
      <c r="AU1165" s="56"/>
      <c r="AV1165" s="56"/>
      <c r="AW1165" s="56"/>
    </row>
    <row r="1166" spans="1:49" ht="15.75" customHeight="1" x14ac:dyDescent="0.15">
      <c r="A1166" s="56"/>
      <c r="B1166" s="56"/>
      <c r="C1166" s="56"/>
      <c r="D1166" s="56"/>
      <c r="E1166" s="56"/>
      <c r="F1166" s="56"/>
      <c r="G1166" s="56"/>
      <c r="H1166" s="56"/>
      <c r="I1166" s="56"/>
      <c r="J1166" s="56"/>
      <c r="K1166" s="56"/>
      <c r="L1166" s="56"/>
      <c r="M1166" s="56"/>
      <c r="N1166" s="56"/>
      <c r="O1166" s="389"/>
      <c r="P1166" s="55"/>
      <c r="Q1166" s="55"/>
      <c r="R1166" s="55"/>
      <c r="S1166" s="56"/>
      <c r="T1166" s="56"/>
      <c r="U1166" s="56"/>
      <c r="V1166" s="56"/>
      <c r="W1166" s="56"/>
      <c r="X1166" s="56"/>
      <c r="Y1166" s="56"/>
      <c r="Z1166" s="56"/>
      <c r="AA1166" s="56"/>
      <c r="AB1166" s="56"/>
      <c r="AC1166" s="55"/>
      <c r="AD1166" s="55"/>
      <c r="AE1166" s="56"/>
      <c r="AF1166" s="56"/>
      <c r="AG1166" s="56"/>
      <c r="AH1166" s="56"/>
      <c r="AI1166" s="56"/>
      <c r="AJ1166" s="56"/>
      <c r="AK1166" s="56"/>
      <c r="AL1166" s="56"/>
      <c r="AM1166" s="56"/>
      <c r="AN1166" s="56"/>
      <c r="AO1166" s="56"/>
      <c r="AP1166" s="56"/>
      <c r="AQ1166" s="56"/>
      <c r="AR1166" s="56"/>
      <c r="AS1166" s="56"/>
      <c r="AT1166" s="56"/>
      <c r="AU1166" s="56"/>
      <c r="AV1166" s="56"/>
      <c r="AW1166" s="56"/>
    </row>
    <row r="1167" spans="1:49" ht="15.75" customHeight="1" x14ac:dyDescent="0.15">
      <c r="A1167" s="56"/>
      <c r="B1167" s="56"/>
      <c r="C1167" s="56"/>
      <c r="D1167" s="56"/>
      <c r="E1167" s="56"/>
      <c r="F1167" s="56"/>
      <c r="G1167" s="56"/>
      <c r="H1167" s="56"/>
      <c r="I1167" s="56"/>
      <c r="J1167" s="56"/>
      <c r="K1167" s="56"/>
      <c r="L1167" s="56"/>
      <c r="M1167" s="56"/>
      <c r="N1167" s="56"/>
      <c r="O1167" s="389"/>
      <c r="P1167" s="55"/>
      <c r="Q1167" s="55"/>
      <c r="R1167" s="55"/>
      <c r="S1167" s="56"/>
      <c r="T1167" s="56"/>
      <c r="U1167" s="56"/>
      <c r="V1167" s="56"/>
      <c r="W1167" s="56"/>
      <c r="X1167" s="56"/>
      <c r="Y1167" s="56"/>
      <c r="Z1167" s="56"/>
      <c r="AA1167" s="56"/>
      <c r="AB1167" s="56"/>
      <c r="AC1167" s="55"/>
      <c r="AD1167" s="55"/>
      <c r="AE1167" s="56"/>
      <c r="AF1167" s="56"/>
      <c r="AG1167" s="56"/>
      <c r="AH1167" s="56"/>
      <c r="AI1167" s="56"/>
      <c r="AJ1167" s="56"/>
      <c r="AK1167" s="56"/>
      <c r="AL1167" s="56"/>
      <c r="AM1167" s="56"/>
      <c r="AN1167" s="56"/>
      <c r="AO1167" s="56"/>
      <c r="AP1167" s="56"/>
      <c r="AQ1167" s="56"/>
      <c r="AR1167" s="56"/>
      <c r="AS1167" s="56"/>
      <c r="AT1167" s="56"/>
      <c r="AU1167" s="56"/>
      <c r="AV1167" s="56"/>
      <c r="AW1167" s="56"/>
    </row>
    <row r="1168" spans="1:49" ht="15.75" customHeight="1" x14ac:dyDescent="0.15">
      <c r="A1168" s="56"/>
      <c r="B1168" s="56"/>
      <c r="C1168" s="56"/>
      <c r="D1168" s="56"/>
      <c r="E1168" s="56"/>
      <c r="F1168" s="56"/>
      <c r="G1168" s="56"/>
      <c r="H1168" s="56"/>
      <c r="I1168" s="56"/>
      <c r="J1168" s="56"/>
      <c r="K1168" s="56"/>
      <c r="L1168" s="56"/>
      <c r="M1168" s="56"/>
      <c r="N1168" s="56"/>
      <c r="O1168" s="389"/>
      <c r="P1168" s="55"/>
      <c r="Q1168" s="55"/>
      <c r="R1168" s="55"/>
      <c r="S1168" s="56"/>
      <c r="T1168" s="56"/>
      <c r="U1168" s="56"/>
      <c r="V1168" s="56"/>
      <c r="W1168" s="56"/>
      <c r="X1168" s="56"/>
      <c r="Y1168" s="56"/>
      <c r="Z1168" s="56"/>
      <c r="AA1168" s="56"/>
      <c r="AB1168" s="56"/>
      <c r="AC1168" s="55"/>
      <c r="AD1168" s="55"/>
      <c r="AE1168" s="56"/>
      <c r="AF1168" s="56"/>
      <c r="AG1168" s="56"/>
      <c r="AH1168" s="56"/>
      <c r="AI1168" s="56"/>
      <c r="AJ1168" s="56"/>
      <c r="AK1168" s="56"/>
      <c r="AL1168" s="56"/>
      <c r="AM1168" s="56"/>
      <c r="AN1168" s="56"/>
      <c r="AO1168" s="56"/>
      <c r="AP1168" s="56"/>
      <c r="AQ1168" s="56"/>
      <c r="AR1168" s="56"/>
      <c r="AS1168" s="56"/>
      <c r="AT1168" s="56"/>
      <c r="AU1168" s="56"/>
      <c r="AV1168" s="56"/>
      <c r="AW1168" s="56"/>
    </row>
    <row r="1169" spans="1:49" ht="15.75" customHeight="1" x14ac:dyDescent="0.15">
      <c r="A1169" s="56"/>
      <c r="B1169" s="56"/>
      <c r="C1169" s="56"/>
      <c r="D1169" s="56"/>
      <c r="E1169" s="56"/>
      <c r="F1169" s="56"/>
      <c r="G1169" s="56"/>
      <c r="H1169" s="56"/>
      <c r="I1169" s="56"/>
      <c r="J1169" s="56"/>
      <c r="K1169" s="56"/>
      <c r="L1169" s="56"/>
      <c r="M1169" s="56"/>
      <c r="N1169" s="56"/>
      <c r="O1169" s="389"/>
      <c r="P1169" s="55"/>
      <c r="Q1169" s="55"/>
      <c r="R1169" s="55"/>
      <c r="S1169" s="56"/>
      <c r="T1169" s="56"/>
      <c r="U1169" s="56"/>
      <c r="V1169" s="56"/>
      <c r="W1169" s="56"/>
      <c r="X1169" s="56"/>
      <c r="Y1169" s="56"/>
      <c r="Z1169" s="56"/>
      <c r="AA1169" s="56"/>
      <c r="AB1169" s="56"/>
      <c r="AC1169" s="55"/>
      <c r="AD1169" s="55"/>
      <c r="AE1169" s="56"/>
      <c r="AF1169" s="56"/>
      <c r="AG1169" s="56"/>
      <c r="AH1169" s="56"/>
      <c r="AI1169" s="56"/>
      <c r="AJ1169" s="56"/>
      <c r="AK1169" s="56"/>
      <c r="AL1169" s="56"/>
      <c r="AM1169" s="56"/>
      <c r="AN1169" s="56"/>
      <c r="AO1169" s="56"/>
      <c r="AP1169" s="56"/>
      <c r="AQ1169" s="56"/>
      <c r="AR1169" s="56"/>
      <c r="AS1169" s="56"/>
      <c r="AT1169" s="56"/>
      <c r="AU1169" s="56"/>
      <c r="AV1169" s="56"/>
      <c r="AW1169" s="56"/>
    </row>
    <row r="1170" spans="1:49" ht="15.75" customHeight="1" x14ac:dyDescent="0.15">
      <c r="A1170" s="56"/>
      <c r="B1170" s="56"/>
      <c r="C1170" s="56"/>
      <c r="D1170" s="56"/>
      <c r="E1170" s="56"/>
      <c r="F1170" s="56"/>
      <c r="G1170" s="56"/>
      <c r="H1170" s="56"/>
      <c r="I1170" s="56"/>
      <c r="J1170" s="56"/>
      <c r="K1170" s="56"/>
      <c r="L1170" s="56"/>
      <c r="M1170" s="56"/>
      <c r="N1170" s="56"/>
      <c r="O1170" s="389"/>
      <c r="P1170" s="55"/>
      <c r="Q1170" s="55"/>
      <c r="R1170" s="55"/>
      <c r="S1170" s="56"/>
      <c r="T1170" s="56"/>
      <c r="U1170" s="56"/>
      <c r="V1170" s="56"/>
      <c r="W1170" s="56"/>
      <c r="X1170" s="56"/>
      <c r="Y1170" s="56"/>
      <c r="Z1170" s="56"/>
      <c r="AA1170" s="56"/>
      <c r="AB1170" s="56"/>
      <c r="AC1170" s="55"/>
      <c r="AD1170" s="55"/>
      <c r="AE1170" s="56"/>
      <c r="AF1170" s="56"/>
      <c r="AG1170" s="56"/>
      <c r="AH1170" s="56"/>
      <c r="AI1170" s="56"/>
      <c r="AJ1170" s="56"/>
      <c r="AK1170" s="56"/>
      <c r="AL1170" s="56"/>
      <c r="AM1170" s="56"/>
      <c r="AN1170" s="56"/>
      <c r="AO1170" s="56"/>
      <c r="AP1170" s="56"/>
      <c r="AQ1170" s="56"/>
      <c r="AR1170" s="56"/>
      <c r="AS1170" s="56"/>
      <c r="AT1170" s="56"/>
      <c r="AU1170" s="56"/>
      <c r="AV1170" s="56"/>
      <c r="AW1170" s="56"/>
    </row>
    <row r="1171" spans="1:49" ht="15.75" customHeight="1" x14ac:dyDescent="0.15">
      <c r="A1171" s="56"/>
      <c r="B1171" s="56"/>
      <c r="C1171" s="56"/>
      <c r="D1171" s="56"/>
      <c r="E1171" s="56"/>
      <c r="F1171" s="56"/>
      <c r="G1171" s="56"/>
      <c r="H1171" s="56"/>
      <c r="I1171" s="56"/>
      <c r="J1171" s="56"/>
      <c r="K1171" s="56"/>
      <c r="L1171" s="56"/>
      <c r="M1171" s="56"/>
      <c r="N1171" s="56"/>
      <c r="O1171" s="389"/>
      <c r="P1171" s="55"/>
      <c r="Q1171" s="55"/>
      <c r="R1171" s="55"/>
      <c r="S1171" s="56"/>
      <c r="T1171" s="56"/>
      <c r="U1171" s="56"/>
      <c r="V1171" s="56"/>
      <c r="W1171" s="56"/>
      <c r="X1171" s="56"/>
      <c r="Y1171" s="56"/>
      <c r="Z1171" s="56"/>
      <c r="AA1171" s="56"/>
      <c r="AB1171" s="56"/>
      <c r="AC1171" s="55"/>
      <c r="AD1171" s="55"/>
      <c r="AE1171" s="56"/>
      <c r="AF1171" s="56"/>
      <c r="AG1171" s="56"/>
      <c r="AH1171" s="56"/>
      <c r="AI1171" s="56"/>
      <c r="AJ1171" s="56"/>
      <c r="AK1171" s="56"/>
      <c r="AL1171" s="56"/>
      <c r="AM1171" s="56"/>
      <c r="AN1171" s="56"/>
      <c r="AO1171" s="56"/>
      <c r="AP1171" s="56"/>
      <c r="AQ1171" s="56"/>
      <c r="AR1171" s="56"/>
      <c r="AS1171" s="56"/>
      <c r="AT1171" s="56"/>
      <c r="AU1171" s="56"/>
      <c r="AV1171" s="56"/>
      <c r="AW1171" s="56"/>
    </row>
    <row r="1172" spans="1:49" ht="15.75" customHeight="1" x14ac:dyDescent="0.15">
      <c r="A1172" s="56"/>
      <c r="B1172" s="56"/>
      <c r="C1172" s="56"/>
      <c r="D1172" s="56"/>
      <c r="E1172" s="56"/>
      <c r="F1172" s="56"/>
      <c r="G1172" s="56"/>
      <c r="H1172" s="56"/>
      <c r="I1172" s="56"/>
      <c r="J1172" s="56"/>
      <c r="K1172" s="56"/>
      <c r="L1172" s="56"/>
      <c r="M1172" s="56"/>
      <c r="N1172" s="56"/>
      <c r="O1172" s="389"/>
      <c r="P1172" s="55"/>
      <c r="Q1172" s="55"/>
      <c r="R1172" s="55"/>
      <c r="S1172" s="56"/>
      <c r="T1172" s="56"/>
      <c r="U1172" s="56"/>
      <c r="V1172" s="56"/>
      <c r="W1172" s="56"/>
      <c r="X1172" s="56"/>
      <c r="Y1172" s="56"/>
      <c r="Z1172" s="56"/>
      <c r="AA1172" s="56"/>
      <c r="AB1172" s="56"/>
      <c r="AC1172" s="55"/>
      <c r="AD1172" s="55"/>
      <c r="AE1172" s="56"/>
      <c r="AF1172" s="56"/>
      <c r="AG1172" s="56"/>
      <c r="AH1172" s="56"/>
      <c r="AI1172" s="56"/>
      <c r="AJ1172" s="56"/>
      <c r="AK1172" s="56"/>
      <c r="AL1172" s="56"/>
      <c r="AM1172" s="56"/>
      <c r="AN1172" s="56"/>
      <c r="AO1172" s="56"/>
      <c r="AP1172" s="56"/>
      <c r="AQ1172" s="56"/>
      <c r="AR1172" s="56"/>
      <c r="AS1172" s="56"/>
      <c r="AT1172" s="56"/>
      <c r="AU1172" s="56"/>
      <c r="AV1172" s="56"/>
      <c r="AW1172" s="56"/>
    </row>
    <row r="1173" spans="1:49" ht="15.75" customHeight="1" x14ac:dyDescent="0.15">
      <c r="A1173" s="56"/>
      <c r="B1173" s="56"/>
      <c r="C1173" s="56"/>
      <c r="D1173" s="56"/>
      <c r="E1173" s="56"/>
      <c r="F1173" s="56"/>
      <c r="G1173" s="56"/>
      <c r="H1173" s="56"/>
      <c r="I1173" s="56"/>
      <c r="J1173" s="56"/>
      <c r="K1173" s="56"/>
      <c r="L1173" s="402"/>
      <c r="M1173" s="402"/>
      <c r="N1173" s="56"/>
      <c r="O1173" s="389"/>
      <c r="P1173" s="55"/>
      <c r="Q1173" s="55"/>
      <c r="R1173" s="55"/>
      <c r="S1173" s="56"/>
      <c r="T1173" s="56"/>
      <c r="U1173" s="56"/>
      <c r="V1173" s="56"/>
      <c r="W1173" s="56"/>
      <c r="X1173" s="56"/>
      <c r="Y1173" s="56"/>
      <c r="Z1173" s="56"/>
      <c r="AA1173" s="56"/>
      <c r="AB1173" s="56"/>
      <c r="AC1173" s="55"/>
      <c r="AD1173" s="55"/>
      <c r="AE1173" s="56"/>
      <c r="AF1173" s="56"/>
      <c r="AG1173" s="56"/>
      <c r="AH1173" s="56"/>
      <c r="AI1173" s="56"/>
      <c r="AJ1173" s="56"/>
      <c r="AK1173" s="56"/>
      <c r="AL1173" s="56"/>
      <c r="AM1173" s="56"/>
      <c r="AN1173" s="56"/>
      <c r="AO1173" s="56"/>
      <c r="AP1173" s="56"/>
      <c r="AQ1173" s="56"/>
      <c r="AR1173" s="56"/>
      <c r="AS1173" s="56"/>
      <c r="AT1173" s="56"/>
      <c r="AU1173" s="56"/>
      <c r="AV1173" s="56"/>
      <c r="AW1173" s="56"/>
    </row>
    <row r="1174" spans="1:49" ht="15" x14ac:dyDescent="0.15">
      <c r="A1174" s="56"/>
      <c r="B1174" s="56"/>
      <c r="C1174" s="56"/>
      <c r="D1174" s="56"/>
      <c r="E1174" s="56"/>
      <c r="F1174" s="56"/>
      <c r="G1174" s="56"/>
      <c r="H1174" s="56"/>
      <c r="I1174" s="56"/>
      <c r="J1174" s="56"/>
      <c r="K1174" s="56"/>
      <c r="L1174" s="402"/>
      <c r="M1174" s="402"/>
      <c r="N1174" s="56"/>
      <c r="O1174" s="389"/>
      <c r="P1174" s="55"/>
      <c r="Q1174" s="55"/>
      <c r="R1174" s="55"/>
      <c r="S1174" s="56"/>
      <c r="T1174" s="56"/>
      <c r="U1174" s="56"/>
      <c r="V1174" s="56"/>
      <c r="W1174" s="56"/>
      <c r="X1174" s="56"/>
      <c r="Y1174" s="56"/>
      <c r="Z1174" s="56"/>
      <c r="AA1174" s="56"/>
      <c r="AB1174" s="56"/>
      <c r="AC1174" s="55"/>
      <c r="AD1174" s="55"/>
      <c r="AE1174" s="56"/>
      <c r="AF1174" s="56"/>
      <c r="AG1174" s="56"/>
      <c r="AH1174" s="56"/>
      <c r="AI1174" s="56"/>
      <c r="AJ1174" s="56"/>
      <c r="AK1174" s="56"/>
      <c r="AL1174" s="56"/>
      <c r="AM1174" s="56"/>
      <c r="AN1174" s="56"/>
      <c r="AO1174" s="56"/>
      <c r="AP1174" s="56"/>
      <c r="AQ1174" s="56"/>
      <c r="AR1174" s="56"/>
      <c r="AS1174" s="56"/>
      <c r="AT1174" s="56"/>
      <c r="AU1174" s="56"/>
      <c r="AV1174" s="56"/>
      <c r="AW1174" s="56"/>
    </row>
    <row r="1175" spans="1:49" ht="15" x14ac:dyDescent="0.15">
      <c r="A1175" s="56"/>
      <c r="B1175" s="56"/>
      <c r="C1175" s="56"/>
      <c r="D1175" s="56"/>
      <c r="E1175" s="56"/>
      <c r="F1175" s="56"/>
      <c r="G1175" s="56"/>
      <c r="H1175" s="56"/>
      <c r="I1175" s="56"/>
      <c r="J1175" s="56"/>
      <c r="K1175" s="56"/>
      <c r="L1175" s="402"/>
      <c r="M1175" s="402"/>
      <c r="N1175" s="56"/>
      <c r="O1175" s="389"/>
      <c r="P1175" s="55"/>
      <c r="Q1175" s="55"/>
      <c r="R1175" s="55"/>
      <c r="S1175" s="56"/>
      <c r="T1175" s="56"/>
      <c r="U1175" s="56"/>
      <c r="V1175" s="56"/>
      <c r="W1175" s="56"/>
      <c r="X1175" s="56"/>
      <c r="Y1175" s="56"/>
      <c r="Z1175" s="56"/>
      <c r="AA1175" s="56"/>
      <c r="AB1175" s="56"/>
      <c r="AC1175" s="55"/>
      <c r="AD1175" s="55"/>
      <c r="AE1175" s="56"/>
      <c r="AF1175" s="56"/>
      <c r="AG1175" s="56"/>
      <c r="AH1175" s="56"/>
      <c r="AI1175" s="56"/>
      <c r="AJ1175" s="56"/>
      <c r="AK1175" s="56"/>
      <c r="AL1175" s="56"/>
      <c r="AM1175" s="56"/>
      <c r="AN1175" s="56"/>
      <c r="AO1175" s="56"/>
      <c r="AP1175" s="56"/>
      <c r="AQ1175" s="56"/>
      <c r="AR1175" s="56"/>
      <c r="AS1175" s="56"/>
      <c r="AT1175" s="56"/>
      <c r="AU1175" s="56"/>
      <c r="AV1175" s="56"/>
      <c r="AW1175" s="56"/>
    </row>
    <row r="1176" spans="1:49" ht="15" x14ac:dyDescent="0.15">
      <c r="A1176" s="56"/>
      <c r="B1176" s="56"/>
      <c r="C1176" s="56"/>
      <c r="D1176" s="56"/>
      <c r="E1176" s="56"/>
      <c r="F1176" s="56"/>
      <c r="G1176" s="56"/>
      <c r="H1176" s="56"/>
      <c r="I1176" s="56"/>
      <c r="J1176" s="56"/>
      <c r="K1176" s="56"/>
      <c r="L1176" s="402"/>
      <c r="M1176" s="402"/>
      <c r="N1176" s="56"/>
      <c r="O1176" s="389"/>
      <c r="P1176" s="55"/>
      <c r="Q1176" s="55"/>
      <c r="R1176" s="55"/>
      <c r="S1176" s="56"/>
      <c r="T1176" s="56"/>
      <c r="U1176" s="56"/>
      <c r="V1176" s="56"/>
      <c r="W1176" s="56"/>
      <c r="X1176" s="56"/>
      <c r="Y1176" s="56"/>
      <c r="Z1176" s="56"/>
      <c r="AA1176" s="56"/>
      <c r="AB1176" s="56"/>
      <c r="AC1176" s="55"/>
      <c r="AD1176" s="55"/>
      <c r="AE1176" s="56"/>
      <c r="AF1176" s="56"/>
      <c r="AG1176" s="56"/>
      <c r="AH1176" s="56"/>
      <c r="AI1176" s="56"/>
      <c r="AJ1176" s="56"/>
      <c r="AK1176" s="56"/>
      <c r="AL1176" s="56"/>
      <c r="AM1176" s="56"/>
      <c r="AN1176" s="56"/>
      <c r="AO1176" s="56"/>
      <c r="AP1176" s="56"/>
      <c r="AQ1176" s="56"/>
      <c r="AR1176" s="56"/>
      <c r="AS1176" s="56"/>
      <c r="AT1176" s="56"/>
      <c r="AU1176" s="56"/>
      <c r="AV1176" s="56"/>
      <c r="AW1176" s="56"/>
    </row>
    <row r="1177" spans="1:49" ht="15" x14ac:dyDescent="0.15">
      <c r="A1177" s="56"/>
      <c r="B1177" s="56"/>
      <c r="C1177" s="56"/>
      <c r="D1177" s="56"/>
      <c r="E1177" s="56"/>
      <c r="F1177" s="56"/>
      <c r="G1177" s="56"/>
      <c r="H1177" s="56"/>
      <c r="I1177" s="56"/>
      <c r="J1177" s="56"/>
      <c r="K1177" s="56"/>
      <c r="L1177" s="402"/>
      <c r="M1177" s="402"/>
      <c r="N1177" s="56"/>
      <c r="O1177" s="389"/>
      <c r="P1177" s="55"/>
      <c r="Q1177" s="55"/>
      <c r="R1177" s="55"/>
      <c r="S1177" s="56"/>
      <c r="T1177" s="56"/>
      <c r="U1177" s="56"/>
      <c r="V1177" s="56"/>
      <c r="W1177" s="56"/>
      <c r="X1177" s="56"/>
      <c r="Y1177" s="56"/>
      <c r="Z1177" s="56"/>
      <c r="AA1177" s="56"/>
      <c r="AB1177" s="56"/>
      <c r="AC1177" s="55"/>
      <c r="AD1177" s="55"/>
      <c r="AE1177" s="56"/>
      <c r="AF1177" s="56"/>
      <c r="AG1177" s="56"/>
      <c r="AH1177" s="56"/>
      <c r="AI1177" s="56"/>
      <c r="AJ1177" s="56"/>
      <c r="AK1177" s="56"/>
      <c r="AL1177" s="56"/>
      <c r="AM1177" s="56"/>
      <c r="AN1177" s="56"/>
      <c r="AO1177" s="56"/>
      <c r="AP1177" s="56"/>
      <c r="AQ1177" s="56"/>
      <c r="AR1177" s="56"/>
      <c r="AS1177" s="56"/>
      <c r="AT1177" s="56"/>
      <c r="AU1177" s="56"/>
      <c r="AV1177" s="56"/>
      <c r="AW1177" s="56"/>
    </row>
    <row r="1178" spans="1:49" ht="15" x14ac:dyDescent="0.15">
      <c r="A1178" s="56"/>
      <c r="B1178" s="56"/>
      <c r="C1178" s="56"/>
      <c r="D1178" s="56"/>
      <c r="E1178" s="56"/>
      <c r="F1178" s="56"/>
      <c r="G1178" s="56"/>
      <c r="H1178" s="56"/>
      <c r="I1178" s="56"/>
      <c r="J1178" s="56"/>
      <c r="K1178" s="56"/>
      <c r="L1178" s="402"/>
      <c r="M1178" s="402"/>
      <c r="N1178" s="56"/>
      <c r="O1178" s="389"/>
      <c r="P1178" s="55"/>
      <c r="Q1178" s="55"/>
      <c r="R1178" s="55"/>
      <c r="S1178" s="56"/>
      <c r="T1178" s="56"/>
      <c r="U1178" s="56"/>
      <c r="V1178" s="56"/>
      <c r="W1178" s="56"/>
      <c r="X1178" s="56"/>
      <c r="Y1178" s="56"/>
      <c r="Z1178" s="56"/>
      <c r="AA1178" s="56"/>
      <c r="AB1178" s="56"/>
      <c r="AC1178" s="55"/>
      <c r="AD1178" s="55"/>
      <c r="AE1178" s="56"/>
      <c r="AF1178" s="56"/>
      <c r="AG1178" s="56"/>
      <c r="AH1178" s="56"/>
      <c r="AI1178" s="56"/>
      <c r="AJ1178" s="56"/>
      <c r="AK1178" s="56"/>
      <c r="AL1178" s="56"/>
      <c r="AM1178" s="56"/>
      <c r="AN1178" s="56"/>
      <c r="AO1178" s="56"/>
      <c r="AP1178" s="56"/>
      <c r="AQ1178" s="56"/>
      <c r="AR1178" s="56"/>
      <c r="AS1178" s="56"/>
      <c r="AT1178" s="56"/>
      <c r="AU1178" s="56"/>
      <c r="AV1178" s="56"/>
      <c r="AW1178" s="56"/>
    </row>
    <row r="1179" spans="1:49" ht="15" x14ac:dyDescent="0.15">
      <c r="A1179" s="56"/>
      <c r="B1179" s="56"/>
      <c r="C1179" s="56"/>
      <c r="D1179" s="56"/>
      <c r="E1179" s="56"/>
      <c r="F1179" s="56"/>
      <c r="G1179" s="56"/>
      <c r="H1179" s="56"/>
      <c r="I1179" s="56"/>
      <c r="J1179" s="56"/>
      <c r="K1179" s="56"/>
      <c r="L1179" s="402"/>
      <c r="M1179" s="402"/>
      <c r="N1179" s="56"/>
      <c r="O1179" s="389"/>
      <c r="P1179" s="55"/>
      <c r="Q1179" s="55"/>
      <c r="R1179" s="55"/>
      <c r="S1179" s="56"/>
      <c r="T1179" s="56"/>
      <c r="U1179" s="56"/>
      <c r="V1179" s="56"/>
      <c r="W1179" s="56"/>
      <c r="X1179" s="56"/>
      <c r="Y1179" s="56"/>
      <c r="Z1179" s="56"/>
      <c r="AA1179" s="56"/>
      <c r="AB1179" s="56"/>
      <c r="AC1179" s="55"/>
      <c r="AD1179" s="55"/>
      <c r="AE1179" s="56"/>
      <c r="AF1179" s="56"/>
      <c r="AG1179" s="56"/>
      <c r="AH1179" s="56"/>
      <c r="AI1179" s="56"/>
      <c r="AJ1179" s="56"/>
      <c r="AK1179" s="56"/>
      <c r="AL1179" s="56"/>
      <c r="AM1179" s="56"/>
      <c r="AN1179" s="56"/>
      <c r="AO1179" s="56"/>
      <c r="AP1179" s="56"/>
      <c r="AQ1179" s="56"/>
      <c r="AR1179" s="56"/>
      <c r="AS1179" s="56"/>
      <c r="AT1179" s="56"/>
      <c r="AU1179" s="56"/>
      <c r="AV1179" s="56"/>
      <c r="AW1179" s="56"/>
    </row>
    <row r="1180" spans="1:49" ht="15" x14ac:dyDescent="0.15">
      <c r="A1180" s="56"/>
      <c r="B1180" s="56"/>
      <c r="C1180" s="56"/>
      <c r="D1180" s="56"/>
      <c r="E1180" s="56"/>
      <c r="F1180" s="56"/>
      <c r="G1180" s="56"/>
      <c r="H1180" s="56"/>
      <c r="I1180" s="56"/>
      <c r="J1180" s="56"/>
      <c r="K1180" s="56"/>
      <c r="L1180" s="402"/>
      <c r="M1180" s="402"/>
      <c r="N1180" s="56"/>
      <c r="O1180" s="389"/>
      <c r="P1180" s="55"/>
      <c r="Q1180" s="55"/>
      <c r="R1180" s="55"/>
      <c r="S1180" s="56"/>
      <c r="T1180" s="56"/>
      <c r="U1180" s="56"/>
      <c r="V1180" s="56"/>
      <c r="W1180" s="56"/>
      <c r="X1180" s="56"/>
      <c r="Y1180" s="56"/>
      <c r="Z1180" s="56"/>
      <c r="AA1180" s="56"/>
      <c r="AB1180" s="56"/>
      <c r="AC1180" s="55"/>
      <c r="AD1180" s="55"/>
      <c r="AE1180" s="56"/>
      <c r="AF1180" s="56"/>
      <c r="AG1180" s="56"/>
      <c r="AH1180" s="56"/>
      <c r="AI1180" s="56"/>
      <c r="AJ1180" s="56"/>
      <c r="AK1180" s="56"/>
      <c r="AL1180" s="56"/>
      <c r="AM1180" s="56"/>
      <c r="AN1180" s="56"/>
      <c r="AO1180" s="56"/>
      <c r="AP1180" s="56"/>
      <c r="AQ1180" s="56"/>
      <c r="AR1180" s="56"/>
      <c r="AS1180" s="56"/>
      <c r="AT1180" s="56"/>
      <c r="AU1180" s="56"/>
      <c r="AV1180" s="56"/>
      <c r="AW1180" s="56"/>
    </row>
    <row r="1181" spans="1:49" ht="15" x14ac:dyDescent="0.15">
      <c r="A1181" s="56"/>
      <c r="B1181" s="56"/>
      <c r="C1181" s="56"/>
      <c r="D1181" s="56"/>
      <c r="E1181" s="56"/>
      <c r="F1181" s="56"/>
      <c r="G1181" s="56"/>
      <c r="H1181" s="56"/>
      <c r="I1181" s="56"/>
      <c r="J1181" s="56"/>
      <c r="K1181" s="56"/>
      <c r="L1181" s="402"/>
      <c r="M1181" s="402"/>
      <c r="N1181" s="56"/>
      <c r="O1181" s="389"/>
      <c r="P1181" s="55"/>
      <c r="Q1181" s="55"/>
      <c r="R1181" s="55"/>
      <c r="S1181" s="56"/>
      <c r="T1181" s="56"/>
      <c r="U1181" s="56"/>
      <c r="V1181" s="56"/>
      <c r="W1181" s="56"/>
      <c r="X1181" s="56"/>
      <c r="Y1181" s="56"/>
      <c r="Z1181" s="56"/>
      <c r="AA1181" s="56"/>
      <c r="AB1181" s="56"/>
      <c r="AC1181" s="55"/>
      <c r="AD1181" s="55"/>
      <c r="AE1181" s="56"/>
      <c r="AF1181" s="56"/>
      <c r="AG1181" s="56"/>
      <c r="AH1181" s="56"/>
      <c r="AI1181" s="56"/>
      <c r="AJ1181" s="56"/>
      <c r="AK1181" s="56"/>
      <c r="AL1181" s="56"/>
      <c r="AM1181" s="56"/>
      <c r="AN1181" s="56"/>
      <c r="AO1181" s="56"/>
      <c r="AP1181" s="56"/>
      <c r="AQ1181" s="56"/>
      <c r="AR1181" s="56"/>
      <c r="AS1181" s="56"/>
      <c r="AT1181" s="56"/>
      <c r="AU1181" s="56"/>
      <c r="AV1181" s="56"/>
      <c r="AW1181" s="56"/>
    </row>
    <row r="1182" spans="1:49" ht="15" x14ac:dyDescent="0.15">
      <c r="A1182" s="56"/>
      <c r="B1182" s="402"/>
      <c r="C1182" s="56"/>
      <c r="D1182" s="56"/>
      <c r="E1182" s="56"/>
      <c r="F1182" s="56"/>
      <c r="G1182" s="56"/>
      <c r="H1182" s="56"/>
      <c r="I1182" s="56"/>
      <c r="J1182" s="56"/>
      <c r="K1182" s="56"/>
      <c r="L1182" s="402"/>
      <c r="M1182" s="402"/>
      <c r="N1182" s="402"/>
      <c r="O1182" s="389"/>
      <c r="P1182" s="55"/>
      <c r="Q1182" s="55"/>
      <c r="R1182" s="55"/>
      <c r="S1182" s="56"/>
      <c r="T1182" s="56"/>
      <c r="U1182" s="56"/>
      <c r="V1182" s="56"/>
      <c r="W1182" s="56"/>
      <c r="X1182" s="56"/>
      <c r="Y1182" s="56"/>
      <c r="Z1182" s="56"/>
      <c r="AA1182" s="56"/>
      <c r="AB1182" s="56"/>
      <c r="AC1182" s="55"/>
      <c r="AD1182" s="55"/>
      <c r="AE1182" s="56"/>
      <c r="AF1182" s="56"/>
      <c r="AG1182" s="56"/>
      <c r="AH1182" s="56"/>
      <c r="AI1182" s="56"/>
      <c r="AJ1182" s="56"/>
      <c r="AK1182" s="56"/>
      <c r="AL1182" s="56"/>
      <c r="AM1182" s="56"/>
      <c r="AN1182" s="56"/>
      <c r="AO1182" s="56"/>
      <c r="AP1182" s="56"/>
      <c r="AQ1182" s="56"/>
      <c r="AR1182" s="56"/>
      <c r="AS1182" s="56"/>
      <c r="AT1182" s="56"/>
      <c r="AU1182" s="56"/>
      <c r="AV1182" s="56"/>
      <c r="AW1182" s="56"/>
    </row>
    <row r="1183" spans="1:49" ht="15" x14ac:dyDescent="0.15">
      <c r="A1183" s="56"/>
      <c r="B1183" s="402"/>
      <c r="C1183" s="56"/>
      <c r="D1183" s="56"/>
      <c r="E1183" s="56"/>
      <c r="F1183" s="56"/>
      <c r="G1183" s="56"/>
      <c r="H1183" s="56"/>
      <c r="I1183" s="56"/>
      <c r="J1183" s="56"/>
      <c r="K1183" s="56"/>
      <c r="L1183" s="402"/>
      <c r="M1183" s="402"/>
      <c r="N1183" s="402"/>
      <c r="O1183" s="389"/>
      <c r="P1183" s="55"/>
      <c r="Q1183" s="55"/>
      <c r="R1183" s="55"/>
      <c r="S1183" s="56"/>
      <c r="T1183" s="56"/>
      <c r="U1183" s="56"/>
      <c r="V1183" s="56"/>
      <c r="W1183" s="56"/>
      <c r="X1183" s="56"/>
      <c r="Y1183" s="56"/>
      <c r="Z1183" s="56"/>
      <c r="AA1183" s="56"/>
      <c r="AB1183" s="56"/>
      <c r="AC1183" s="55"/>
      <c r="AD1183" s="55"/>
      <c r="AE1183" s="56"/>
      <c r="AF1183" s="56"/>
      <c r="AG1183" s="56"/>
      <c r="AH1183" s="56"/>
      <c r="AI1183" s="56"/>
      <c r="AJ1183" s="56"/>
      <c r="AK1183" s="56"/>
      <c r="AL1183" s="56"/>
      <c r="AM1183" s="56"/>
      <c r="AN1183" s="56"/>
      <c r="AO1183" s="56"/>
      <c r="AP1183" s="56"/>
      <c r="AQ1183" s="56"/>
      <c r="AR1183" s="56"/>
      <c r="AS1183" s="56"/>
      <c r="AT1183" s="56"/>
      <c r="AU1183" s="56"/>
      <c r="AV1183" s="56"/>
      <c r="AW1183" s="56"/>
    </row>
    <row r="1184" spans="1:49" ht="15" x14ac:dyDescent="0.15">
      <c r="A1184" s="56"/>
      <c r="B1184" s="402"/>
      <c r="C1184" s="56"/>
      <c r="D1184" s="56"/>
      <c r="E1184" s="56"/>
      <c r="F1184" s="56"/>
      <c r="G1184" s="56"/>
      <c r="H1184" s="56"/>
      <c r="I1184" s="56"/>
      <c r="J1184" s="56"/>
      <c r="K1184" s="56"/>
      <c r="L1184" s="402"/>
      <c r="M1184" s="402"/>
      <c r="N1184" s="402"/>
      <c r="O1184" s="389"/>
      <c r="P1184" s="55"/>
      <c r="Q1184" s="55"/>
      <c r="R1184" s="55"/>
      <c r="S1184" s="56"/>
      <c r="T1184" s="56"/>
      <c r="U1184" s="56"/>
      <c r="V1184" s="56"/>
      <c r="W1184" s="56"/>
      <c r="X1184" s="56"/>
      <c r="Y1184" s="56"/>
      <c r="Z1184" s="56"/>
      <c r="AA1184" s="56"/>
      <c r="AB1184" s="56"/>
      <c r="AC1184" s="55"/>
      <c r="AD1184" s="55"/>
      <c r="AE1184" s="56"/>
      <c r="AF1184" s="56"/>
      <c r="AG1184" s="56"/>
      <c r="AH1184" s="56"/>
      <c r="AI1184" s="56"/>
      <c r="AJ1184" s="56"/>
      <c r="AK1184" s="56"/>
      <c r="AL1184" s="56"/>
      <c r="AM1184" s="56"/>
      <c r="AN1184" s="56"/>
      <c r="AO1184" s="56"/>
      <c r="AP1184" s="56"/>
      <c r="AQ1184" s="56"/>
      <c r="AR1184" s="56"/>
      <c r="AS1184" s="56"/>
      <c r="AT1184" s="56"/>
      <c r="AU1184" s="56"/>
      <c r="AV1184" s="56"/>
      <c r="AW1184" s="56"/>
    </row>
    <row r="1185" spans="1:49" ht="15" x14ac:dyDescent="0.15">
      <c r="A1185" s="56"/>
      <c r="B1185" s="402"/>
      <c r="C1185" s="56"/>
      <c r="D1185" s="56"/>
      <c r="E1185" s="56"/>
      <c r="F1185" s="56"/>
      <c r="G1185" s="56"/>
      <c r="H1185" s="56"/>
      <c r="I1185" s="56"/>
      <c r="J1185" s="56"/>
      <c r="K1185" s="56"/>
      <c r="L1185" s="402"/>
      <c r="M1185" s="402"/>
      <c r="N1185" s="402"/>
      <c r="O1185" s="389"/>
      <c r="P1185" s="55"/>
      <c r="Q1185" s="55"/>
      <c r="R1185" s="55"/>
      <c r="S1185" s="56"/>
      <c r="T1185" s="56"/>
      <c r="U1185" s="56"/>
      <c r="V1185" s="56"/>
      <c r="W1185" s="56"/>
      <c r="X1185" s="56"/>
      <c r="Y1185" s="56"/>
      <c r="Z1185" s="56"/>
      <c r="AA1185" s="56"/>
      <c r="AB1185" s="56"/>
      <c r="AC1185" s="55"/>
      <c r="AD1185" s="55"/>
      <c r="AE1185" s="56"/>
      <c r="AF1185" s="56"/>
      <c r="AG1185" s="56"/>
      <c r="AH1185" s="56"/>
      <c r="AI1185" s="56"/>
      <c r="AJ1185" s="56"/>
      <c r="AK1185" s="56"/>
      <c r="AL1185" s="56"/>
      <c r="AM1185" s="56"/>
      <c r="AN1185" s="56"/>
      <c r="AO1185" s="56"/>
      <c r="AP1185" s="56"/>
      <c r="AQ1185" s="56"/>
      <c r="AR1185" s="56"/>
      <c r="AS1185" s="56"/>
      <c r="AT1185" s="56"/>
      <c r="AU1185" s="56"/>
      <c r="AV1185" s="56"/>
      <c r="AW1185" s="56"/>
    </row>
    <row r="1186" spans="1:49" ht="15" x14ac:dyDescent="0.15">
      <c r="A1186" s="56"/>
      <c r="B1186" s="402"/>
      <c r="C1186" s="56"/>
      <c r="D1186" s="56"/>
      <c r="E1186" s="56"/>
      <c r="F1186" s="56"/>
      <c r="G1186" s="56"/>
      <c r="H1186" s="56"/>
      <c r="I1186" s="56"/>
      <c r="J1186" s="56"/>
      <c r="K1186" s="56"/>
      <c r="L1186" s="402"/>
      <c r="M1186" s="402"/>
      <c r="N1186" s="402"/>
      <c r="O1186" s="389"/>
      <c r="P1186" s="55"/>
      <c r="Q1186" s="55"/>
      <c r="R1186" s="55"/>
      <c r="S1186" s="56"/>
      <c r="T1186" s="56"/>
      <c r="U1186" s="56"/>
      <c r="V1186" s="56"/>
      <c r="W1186" s="56"/>
      <c r="X1186" s="56"/>
      <c r="Y1186" s="56"/>
      <c r="Z1186" s="56"/>
      <c r="AA1186" s="56"/>
      <c r="AB1186" s="56"/>
      <c r="AC1186" s="55"/>
      <c r="AD1186" s="55"/>
      <c r="AE1186" s="56"/>
      <c r="AF1186" s="56"/>
      <c r="AG1186" s="56"/>
      <c r="AH1186" s="56"/>
      <c r="AI1186" s="56"/>
      <c r="AJ1186" s="56"/>
      <c r="AK1186" s="56"/>
      <c r="AL1186" s="56"/>
      <c r="AM1186" s="56"/>
      <c r="AN1186" s="56"/>
      <c r="AO1186" s="56"/>
      <c r="AP1186" s="56"/>
      <c r="AQ1186" s="56"/>
      <c r="AR1186" s="56"/>
      <c r="AS1186" s="56"/>
      <c r="AT1186" s="56"/>
      <c r="AU1186" s="56"/>
      <c r="AV1186" s="56"/>
      <c r="AW1186" s="56"/>
    </row>
    <row r="1187" spans="1:49" ht="15" x14ac:dyDescent="0.15">
      <c r="A1187" s="56"/>
      <c r="B1187" s="402"/>
      <c r="C1187" s="56"/>
      <c r="D1187" s="56"/>
      <c r="E1187" s="56"/>
      <c r="F1187" s="56"/>
      <c r="G1187" s="56"/>
      <c r="H1187" s="56"/>
      <c r="I1187" s="56"/>
      <c r="J1187" s="56"/>
      <c r="K1187" s="56"/>
      <c r="L1187" s="402"/>
      <c r="M1187" s="402"/>
      <c r="N1187" s="402"/>
      <c r="O1187" s="389"/>
      <c r="P1187" s="55"/>
      <c r="Q1187" s="55"/>
      <c r="R1187" s="55"/>
      <c r="S1187" s="56"/>
      <c r="T1187" s="56"/>
      <c r="U1187" s="56"/>
      <c r="V1187" s="56"/>
      <c r="W1187" s="56"/>
      <c r="X1187" s="56"/>
      <c r="Y1187" s="56"/>
      <c r="Z1187" s="56"/>
      <c r="AA1187" s="56"/>
      <c r="AB1187" s="56"/>
      <c r="AC1187" s="55"/>
      <c r="AD1187" s="55"/>
      <c r="AE1187" s="56"/>
      <c r="AF1187" s="56"/>
      <c r="AG1187" s="56"/>
      <c r="AH1187" s="56"/>
      <c r="AI1187" s="56"/>
      <c r="AJ1187" s="56"/>
      <c r="AK1187" s="56"/>
      <c r="AL1187" s="56"/>
      <c r="AM1187" s="56"/>
      <c r="AN1187" s="56"/>
      <c r="AO1187" s="56"/>
      <c r="AP1187" s="56"/>
      <c r="AQ1187" s="56"/>
      <c r="AR1187" s="56"/>
      <c r="AS1187" s="56"/>
      <c r="AT1187" s="56"/>
      <c r="AU1187" s="56"/>
      <c r="AV1187" s="56"/>
      <c r="AW1187" s="56"/>
    </row>
    <row r="1188" spans="1:49" ht="15" x14ac:dyDescent="0.15">
      <c r="A1188" s="56"/>
      <c r="B1188" s="402"/>
      <c r="C1188" s="56"/>
      <c r="D1188" s="56"/>
      <c r="E1188" s="56"/>
      <c r="F1188" s="56"/>
      <c r="G1188" s="56"/>
      <c r="H1188" s="56"/>
      <c r="I1188" s="56"/>
      <c r="J1188" s="56"/>
      <c r="K1188" s="56"/>
      <c r="L1188" s="402"/>
      <c r="M1188" s="402"/>
      <c r="N1188" s="402"/>
      <c r="O1188" s="389"/>
      <c r="P1188" s="55"/>
      <c r="Q1188" s="55"/>
      <c r="R1188" s="55"/>
      <c r="S1188" s="56"/>
      <c r="T1188" s="56"/>
      <c r="U1188" s="56"/>
      <c r="V1188" s="56"/>
      <c r="W1188" s="56"/>
      <c r="X1188" s="56"/>
      <c r="Y1188" s="56"/>
      <c r="Z1188" s="56"/>
      <c r="AA1188" s="56"/>
      <c r="AB1188" s="56"/>
      <c r="AC1188" s="55"/>
      <c r="AD1188" s="55"/>
      <c r="AE1188" s="56"/>
      <c r="AF1188" s="56"/>
      <c r="AG1188" s="56"/>
      <c r="AH1188" s="56"/>
      <c r="AI1188" s="56"/>
      <c r="AJ1188" s="56"/>
      <c r="AK1188" s="56"/>
      <c r="AL1188" s="56"/>
      <c r="AM1188" s="56"/>
      <c r="AN1188" s="56"/>
      <c r="AO1188" s="56"/>
      <c r="AP1188" s="56"/>
      <c r="AQ1188" s="56"/>
      <c r="AR1188" s="56"/>
      <c r="AS1188" s="56"/>
      <c r="AT1188" s="56"/>
      <c r="AU1188" s="56"/>
      <c r="AV1188" s="56"/>
      <c r="AW1188" s="56"/>
    </row>
  </sheetData>
  <autoFilter ref="Q2:Q225" xr:uid="{00000000-0009-0000-0000-00000F000000}">
    <sortState xmlns:xlrd2="http://schemas.microsoft.com/office/spreadsheetml/2017/richdata2" ref="Q2:Q225">
      <sortCondition descending="1" ref="Q2:Q225"/>
    </sortState>
  </autoFilter>
  <mergeCells count="74">
    <mergeCell ref="K275:L275"/>
    <mergeCell ref="K276:L276"/>
    <mergeCell ref="L231:M231"/>
    <mergeCell ref="I261:L261"/>
    <mergeCell ref="I268:L268"/>
    <mergeCell ref="I269:L269"/>
    <mergeCell ref="K273:L273"/>
    <mergeCell ref="K274:L274"/>
    <mergeCell ref="L227:M227"/>
    <mergeCell ref="AU227:AV227"/>
    <mergeCell ref="L228:M228"/>
    <mergeCell ref="AU228:AV228"/>
    <mergeCell ref="L229:M229"/>
    <mergeCell ref="L230:M230"/>
    <mergeCell ref="L223:M223"/>
    <mergeCell ref="L224:M224"/>
    <mergeCell ref="L225:M225"/>
    <mergeCell ref="AU225:AV225"/>
    <mergeCell ref="L226:M226"/>
    <mergeCell ref="AU226:AV226"/>
    <mergeCell ref="L217:M217"/>
    <mergeCell ref="L218:M218"/>
    <mergeCell ref="L219:M219"/>
    <mergeCell ref="L220:M220"/>
    <mergeCell ref="L221:M221"/>
    <mergeCell ref="L222:M222"/>
    <mergeCell ref="AU212:AV212"/>
    <mergeCell ref="L213:M215"/>
    <mergeCell ref="O213:O215"/>
    <mergeCell ref="AB213:AB215"/>
    <mergeCell ref="L216:M216"/>
    <mergeCell ref="AU216:AV216"/>
    <mergeCell ref="W186:W188"/>
    <mergeCell ref="X186:X188"/>
    <mergeCell ref="Y186:Y188"/>
    <mergeCell ref="Z186:Z188"/>
    <mergeCell ref="AB186:AB188"/>
    <mergeCell ref="L212:M212"/>
    <mergeCell ref="AW89:AW107"/>
    <mergeCell ref="O124:O129"/>
    <mergeCell ref="O186:O188"/>
    <mergeCell ref="P186:P188"/>
    <mergeCell ref="Q186:Q188"/>
    <mergeCell ref="R186:R188"/>
    <mergeCell ref="S186:S188"/>
    <mergeCell ref="T186:T188"/>
    <mergeCell ref="U186:U188"/>
    <mergeCell ref="V186:V188"/>
    <mergeCell ref="M89:M107"/>
    <mergeCell ref="AR89:AR107"/>
    <mergeCell ref="AS89:AS107"/>
    <mergeCell ref="AT89:AT107"/>
    <mergeCell ref="AU89:AU107"/>
    <mergeCell ref="AV89:AV107"/>
    <mergeCell ref="G89:G107"/>
    <mergeCell ref="H89:H107"/>
    <mergeCell ref="I89:I107"/>
    <mergeCell ref="J89:J107"/>
    <mergeCell ref="K89:K107"/>
    <mergeCell ref="L89:L107"/>
    <mergeCell ref="L7:L8"/>
    <mergeCell ref="M7:M8"/>
    <mergeCell ref="AV7:AV8"/>
    <mergeCell ref="AW7:AW8"/>
    <mergeCell ref="L20:L22"/>
    <mergeCell ref="M20:M22"/>
    <mergeCell ref="AV20:AV22"/>
    <mergeCell ref="AW20:AW22"/>
    <mergeCell ref="C1:F1"/>
    <mergeCell ref="H1:I1"/>
    <mergeCell ref="J1:K1"/>
    <mergeCell ref="S1:Z1"/>
    <mergeCell ref="AR1:AS1"/>
    <mergeCell ref="AT1:AU1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 -27032026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triwahyu</dc:creator>
  <cp:lastModifiedBy>triwahyu</cp:lastModifiedBy>
  <dcterms:created xsi:type="dcterms:W3CDTF">2026-04-19T16:22:28Z</dcterms:created>
  <dcterms:modified xsi:type="dcterms:W3CDTF">2026-04-19T16:22:58Z</dcterms:modified>
</cp:coreProperties>
</file>