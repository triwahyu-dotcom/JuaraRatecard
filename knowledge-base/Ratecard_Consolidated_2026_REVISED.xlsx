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card" sheetId="1" state="visible" r:id="rId1"/>
    <sheet xmlns:r="http://schemas.openxmlformats.org/officeDocument/2006/relationships" name="JUARA 2026-2" sheetId="2" state="visible" r:id="rId2"/>
    <sheet xmlns:r="http://schemas.openxmlformats.org/officeDocument/2006/relationships" name="JBBS Gabung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&quot;Rp&quot;* #,##0_-;-&quot;Rp&quot;* #,##0_-;_-&quot;Rp&quot;* &quot;-&quot;_-;_-@_-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8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555555"/>
      <sz val="8"/>
    </font>
  </fonts>
  <fills count="16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2E4D8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BA7517"/>
      </patternFill>
    </fill>
    <fill>
      <patternFill patternType="solid">
        <fgColor rgb="00533AB7"/>
      </patternFill>
    </fill>
    <fill>
      <patternFill patternType="solid">
        <fgColor rgb="000F6E56"/>
      </patternFill>
    </fill>
    <fill>
      <patternFill patternType="solid">
        <fgColor rgb="004B1528"/>
      </patternFill>
    </fill>
    <fill>
      <patternFill patternType="solid">
        <fgColor rgb="00185FA5"/>
      </patternFill>
    </fill>
    <fill>
      <patternFill patternType="solid">
        <fgColor rgb="003B6D11"/>
      </patternFill>
    </fill>
    <fill>
      <patternFill patternType="solid">
        <fgColor rgb="005F5E5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5" borderId="1" pivotButton="0" quotePrefix="0" xfId="0"/>
    <xf numFmtId="0" fontId="6" fillId="4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pivotButton="0" quotePrefix="0" xfId="0"/>
    <xf numFmtId="0" fontId="4" fillId="3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left" vertical="center" wrapText="1"/>
    </xf>
    <xf numFmtId="0" fontId="4" fillId="12" borderId="0" applyAlignment="1" pivotButton="0" quotePrefix="0" xfId="0">
      <alignment horizontal="left" vertical="center" wrapText="1"/>
    </xf>
    <xf numFmtId="0" fontId="4" fillId="13" borderId="0" applyAlignment="1" pivotButton="0" quotePrefix="0" xfId="0">
      <alignment horizontal="left" vertical="center" wrapText="1"/>
    </xf>
    <xf numFmtId="0" fontId="4" fillId="14" borderId="0" applyAlignment="1" pivotButton="0" quotePrefix="0" xfId="0">
      <alignment horizontal="left" vertical="center" wrapText="1"/>
    </xf>
    <xf numFmtId="0" fontId="4" fillId="15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hidden="1" width="30" customWidth="1" min="2" max="2"/>
    <col hidden="1" width="30" customWidth="1" min="3" max="3"/>
    <col width="22" customWidth="1" min="4" max="4"/>
    <col width="8" customWidth="1" min="5" max="5"/>
    <col width="8" customWidth="1" min="6" max="6"/>
    <col width="16" customWidth="1" min="7" max="7"/>
    <col width="16" customWidth="1" min="8" max="8"/>
    <col width="22" customWidth="1" min="9" max="9"/>
  </cols>
  <sheetData>
    <row r="1" ht="24" customHeight="1">
      <c r="A1" s="1" t="inlineStr">
        <is>
          <t>RATECARD JBBS 2026  –  PT Juara Berhasil Berkah Sejahtera</t>
        </is>
      </c>
    </row>
    <row r="2" ht="14" customHeight="1">
      <c r="A2" s="2" t="inlineStr">
        <is>
          <t>Berlaku April 2026  |  Harga HPP = modal/vendor  |  Harga QUOT = rekomendasi jual ke klien  |  ASF EO 10% | ASF AFM 5% | PPN 12%</t>
        </is>
      </c>
    </row>
    <row r="3" ht="28" customHeight="1">
      <c r="A3" s="3" t="inlineStr">
        <is>
          <t>NO</t>
        </is>
      </c>
      <c r="B3" s="3" t="inlineStr">
        <is>
          <t>SECTION</t>
        </is>
      </c>
      <c r="C3" s="3" t="inlineStr">
        <is>
          <t>SUB-CATEGORY</t>
        </is>
      </c>
      <c r="D3" s="3" t="inlineStr">
        <is>
          <t>ITEM NAME</t>
        </is>
      </c>
      <c r="E3" s="3" t="inlineStr">
        <is>
          <t>QTY UNIT</t>
        </is>
      </c>
      <c r="F3" s="3" t="inlineStr">
        <is>
          <t>FREQ UNIT</t>
        </is>
      </c>
      <c r="G3" s="3" t="inlineStr">
        <is>
          <t>HPP (Rp)</t>
        </is>
      </c>
      <c r="H3" s="3" t="inlineStr">
        <is>
          <t>QUOT (Rp)</t>
        </is>
      </c>
      <c r="I3" s="3" t="inlineStr">
        <is>
          <t>REMARKS</t>
        </is>
      </c>
    </row>
    <row r="4" ht="18" customHeight="1">
      <c r="A4" s="4" t="inlineStr">
        <is>
          <t>A. PLANNING &amp; DEVELOPMENT</t>
        </is>
      </c>
    </row>
    <row r="5" ht="16" customHeight="1">
      <c r="A5" s="5" t="inlineStr">
        <is>
          <t xml:space="preserve">  A1. Konsep &amp; Survey</t>
        </is>
      </c>
    </row>
    <row r="6" ht="15" customHeight="1">
      <c r="A6" s="6" t="n">
        <v>1</v>
      </c>
      <c r="B6" s="7" t="inlineStr">
        <is>
          <t>A. PLANNING &amp; DEVELOPMENT</t>
        </is>
      </c>
      <c r="C6" s="7" t="inlineStr">
        <is>
          <t>A1. Konsep &amp; Survey</t>
        </is>
      </c>
      <c r="D6" s="7" t="inlineStr">
        <is>
          <t>Survey &amp; Koordinasi</t>
        </is>
      </c>
      <c r="E6" s="7" t="inlineStr">
        <is>
          <t>pckg</t>
        </is>
      </c>
      <c r="F6" s="7" t="inlineStr">
        <is>
          <t>survey</t>
        </is>
      </c>
      <c r="G6" s="8" t="n">
        <v>1000000</v>
      </c>
      <c r="H6" s="8" t="n">
        <v>1500000</v>
      </c>
      <c r="I6" s="9" t="inlineStr">
        <is>
          <t>transport + meals</t>
        </is>
      </c>
    </row>
    <row r="7" ht="15" customHeight="1">
      <c r="A7" s="10" t="n">
        <v>2</v>
      </c>
      <c r="B7" s="11" t="inlineStr">
        <is>
          <t>A. PLANNING &amp; DEVELOPMENT</t>
        </is>
      </c>
      <c r="C7" s="11" t="inlineStr">
        <is>
          <t>A1. Konsep &amp; Survey</t>
        </is>
      </c>
      <c r="D7" s="11" t="inlineStr">
        <is>
          <t>Concept &amp; Ideation</t>
        </is>
      </c>
      <c r="E7" s="11" t="inlineStr">
        <is>
          <t>pckg</t>
        </is>
      </c>
      <c r="F7" s="11" t="inlineStr">
        <is>
          <t>project</t>
        </is>
      </c>
      <c r="G7" s="8" t="n">
        <v>7000000</v>
      </c>
      <c r="H7" s="8" t="n">
        <v>10000000</v>
      </c>
      <c r="I7" s="12" t="inlineStr"/>
    </row>
    <row r="8" ht="15" customHeight="1">
      <c r="A8" s="6" t="n">
        <v>3</v>
      </c>
      <c r="B8" s="7" t="inlineStr">
        <is>
          <t>A. PLANNING &amp; DEVELOPMENT</t>
        </is>
      </c>
      <c r="C8" s="7" t="inlineStr">
        <is>
          <t>A1. Konsep &amp; Survey</t>
        </is>
      </c>
      <c r="D8" s="7" t="inlineStr">
        <is>
          <t>Concept &amp; Ideation Development</t>
        </is>
      </c>
      <c r="E8" s="7" t="inlineStr">
        <is>
          <t>pckg</t>
        </is>
      </c>
      <c r="F8" s="7" t="inlineStr">
        <is>
          <t>project</t>
        </is>
      </c>
      <c r="G8" s="8" t="n">
        <v>7000000</v>
      </c>
      <c r="H8" s="8" t="n">
        <v>10000000</v>
      </c>
      <c r="I8" s="9" t="inlineStr"/>
    </row>
    <row r="9" ht="15" customHeight="1">
      <c r="A9" s="10" t="n">
        <v>4</v>
      </c>
      <c r="B9" s="11" t="inlineStr">
        <is>
          <t>A. PLANNING &amp; DEVELOPMENT</t>
        </is>
      </c>
      <c r="C9" s="11" t="inlineStr">
        <is>
          <t>A1. Konsep &amp; Survey</t>
        </is>
      </c>
      <c r="D9" s="11" t="inlineStr">
        <is>
          <t>Event Proposal (Konsep)</t>
        </is>
      </c>
      <c r="E9" s="11" t="inlineStr">
        <is>
          <t>pckg</t>
        </is>
      </c>
      <c r="F9" s="11" t="inlineStr">
        <is>
          <t>project</t>
        </is>
      </c>
      <c r="G9" s="8" t="n">
        <v>10000000</v>
      </c>
      <c r="H9" s="8" t="n">
        <v>15000000</v>
      </c>
      <c r="I9" s="12" t="inlineStr"/>
    </row>
    <row r="10" ht="15" customHeight="1">
      <c r="A10" s="6" t="n">
        <v>5</v>
      </c>
      <c r="B10" s="7" t="inlineStr">
        <is>
          <t>A. PLANNING &amp; DEVELOPMENT</t>
        </is>
      </c>
      <c r="C10" s="7" t="inlineStr">
        <is>
          <t>A1. Konsep &amp; Survey</t>
        </is>
      </c>
      <c r="D10" s="7" t="inlineStr">
        <is>
          <t>Event Concept &amp; Planning</t>
        </is>
      </c>
      <c r="E10" s="7" t="inlineStr">
        <is>
          <t>pckg</t>
        </is>
      </c>
      <c r="F10" s="7" t="inlineStr">
        <is>
          <t>project</t>
        </is>
      </c>
      <c r="G10" s="8" t="n">
        <v>15000000</v>
      </c>
      <c r="H10" s="8" t="n">
        <v>20000000</v>
      </c>
      <c r="I10" s="9" t="inlineStr"/>
    </row>
    <row r="11" ht="16" customHeight="1">
      <c r="A11" s="5" t="inlineStr">
        <is>
          <t xml:space="preserve">  A2. Creative Design</t>
        </is>
      </c>
    </row>
    <row r="12" ht="15" customHeight="1">
      <c r="A12" s="6" t="n">
        <v>1</v>
      </c>
      <c r="B12" s="7" t="inlineStr">
        <is>
          <t>A. PLANNING &amp; DEVELOPMENT</t>
        </is>
      </c>
      <c r="C12" s="7" t="inlineStr">
        <is>
          <t>A2. Creative Design</t>
        </is>
      </c>
      <c r="D12" s="7" t="inlineStr">
        <is>
          <t>Creative Design 2D Visual</t>
        </is>
      </c>
      <c r="E12" s="7" t="inlineStr">
        <is>
          <t>pckg</t>
        </is>
      </c>
      <c r="F12" s="7" t="inlineStr">
        <is>
          <t>project</t>
        </is>
      </c>
      <c r="G12" s="8" t="n">
        <v>4000000</v>
      </c>
      <c r="H12" s="8" t="n">
        <v>7500000</v>
      </c>
      <c r="I12" s="9" t="inlineStr"/>
    </row>
    <row r="13" ht="15" customHeight="1">
      <c r="A13" s="10" t="n">
        <v>2</v>
      </c>
      <c r="B13" s="11" t="inlineStr">
        <is>
          <t>A. PLANNING &amp; DEVELOPMENT</t>
        </is>
      </c>
      <c r="C13" s="11" t="inlineStr">
        <is>
          <t>A2. Creative Design</t>
        </is>
      </c>
      <c r="D13" s="11" t="inlineStr">
        <is>
          <t>Creative Design 3D Visual</t>
        </is>
      </c>
      <c r="E13" s="11" t="inlineStr">
        <is>
          <t>pckg</t>
        </is>
      </c>
      <c r="F13" s="11" t="inlineStr">
        <is>
          <t>project</t>
        </is>
      </c>
      <c r="G13" s="8" t="n">
        <v>4000000</v>
      </c>
      <c r="H13" s="8" t="n">
        <v>7500000</v>
      </c>
      <c r="I13" s="12" t="inlineStr"/>
    </row>
    <row r="14" ht="15" customHeight="1">
      <c r="A14" s="6" t="n">
        <v>3</v>
      </c>
      <c r="B14" s="7" t="inlineStr">
        <is>
          <t>A. PLANNING &amp; DEVELOPMENT</t>
        </is>
      </c>
      <c r="C14" s="7" t="inlineStr">
        <is>
          <t>A2. Creative Design</t>
        </is>
      </c>
      <c r="D14" s="7" t="inlineStr">
        <is>
          <t>Creative Design 2D + 3D</t>
        </is>
      </c>
      <c r="E14" s="7" t="inlineStr">
        <is>
          <t>pckg</t>
        </is>
      </c>
      <c r="F14" s="7" t="inlineStr">
        <is>
          <t>project</t>
        </is>
      </c>
      <c r="G14" s="8" t="n">
        <v>7000000</v>
      </c>
      <c r="H14" s="8" t="n">
        <v>15000000</v>
      </c>
      <c r="I14" s="9" t="inlineStr"/>
    </row>
    <row r="15" ht="15" customHeight="1">
      <c r="A15" s="10" t="n">
        <v>4</v>
      </c>
      <c r="B15" s="11" t="inlineStr">
        <is>
          <t>A. PLANNING &amp; DEVELOPMENT</t>
        </is>
      </c>
      <c r="C15" s="11" t="inlineStr">
        <is>
          <t>A2. Creative Design</t>
        </is>
      </c>
      <c r="D15" s="11" t="inlineStr">
        <is>
          <t>3D Design Item Production</t>
        </is>
      </c>
      <c r="E15" s="11" t="inlineStr">
        <is>
          <t>pckg</t>
        </is>
      </c>
      <c r="F15" s="11" t="inlineStr">
        <is>
          <t>project</t>
        </is>
      </c>
      <c r="G15" s="8" t="n">
        <v>4000000</v>
      </c>
      <c r="H15" s="8" t="n">
        <v>6000000</v>
      </c>
      <c r="I15" s="12" t="inlineStr">
        <is>
          <t>per revisi major</t>
        </is>
      </c>
    </row>
    <row r="16" ht="15" customHeight="1">
      <c r="A16" s="6" t="n">
        <v>5</v>
      </c>
      <c r="B16" s="7" t="inlineStr">
        <is>
          <t>A. PLANNING &amp; DEVELOPMENT</t>
        </is>
      </c>
      <c r="C16" s="7" t="inlineStr">
        <is>
          <t>A2. Creative Design</t>
        </is>
      </c>
      <c r="D16" s="7" t="inlineStr">
        <is>
          <t>Revisi 3D Production</t>
        </is>
      </c>
      <c r="E16" s="7" t="inlineStr">
        <is>
          <t>pckg</t>
        </is>
      </c>
      <c r="F16" s="7" t="inlineStr">
        <is>
          <t>project</t>
        </is>
      </c>
      <c r="G16" s="8" t="n">
        <v>1000000</v>
      </c>
      <c r="H16" s="8" t="n">
        <v>5000000</v>
      </c>
      <c r="I16" s="9" t="inlineStr">
        <is>
          <t>update overall scenery</t>
        </is>
      </c>
    </row>
    <row r="17" ht="16" customHeight="1">
      <c r="A17" s="5" t="inlineStr">
        <is>
          <t xml:space="preserve">  A3. Multimedia &amp; Video</t>
        </is>
      </c>
    </row>
    <row r="18" ht="15" customHeight="1">
      <c r="A18" s="6" t="n">
        <v>1</v>
      </c>
      <c r="B18" s="7" t="inlineStr">
        <is>
          <t>A. PLANNING &amp; DEVELOPMENT</t>
        </is>
      </c>
      <c r="C18" s="7" t="inlineStr">
        <is>
          <t>A3. Multimedia &amp; Video</t>
        </is>
      </c>
      <c r="D18" s="7" t="inlineStr">
        <is>
          <t>Bumper Video (Opening/Transisi)</t>
        </is>
      </c>
      <c r="E18" s="7" t="inlineStr">
        <is>
          <t>pckg</t>
        </is>
      </c>
      <c r="F18" s="7" t="inlineStr">
        <is>
          <t>project</t>
        </is>
      </c>
      <c r="G18" s="8" t="n">
        <v>18000000</v>
      </c>
      <c r="H18" s="8" t="n">
        <v>25000000</v>
      </c>
      <c r="I18" s="9" t="inlineStr"/>
    </row>
    <row r="19" ht="15" customHeight="1">
      <c r="A19" s="10" t="n">
        <v>2</v>
      </c>
      <c r="B19" s="11" t="inlineStr">
        <is>
          <t>A. PLANNING &amp; DEVELOPMENT</t>
        </is>
      </c>
      <c r="C19" s="11" t="inlineStr">
        <is>
          <t>A3. Multimedia &amp; Video</t>
        </is>
      </c>
      <c r="D19" s="11" t="inlineStr">
        <is>
          <t>Manifesto / Profile Video</t>
        </is>
      </c>
      <c r="E19" s="11" t="inlineStr">
        <is>
          <t>pckg</t>
        </is>
      </c>
      <c r="F19" s="11" t="inlineStr">
        <is>
          <t>project</t>
        </is>
      </c>
      <c r="G19" s="8" t="n">
        <v>22000000</v>
      </c>
      <c r="H19" s="8" t="n">
        <v>35000000</v>
      </c>
      <c r="I19" s="12" t="inlineStr"/>
    </row>
    <row r="20" ht="15" customHeight="1">
      <c r="A20" s="6" t="n">
        <v>3</v>
      </c>
      <c r="B20" s="7" t="inlineStr">
        <is>
          <t>A. PLANNING &amp; DEVELOPMENT</t>
        </is>
      </c>
      <c r="C20" s="7" t="inlineStr">
        <is>
          <t>A3. Multimedia &amp; Video</t>
        </is>
      </c>
      <c r="D20" s="7" t="inlineStr">
        <is>
          <t>Multimedia Content (bumper, motion)</t>
        </is>
      </c>
      <c r="E20" s="7" t="inlineStr">
        <is>
          <t>pckg</t>
        </is>
      </c>
      <c r="F20" s="7" t="inlineStr">
        <is>
          <t>project</t>
        </is>
      </c>
      <c r="G20" s="8" t="n">
        <v>35000000</v>
      </c>
      <c r="H20" s="8" t="n">
        <v>50000000</v>
      </c>
      <c r="I20" s="9" t="inlineStr">
        <is>
          <t>Full paket</t>
        </is>
      </c>
    </row>
    <row r="21" ht="15" customHeight="1">
      <c r="A21" s="10" t="n">
        <v>4</v>
      </c>
      <c r="B21" s="11" t="inlineStr">
        <is>
          <t>A. PLANNING &amp; DEVELOPMENT</t>
        </is>
      </c>
      <c r="C21" s="11" t="inlineStr">
        <is>
          <t>A3. Multimedia &amp; Video</t>
        </is>
      </c>
      <c r="D21" s="11" t="inlineStr">
        <is>
          <t>Safety Planning &amp; Flow Animation</t>
        </is>
      </c>
      <c r="E21" s="11" t="inlineStr">
        <is>
          <t>pckg</t>
        </is>
      </c>
      <c r="F21" s="11" t="inlineStr">
        <is>
          <t>project</t>
        </is>
      </c>
      <c r="G21" s="8" t="n">
        <v>10000000</v>
      </c>
      <c r="H21" s="8" t="n">
        <v>15000000</v>
      </c>
      <c r="I21" s="12" t="inlineStr">
        <is>
          <t>Khusus AFM</t>
        </is>
      </c>
    </row>
    <row r="22" ht="16" customHeight="1">
      <c r="A22" s="5" t="inlineStr">
        <is>
          <t xml:space="preserve">  A4. Ticketing &amp; Registration</t>
        </is>
      </c>
    </row>
    <row r="23" ht="15" customHeight="1">
      <c r="A23" s="6" t="n">
        <v>1</v>
      </c>
      <c r="B23" s="7" t="inlineStr">
        <is>
          <t>A. PLANNING &amp; DEVELOPMENT</t>
        </is>
      </c>
      <c r="C23" s="7" t="inlineStr">
        <is>
          <t>A4. Ticketing &amp; Registration</t>
        </is>
      </c>
      <c r="D23" s="7" t="inlineStr">
        <is>
          <t>Ticketing Management Service (TMS)</t>
        </is>
      </c>
      <c r="E23" s="7" t="inlineStr">
        <is>
          <t>pckg</t>
        </is>
      </c>
      <c r="F23" s="7" t="inlineStr">
        <is>
          <t>event</t>
        </is>
      </c>
      <c r="G23" s="8" t="n">
        <v>25000000</v>
      </c>
      <c r="H23" s="8" t="n">
        <v>40000000</v>
      </c>
      <c r="I23" s="9" t="inlineStr"/>
    </row>
    <row r="24" ht="15" customHeight="1">
      <c r="A24" s="10" t="n">
        <v>2</v>
      </c>
      <c r="B24" s="11" t="inlineStr">
        <is>
          <t>A. PLANNING &amp; DEVELOPMENT</t>
        </is>
      </c>
      <c r="C24" s="11" t="inlineStr">
        <is>
          <t>A4. Ticketing &amp; Registration</t>
        </is>
      </c>
      <c r="D24" s="11" t="inlineStr">
        <is>
          <t>Registration Flow Design</t>
        </is>
      </c>
      <c r="E24" s="11" t="inlineStr">
        <is>
          <t>pckg</t>
        </is>
      </c>
      <c r="F24" s="11" t="inlineStr">
        <is>
          <t>project</t>
        </is>
      </c>
      <c r="G24" s="8" t="n"/>
      <c r="H24" s="8" t="n">
        <v>5000000</v>
      </c>
      <c r="I24" s="12" t="inlineStr"/>
    </row>
    <row r="25" ht="15" customHeight="1">
      <c r="A25" s="6" t="n">
        <v>3</v>
      </c>
      <c r="B25" s="7" t="inlineStr">
        <is>
          <t>A. PLANNING &amp; DEVELOPMENT</t>
        </is>
      </c>
      <c r="C25" s="7" t="inlineStr">
        <is>
          <t>A4. Ticketing &amp; Registration</t>
        </is>
      </c>
      <c r="D25" s="7" t="inlineStr">
        <is>
          <t>Manual Book Kepesertaan</t>
        </is>
      </c>
      <c r="E25" s="7" t="inlineStr">
        <is>
          <t>pcs</t>
        </is>
      </c>
      <c r="F25" s="7" t="inlineStr">
        <is>
          <t>project</t>
        </is>
      </c>
      <c r="G25" s="8" t="n"/>
      <c r="H25" s="8" t="n"/>
      <c r="I25" s="9" t="inlineStr">
        <is>
          <t>print</t>
        </is>
      </c>
    </row>
    <row r="26" ht="15" customHeight="1">
      <c r="A26" s="10" t="n">
        <v>4</v>
      </c>
      <c r="B26" s="11" t="inlineStr">
        <is>
          <t>A. PLANNING &amp; DEVELOPMENT</t>
        </is>
      </c>
      <c r="C26" s="11" t="inlineStr">
        <is>
          <t>A4. Ticketing &amp; Registration</t>
        </is>
      </c>
      <c r="D26" s="11" t="inlineStr">
        <is>
          <t>Participant Journey Plan</t>
        </is>
      </c>
      <c r="E26" s="11" t="inlineStr">
        <is>
          <t>pckg</t>
        </is>
      </c>
      <c r="F26" s="11" t="inlineStr">
        <is>
          <t>project</t>
        </is>
      </c>
      <c r="G26" s="8" t="n"/>
      <c r="H26" s="8" t="n"/>
      <c r="I26" s="12" t="inlineStr"/>
    </row>
    <row r="27"/>
    <row r="28" ht="18" customHeight="1">
      <c r="A28" s="13" t="inlineStr">
        <is>
          <t>B. PERMIT &amp; RETRIBUSI</t>
        </is>
      </c>
    </row>
    <row r="29" ht="16" customHeight="1">
      <c r="A29" s="5" t="inlineStr">
        <is>
          <t xml:space="preserve">  B1. Ijin Kepolisian</t>
        </is>
      </c>
    </row>
    <row r="30" ht="15" customHeight="1">
      <c r="A30" s="6" t="n">
        <v>1</v>
      </c>
      <c r="B30" s="7" t="inlineStr">
        <is>
          <t>B. PERMIT &amp; RETRIBUSI</t>
        </is>
      </c>
      <c r="C30" s="7" t="inlineStr">
        <is>
          <t>B1. Ijin Kepolisian</t>
        </is>
      </c>
      <c r="D30" s="7" t="inlineStr">
        <is>
          <t>Ijin Kegiatan - POLSEK</t>
        </is>
      </c>
      <c r="E30" s="7" t="inlineStr">
        <is>
          <t>pckg</t>
        </is>
      </c>
      <c r="F30" s="7" t="inlineStr">
        <is>
          <t>event</t>
        </is>
      </c>
      <c r="G30" s="8" t="n">
        <v>8000000</v>
      </c>
      <c r="H30" s="8" t="n">
        <v>10000000</v>
      </c>
      <c r="I30" s="9" t="inlineStr">
        <is>
          <t>per wilayah</t>
        </is>
      </c>
    </row>
    <row r="31" ht="15" customHeight="1">
      <c r="A31" s="10" t="n">
        <v>2</v>
      </c>
      <c r="B31" s="11" t="inlineStr">
        <is>
          <t>B. PERMIT &amp; RETRIBUSI</t>
        </is>
      </c>
      <c r="C31" s="11" t="inlineStr">
        <is>
          <t>B1. Ijin Kepolisian</t>
        </is>
      </c>
      <c r="D31" s="11" t="inlineStr">
        <is>
          <t>Ijin Kegiatan - POLRES</t>
        </is>
      </c>
      <c r="E31" s="11" t="inlineStr">
        <is>
          <t>pckg</t>
        </is>
      </c>
      <c r="F31" s="11" t="inlineStr">
        <is>
          <t>event</t>
        </is>
      </c>
      <c r="G31" s="8" t="n">
        <v>12000000</v>
      </c>
      <c r="H31" s="8" t="n">
        <v>16000000</v>
      </c>
      <c r="I31" s="12" t="inlineStr">
        <is>
          <t>per wilayah</t>
        </is>
      </c>
    </row>
    <row r="32" ht="15" customHeight="1">
      <c r="A32" s="6" t="n">
        <v>3</v>
      </c>
      <c r="B32" s="7" t="inlineStr">
        <is>
          <t>B. PERMIT &amp; RETRIBUSI</t>
        </is>
      </c>
      <c r="C32" s="7" t="inlineStr">
        <is>
          <t>B1. Ijin Kepolisian</t>
        </is>
      </c>
      <c r="D32" s="7" t="inlineStr">
        <is>
          <t>Ijin Kegiatan - POLDA</t>
        </is>
      </c>
      <c r="E32" s="7" t="inlineStr">
        <is>
          <t>pckg</t>
        </is>
      </c>
      <c r="F32" s="7" t="inlineStr">
        <is>
          <t>event</t>
        </is>
      </c>
      <c r="G32" s="8" t="n">
        <v>12000000</v>
      </c>
      <c r="H32" s="8" t="n">
        <v>16000000</v>
      </c>
      <c r="I32" s="9" t="inlineStr">
        <is>
          <t>per wilayah</t>
        </is>
      </c>
    </row>
    <row r="33" ht="15" customHeight="1">
      <c r="A33" s="10" t="n">
        <v>4</v>
      </c>
      <c r="B33" s="11" t="inlineStr">
        <is>
          <t>B. PERMIT &amp; RETRIBUSI</t>
        </is>
      </c>
      <c r="C33" s="11" t="inlineStr">
        <is>
          <t>B1. Ijin Kepolisian</t>
        </is>
      </c>
      <c r="D33" s="11" t="inlineStr">
        <is>
          <t>Ijin Kegiatan (POLSEK-POLRES-POLDA)</t>
        </is>
      </c>
      <c r="E33" s="11" t="inlineStr">
        <is>
          <t>pckg</t>
        </is>
      </c>
      <c r="F33" s="11" t="inlineStr">
        <is>
          <t>event</t>
        </is>
      </c>
      <c r="G33" s="8" t="n">
        <v>15000000</v>
      </c>
      <c r="H33" s="8" t="n">
        <v>25000000</v>
      </c>
      <c r="I33" s="12" t="inlineStr">
        <is>
          <t>paket lengkap</t>
        </is>
      </c>
    </row>
    <row r="34" ht="15" customHeight="1">
      <c r="A34" s="6" t="n">
        <v>5</v>
      </c>
      <c r="B34" s="7" t="inlineStr">
        <is>
          <t>B. PERMIT &amp; RETRIBUSI</t>
        </is>
      </c>
      <c r="C34" s="7" t="inlineStr">
        <is>
          <t>B1. Ijin Kepolisian</t>
        </is>
      </c>
      <c r="D34" s="7" t="inlineStr">
        <is>
          <t>PAM Personil Kepolisian</t>
        </is>
      </c>
      <c r="E34" s="7" t="inlineStr">
        <is>
          <t>prsn</t>
        </is>
      </c>
      <c r="F34" s="7" t="inlineStr">
        <is>
          <t>day</t>
        </is>
      </c>
      <c r="G34" s="8" t="n">
        <v>150000</v>
      </c>
      <c r="H34" s="8" t="n">
        <v>275000</v>
      </c>
      <c r="I34" s="9" t="inlineStr">
        <is>
          <t>incl. meals</t>
        </is>
      </c>
    </row>
    <row r="35" ht="15" customHeight="1">
      <c r="A35" s="10" t="n">
        <v>6</v>
      </c>
      <c r="B35" s="11" t="inlineStr">
        <is>
          <t>B. PERMIT &amp; RETRIBUSI</t>
        </is>
      </c>
      <c r="C35" s="11" t="inlineStr">
        <is>
          <t>B1. Ijin Kepolisian</t>
        </is>
      </c>
      <c r="D35" s="11" t="inlineStr">
        <is>
          <t>Voojrider / Patwal Mobil</t>
        </is>
      </c>
      <c r="E35" s="11" t="inlineStr">
        <is>
          <t>pckg</t>
        </is>
      </c>
      <c r="F35" s="11" t="inlineStr">
        <is>
          <t>event</t>
        </is>
      </c>
      <c r="G35" s="8" t="n">
        <v>3000000</v>
      </c>
      <c r="H35" s="8" t="n">
        <v>4550000</v>
      </c>
      <c r="I35" s="12" t="inlineStr">
        <is>
          <t>1 unit</t>
        </is>
      </c>
    </row>
    <row r="36" ht="15" customHeight="1">
      <c r="A36" s="6" t="n">
        <v>7</v>
      </c>
      <c r="B36" s="7" t="inlineStr">
        <is>
          <t>B. PERMIT &amp; RETRIBUSI</t>
        </is>
      </c>
      <c r="C36" s="7" t="inlineStr">
        <is>
          <t>B1. Ijin Kepolisian</t>
        </is>
      </c>
      <c r="D36" s="7" t="inlineStr">
        <is>
          <t>Patwal Motor</t>
        </is>
      </c>
      <c r="E36" s="7" t="inlineStr">
        <is>
          <t>pckg</t>
        </is>
      </c>
      <c r="F36" s="7" t="inlineStr">
        <is>
          <t>event</t>
        </is>
      </c>
      <c r="G36" s="8" t="n">
        <v>1500000</v>
      </c>
      <c r="H36" s="8" t="n">
        <v>2000000</v>
      </c>
      <c r="I36" s="9" t="inlineStr">
        <is>
          <t>rolling thunder</t>
        </is>
      </c>
    </row>
    <row r="37" ht="15" customHeight="1">
      <c r="A37" s="10" t="n">
        <v>8</v>
      </c>
      <c r="B37" s="11" t="inlineStr">
        <is>
          <t>B. PERMIT &amp; RETRIBUSI</t>
        </is>
      </c>
      <c r="C37" s="11" t="inlineStr">
        <is>
          <t>B1. Ijin Kepolisian</t>
        </is>
      </c>
      <c r="D37" s="11" t="inlineStr">
        <is>
          <t>Parkir Area</t>
        </is>
      </c>
      <c r="E37" s="11" t="inlineStr">
        <is>
          <t>pckg</t>
        </is>
      </c>
      <c r="F37" s="11" t="inlineStr">
        <is>
          <t>event</t>
        </is>
      </c>
      <c r="G37" s="8" t="n"/>
      <c r="H37" s="8" t="n">
        <v>15000000</v>
      </c>
      <c r="I37" s="12" t="inlineStr">
        <is>
          <t>bayar EO</t>
        </is>
      </c>
    </row>
    <row r="38" ht="16" customHeight="1">
      <c r="A38" s="5" t="inlineStr">
        <is>
          <t xml:space="preserve">  B2. Instansi Lain</t>
        </is>
      </c>
    </row>
    <row r="39" ht="15" customHeight="1">
      <c r="A39" s="6" t="n">
        <v>1</v>
      </c>
      <c r="B39" s="7" t="inlineStr">
        <is>
          <t>B. PERMIT &amp; RETRIBUSI</t>
        </is>
      </c>
      <c r="C39" s="7" t="inlineStr">
        <is>
          <t>B2. Instansi Lain</t>
        </is>
      </c>
      <c r="D39" s="7" t="inlineStr">
        <is>
          <t>DISHUB</t>
        </is>
      </c>
      <c r="E39" s="7" t="inlineStr">
        <is>
          <t>pckg</t>
        </is>
      </c>
      <c r="F39" s="7" t="inlineStr">
        <is>
          <t>event</t>
        </is>
      </c>
      <c r="G39" s="8" t="n">
        <v>3500000</v>
      </c>
      <c r="H39" s="8" t="n">
        <v>5000000</v>
      </c>
      <c r="I39" s="9" t="inlineStr">
        <is>
          <t>ijin lalu lintas</t>
        </is>
      </c>
    </row>
    <row r="40" ht="15" customHeight="1">
      <c r="A40" s="10" t="n">
        <v>2</v>
      </c>
      <c r="B40" s="11" t="inlineStr">
        <is>
          <t>B. PERMIT &amp; RETRIBUSI</t>
        </is>
      </c>
      <c r="C40" s="11" t="inlineStr">
        <is>
          <t>B2. Instansi Lain</t>
        </is>
      </c>
      <c r="D40" s="11" t="inlineStr">
        <is>
          <t>SATPOL PP</t>
        </is>
      </c>
      <c r="E40" s="11" t="inlineStr">
        <is>
          <t>pckg</t>
        </is>
      </c>
      <c r="F40" s="11" t="inlineStr">
        <is>
          <t>event</t>
        </is>
      </c>
      <c r="G40" s="8" t="n"/>
      <c r="H40" s="8" t="n"/>
      <c r="I40" s="12" t="inlineStr">
        <is>
          <t>permit</t>
        </is>
      </c>
    </row>
    <row r="41" ht="15" customHeight="1">
      <c r="A41" s="6" t="n">
        <v>3</v>
      </c>
      <c r="B41" s="7" t="inlineStr">
        <is>
          <t>B. PERMIT &amp; RETRIBUSI</t>
        </is>
      </c>
      <c r="C41" s="7" t="inlineStr">
        <is>
          <t>B2. Instansi Lain</t>
        </is>
      </c>
      <c r="D41" s="7" t="inlineStr">
        <is>
          <t>KODAM / KODIM / KORAMIL</t>
        </is>
      </c>
      <c r="E41" s="7" t="inlineStr">
        <is>
          <t>pckg</t>
        </is>
      </c>
      <c r="F41" s="7" t="inlineStr">
        <is>
          <t>event</t>
        </is>
      </c>
      <c r="G41" s="8" t="n"/>
      <c r="H41" s="8" t="n"/>
      <c r="I41" s="9" t="inlineStr">
        <is>
          <t>permit</t>
        </is>
      </c>
    </row>
    <row r="42" ht="15" customHeight="1">
      <c r="A42" s="10" t="n">
        <v>4</v>
      </c>
      <c r="B42" s="11" t="inlineStr">
        <is>
          <t>B. PERMIT &amp; RETRIBUSI</t>
        </is>
      </c>
      <c r="C42" s="11" t="inlineStr">
        <is>
          <t>B2. Instansi Lain</t>
        </is>
      </c>
      <c r="D42" s="11" t="inlineStr">
        <is>
          <t>Koordinasi Kawasan</t>
        </is>
      </c>
      <c r="E42" s="11" t="inlineStr">
        <is>
          <t>lot</t>
        </is>
      </c>
      <c r="F42" s="11" t="inlineStr">
        <is>
          <t>event</t>
        </is>
      </c>
      <c r="G42" s="8" t="n"/>
      <c r="H42" s="8" t="n">
        <v>15000000</v>
      </c>
      <c r="I42" s="12" t="inlineStr">
        <is>
          <t>coordination</t>
        </is>
      </c>
    </row>
    <row r="43" ht="15" customHeight="1">
      <c r="A43" s="6" t="n">
        <v>5</v>
      </c>
      <c r="B43" s="7" t="inlineStr">
        <is>
          <t>B. PERMIT &amp; RETRIBUSI</t>
        </is>
      </c>
      <c r="C43" s="7" t="inlineStr">
        <is>
          <t>B2. Instansi Lain</t>
        </is>
      </c>
      <c r="D43" s="7" t="inlineStr">
        <is>
          <t>Dana Koordinasi Antar Lintas</t>
        </is>
      </c>
      <c r="E43" s="7" t="inlineStr">
        <is>
          <t>lot</t>
        </is>
      </c>
      <c r="F43" s="7" t="inlineStr">
        <is>
          <t>event</t>
        </is>
      </c>
      <c r="G43" s="8" t="n"/>
      <c r="H43" s="8" t="n">
        <v>5000000</v>
      </c>
      <c r="I43" s="9" t="inlineStr">
        <is>
          <t>ormas setempat</t>
        </is>
      </c>
    </row>
    <row r="44"/>
    <row r="45" ht="18" customHeight="1">
      <c r="A45" s="14" t="inlineStr">
        <is>
          <t>C. HSE &amp; SAFETY</t>
        </is>
      </c>
    </row>
    <row r="46" ht="16" customHeight="1">
      <c r="A46" s="5" t="inlineStr">
        <is>
          <t xml:space="preserve">  C1. Medical</t>
        </is>
      </c>
    </row>
    <row r="47" ht="15" customHeight="1">
      <c r="A47" s="6" t="n">
        <v>1</v>
      </c>
      <c r="B47" s="7" t="inlineStr">
        <is>
          <t>C. HSE &amp; SAFETY</t>
        </is>
      </c>
      <c r="C47" s="7" t="inlineStr">
        <is>
          <t>C1. Medical</t>
        </is>
      </c>
      <c r="D47" s="7" t="inlineStr">
        <is>
          <t>Ambulance + Tim Medis (Reguler)</t>
        </is>
      </c>
      <c r="E47" s="7" t="inlineStr">
        <is>
          <t>unit</t>
        </is>
      </c>
      <c r="F47" s="7" t="inlineStr">
        <is>
          <t>day</t>
        </is>
      </c>
      <c r="G47" s="8" t="n">
        <v>2000000</v>
      </c>
      <c r="H47" s="8" t="n">
        <v>2600000</v>
      </c>
      <c r="I47" s="9" t="inlineStr">
        <is>
          <t>inc. dokter &amp; nakes</t>
        </is>
      </c>
    </row>
    <row r="48" ht="15" customHeight="1">
      <c r="A48" s="10" t="n">
        <v>2</v>
      </c>
      <c r="B48" s="11" t="inlineStr">
        <is>
          <t>C. HSE &amp; SAFETY</t>
        </is>
      </c>
      <c r="C48" s="11" t="inlineStr">
        <is>
          <t>C1. Medical</t>
        </is>
      </c>
      <c r="D48" s="11" t="inlineStr">
        <is>
          <t>Ambulance Mini ICU (VIP)</t>
        </is>
      </c>
      <c r="E48" s="11" t="inlineStr">
        <is>
          <t>unit</t>
        </is>
      </c>
      <c r="F48" s="11" t="inlineStr">
        <is>
          <t>day</t>
        </is>
      </c>
      <c r="G48" s="8" t="n">
        <v>6000000</v>
      </c>
      <c r="H48" s="8" t="n">
        <v>7500000</v>
      </c>
      <c r="I48" s="12" t="inlineStr">
        <is>
          <t>inc. dokter &amp; peralatan</t>
        </is>
      </c>
    </row>
    <row r="49" ht="15" customHeight="1">
      <c r="A49" s="6" t="n">
        <v>3</v>
      </c>
      <c r="B49" s="7" t="inlineStr">
        <is>
          <t>C. HSE &amp; SAFETY</t>
        </is>
      </c>
      <c r="C49" s="7" t="inlineStr">
        <is>
          <t>C1. Medical</t>
        </is>
      </c>
      <c r="D49" s="7" t="inlineStr">
        <is>
          <t>Doctor VVIP</t>
        </is>
      </c>
      <c r="E49" s="7" t="inlineStr">
        <is>
          <t>prsn</t>
        </is>
      </c>
      <c r="F49" s="7" t="inlineStr">
        <is>
          <t>day</t>
        </is>
      </c>
      <c r="G49" s="8" t="n">
        <v>3000000</v>
      </c>
      <c r="H49" s="8" t="n">
        <v>4000000</v>
      </c>
      <c r="I49" s="9" t="inlineStr"/>
    </row>
    <row r="50" ht="15" customHeight="1">
      <c r="A50" s="10" t="n">
        <v>4</v>
      </c>
      <c r="B50" s="11" t="inlineStr">
        <is>
          <t>C. HSE &amp; SAFETY</t>
        </is>
      </c>
      <c r="C50" s="11" t="inlineStr">
        <is>
          <t>C1. Medical</t>
        </is>
      </c>
      <c r="D50" s="11" t="inlineStr">
        <is>
          <t>Tim Medis Incl. Ambulance</t>
        </is>
      </c>
      <c r="E50" s="11" t="inlineStr">
        <is>
          <t>unit</t>
        </is>
      </c>
      <c r="F50" s="11" t="inlineStr">
        <is>
          <t>day</t>
        </is>
      </c>
      <c r="G50" s="8" t="n">
        <v>1650000</v>
      </c>
      <c r="H50" s="8" t="n">
        <v>2200000</v>
      </c>
      <c r="I50" s="12" t="inlineStr">
        <is>
          <t>8 jam</t>
        </is>
      </c>
    </row>
    <row r="51" ht="15" customHeight="1">
      <c r="A51" s="6" t="n">
        <v>5</v>
      </c>
      <c r="B51" s="7" t="inlineStr">
        <is>
          <t>C. HSE &amp; SAFETY</t>
        </is>
      </c>
      <c r="C51" s="7" t="inlineStr">
        <is>
          <t>C1. Medical</t>
        </is>
      </c>
      <c r="D51" s="7" t="inlineStr">
        <is>
          <t>Mini ICU Setup</t>
        </is>
      </c>
      <c r="E51" s="7" t="inlineStr">
        <is>
          <t>pckg</t>
        </is>
      </c>
      <c r="F51" s="7" t="inlineStr">
        <is>
          <t>event</t>
        </is>
      </c>
      <c r="G51" s="8" t="n">
        <v>7500000</v>
      </c>
      <c r="H51" s="8" t="n">
        <v>10000000</v>
      </c>
      <c r="I51" s="9" t="inlineStr"/>
    </row>
    <row r="52" ht="16" customHeight="1">
      <c r="A52" s="5" t="inlineStr">
        <is>
          <t xml:space="preserve">  C2. Pemadam &amp; HSE</t>
        </is>
      </c>
    </row>
    <row r="53" ht="15" customHeight="1">
      <c r="A53" s="6" t="n">
        <v>1</v>
      </c>
      <c r="B53" s="7" t="inlineStr">
        <is>
          <t>C. HSE &amp; SAFETY</t>
        </is>
      </c>
      <c r="C53" s="7" t="inlineStr">
        <is>
          <t>C2. Pemadam &amp; HSE</t>
        </is>
      </c>
      <c r="D53" s="7" t="inlineStr">
        <is>
          <t>Damkar</t>
        </is>
      </c>
      <c r="E53" s="7" t="inlineStr">
        <is>
          <t>unit</t>
        </is>
      </c>
      <c r="F53" s="7" t="inlineStr">
        <is>
          <t>day</t>
        </is>
      </c>
      <c r="G53" s="8" t="n">
        <v>3000000</v>
      </c>
      <c r="H53" s="8" t="n">
        <v>4750000</v>
      </c>
      <c r="I53" s="9" t="inlineStr">
        <is>
          <t>1 unit standby</t>
        </is>
      </c>
    </row>
    <row r="54" ht="15" customHeight="1">
      <c r="A54" s="10" t="n">
        <v>2</v>
      </c>
      <c r="B54" s="11" t="inlineStr">
        <is>
          <t>C. HSE &amp; SAFETY</t>
        </is>
      </c>
      <c r="C54" s="11" t="inlineStr">
        <is>
          <t>C2. Pemadam &amp; HSE</t>
        </is>
      </c>
      <c r="D54" s="11" t="inlineStr">
        <is>
          <t>Rain Master</t>
        </is>
      </c>
      <c r="E54" s="11" t="inlineStr">
        <is>
          <t>pckg</t>
        </is>
      </c>
      <c r="F54" s="11" t="inlineStr">
        <is>
          <t>day</t>
        </is>
      </c>
      <c r="G54" s="8" t="n">
        <v>750000</v>
      </c>
      <c r="H54" s="8" t="n">
        <v>1000000</v>
      </c>
      <c r="I54" s="12" t="inlineStr">
        <is>
          <t>pawang hujan</t>
        </is>
      </c>
    </row>
    <row r="55" ht="15" customHeight="1">
      <c r="A55" s="6" t="n">
        <v>3</v>
      </c>
      <c r="B55" s="7" t="inlineStr">
        <is>
          <t>C. HSE &amp; SAFETY</t>
        </is>
      </c>
      <c r="C55" s="7" t="inlineStr">
        <is>
          <t>C2. Pemadam &amp; HSE</t>
        </is>
      </c>
      <c r="D55" s="7" t="inlineStr">
        <is>
          <t>Safety &amp; Security Plan</t>
        </is>
      </c>
      <c r="E55" s="7" t="inlineStr">
        <is>
          <t>pckg</t>
        </is>
      </c>
      <c r="F55" s="7" t="inlineStr">
        <is>
          <t>project</t>
        </is>
      </c>
      <c r="G55" s="8" t="n">
        <v>8000000</v>
      </c>
      <c r="H55" s="8" t="n">
        <v>12000000</v>
      </c>
      <c r="I55" s="9" t="inlineStr">
        <is>
          <t>dokumen risk assessment</t>
        </is>
      </c>
    </row>
    <row r="56" ht="15" customHeight="1">
      <c r="A56" s="10" t="n">
        <v>4</v>
      </c>
      <c r="B56" s="11" t="inlineStr">
        <is>
          <t>C. HSE &amp; SAFETY</t>
        </is>
      </c>
      <c r="C56" s="11" t="inlineStr">
        <is>
          <t>C2. Pemadam &amp; HSE</t>
        </is>
      </c>
      <c r="D56" s="11" t="inlineStr">
        <is>
          <t>Crowd Management Plan</t>
        </is>
      </c>
      <c r="E56" s="11" t="inlineStr">
        <is>
          <t>pckg</t>
        </is>
      </c>
      <c r="F56" s="11" t="inlineStr">
        <is>
          <t>project</t>
        </is>
      </c>
      <c r="G56" s="8" t="n">
        <v>6000000</v>
      </c>
      <c r="H56" s="8" t="n">
        <v>8000000</v>
      </c>
      <c r="I56" s="12" t="inlineStr">
        <is>
          <t>incl. audience flow</t>
        </is>
      </c>
    </row>
    <row r="57" ht="16" customHeight="1">
      <c r="A57" s="5" t="inlineStr">
        <is>
          <t xml:space="preserve">  C3. Pengamanan (Personil)</t>
        </is>
      </c>
    </row>
    <row r="58" ht="15" customHeight="1">
      <c r="A58" s="6" t="n">
        <v>1</v>
      </c>
      <c r="B58" s="7" t="inlineStr">
        <is>
          <t>C. HSE &amp; SAFETY</t>
        </is>
      </c>
      <c r="C58" s="7" t="inlineStr">
        <is>
          <t>C3. Pengamanan (Personil)</t>
        </is>
      </c>
      <c r="D58" s="7" t="inlineStr">
        <is>
          <t>PASPAMPRES</t>
        </is>
      </c>
      <c r="E58" s="7" t="inlineStr">
        <is>
          <t>pckg</t>
        </is>
      </c>
      <c r="F58" s="7" t="inlineStr">
        <is>
          <t>event</t>
        </is>
      </c>
      <c r="G58" s="8" t="n">
        <v>10000000</v>
      </c>
      <c r="H58" s="8" t="n">
        <v>13500000</v>
      </c>
      <c r="I58" s="9" t="inlineStr">
        <is>
          <t>paket full</t>
        </is>
      </c>
    </row>
    <row r="59" ht="15" customHeight="1">
      <c r="A59" s="10" t="n">
        <v>2</v>
      </c>
      <c r="B59" s="11" t="inlineStr">
        <is>
          <t>C. HSE &amp; SAFETY</t>
        </is>
      </c>
      <c r="C59" s="11" t="inlineStr">
        <is>
          <t>C3. Pengamanan (Personil)</t>
        </is>
      </c>
      <c r="D59" s="11" t="inlineStr">
        <is>
          <t>PASPAMPRES - Advance</t>
        </is>
      </c>
      <c r="E59" s="11" t="inlineStr">
        <is>
          <t>pckg</t>
        </is>
      </c>
      <c r="F59" s="11" t="inlineStr">
        <is>
          <t>event</t>
        </is>
      </c>
      <c r="G59" s="8" t="n">
        <v>10000000</v>
      </c>
      <c r="H59" s="8" t="n">
        <v>12000000</v>
      </c>
      <c r="I59" s="12" t="inlineStr"/>
    </row>
    <row r="60" ht="15" customHeight="1">
      <c r="A60" s="6" t="n">
        <v>3</v>
      </c>
      <c r="B60" s="7" t="inlineStr">
        <is>
          <t>C. HSE &amp; SAFETY</t>
        </is>
      </c>
      <c r="C60" s="7" t="inlineStr">
        <is>
          <t>C3. Pengamanan (Personil)</t>
        </is>
      </c>
      <c r="D60" s="7" t="inlineStr">
        <is>
          <t>PASPAMPRES - Deteksi</t>
        </is>
      </c>
      <c r="E60" s="7" t="inlineStr">
        <is>
          <t>pckg</t>
        </is>
      </c>
      <c r="F60" s="7" t="inlineStr">
        <is>
          <t>event</t>
        </is>
      </c>
      <c r="G60" s="8" t="n">
        <v>10000000</v>
      </c>
      <c r="H60" s="8" t="n">
        <v>12000000</v>
      </c>
      <c r="I60" s="9" t="inlineStr"/>
    </row>
    <row r="61" ht="15" customHeight="1">
      <c r="A61" s="10" t="n">
        <v>4</v>
      </c>
      <c r="B61" s="11" t="inlineStr">
        <is>
          <t>C. HSE &amp; SAFETY</t>
        </is>
      </c>
      <c r="C61" s="11" t="inlineStr">
        <is>
          <t>C3. Pengamanan (Personil)</t>
        </is>
      </c>
      <c r="D61" s="11" t="inlineStr">
        <is>
          <t>PASPAMPRES - Main Group</t>
        </is>
      </c>
      <c r="E61" s="11" t="inlineStr">
        <is>
          <t>pckg</t>
        </is>
      </c>
      <c r="F61" s="11" t="inlineStr">
        <is>
          <t>event</t>
        </is>
      </c>
      <c r="G61" s="8" t="n">
        <v>10000000</v>
      </c>
      <c r="H61" s="8" t="n">
        <v>12000000</v>
      </c>
      <c r="I61" s="12" t="inlineStr"/>
    </row>
    <row r="62" ht="15" customHeight="1">
      <c r="A62" s="6" t="n">
        <v>5</v>
      </c>
      <c r="B62" s="7" t="inlineStr">
        <is>
          <t>C. HSE &amp; SAFETY</t>
        </is>
      </c>
      <c r="C62" s="7" t="inlineStr">
        <is>
          <t>C3. Pengamanan (Personil)</t>
        </is>
      </c>
      <c r="D62" s="7" t="inlineStr">
        <is>
          <t>Internal Security (Non Ormas)</t>
        </is>
      </c>
      <c r="E62" s="7" t="inlineStr">
        <is>
          <t>prsn</t>
        </is>
      </c>
      <c r="F62" s="7" t="inlineStr">
        <is>
          <t>day</t>
        </is>
      </c>
      <c r="G62" s="8" t="n">
        <v>400000</v>
      </c>
      <c r="H62" s="8" t="n">
        <v>500000</v>
      </c>
      <c r="I62" s="9" t="inlineStr"/>
    </row>
    <row r="63" ht="15" customHeight="1">
      <c r="A63" s="10" t="n">
        <v>6</v>
      </c>
      <c r="B63" s="11" t="inlineStr">
        <is>
          <t>C. HSE &amp; SAFETY</t>
        </is>
      </c>
      <c r="C63" s="11" t="inlineStr">
        <is>
          <t>C3. Pengamanan (Personil)</t>
        </is>
      </c>
      <c r="D63" s="11" t="inlineStr">
        <is>
          <t>Internal Guard / Body Guard</t>
        </is>
      </c>
      <c r="E63" s="11" t="inlineStr">
        <is>
          <t>prsn</t>
        </is>
      </c>
      <c r="F63" s="11" t="inlineStr">
        <is>
          <t>day</t>
        </is>
      </c>
      <c r="G63" s="8" t="n">
        <v>400000</v>
      </c>
      <c r="H63" s="8" t="n">
        <v>550000</v>
      </c>
      <c r="I63" s="12" t="inlineStr">
        <is>
          <t>non ormas</t>
        </is>
      </c>
    </row>
    <row r="64" ht="15" customHeight="1">
      <c r="A64" s="6" t="n">
        <v>7</v>
      </c>
      <c r="B64" s="7" t="inlineStr">
        <is>
          <t>C. HSE &amp; SAFETY</t>
        </is>
      </c>
      <c r="C64" s="7" t="inlineStr">
        <is>
          <t>C3. Pengamanan (Personil)</t>
        </is>
      </c>
      <c r="D64" s="7" t="inlineStr">
        <is>
          <t>Security / Internal Guard</t>
        </is>
      </c>
      <c r="E64" s="7" t="inlineStr">
        <is>
          <t>prsn</t>
        </is>
      </c>
      <c r="F64" s="7" t="inlineStr">
        <is>
          <t>day</t>
        </is>
      </c>
      <c r="G64" s="8" t="n">
        <v>400000</v>
      </c>
      <c r="H64" s="8" t="n">
        <v>550000</v>
      </c>
      <c r="I64" s="9" t="inlineStr"/>
    </row>
    <row r="65" ht="15" customHeight="1">
      <c r="A65" s="10" t="n">
        <v>8</v>
      </c>
      <c r="B65" s="11" t="inlineStr">
        <is>
          <t>C. HSE &amp; SAFETY</t>
        </is>
      </c>
      <c r="C65" s="11" t="inlineStr">
        <is>
          <t>C3. Pengamanan (Personil)</t>
        </is>
      </c>
      <c r="D65" s="11" t="inlineStr">
        <is>
          <t>Akomodasi Team Security</t>
        </is>
      </c>
      <c r="E65" s="11" t="inlineStr">
        <is>
          <t>room</t>
        </is>
      </c>
      <c r="F65" s="11" t="inlineStr">
        <is>
          <t>night</t>
        </is>
      </c>
      <c r="G65" s="8" t="n">
        <v>750000</v>
      </c>
      <c r="H65" s="8" t="n">
        <v>1000000</v>
      </c>
      <c r="I65" s="12" t="inlineStr">
        <is>
          <t>per room</t>
        </is>
      </c>
    </row>
    <row r="66" ht="15" customHeight="1">
      <c r="A66" s="6" t="n">
        <v>9</v>
      </c>
      <c r="B66" s="7" t="inlineStr">
        <is>
          <t>C. HSE &amp; SAFETY</t>
        </is>
      </c>
      <c r="C66" s="7" t="inlineStr">
        <is>
          <t>C3. Pengamanan (Personil)</t>
        </is>
      </c>
      <c r="D66" s="7" t="inlineStr">
        <is>
          <t>RI-1 Requirement Items (Presiden)</t>
        </is>
      </c>
      <c r="E66" s="7" t="inlineStr">
        <is>
          <t>pckg</t>
        </is>
      </c>
      <c r="F66" s="7" t="inlineStr">
        <is>
          <t>event</t>
        </is>
      </c>
      <c r="G66" s="8" t="n">
        <v>10000000</v>
      </c>
      <c r="H66" s="8" t="n">
        <v>13500000</v>
      </c>
      <c r="I66" s="9" t="inlineStr">
        <is>
          <t>kebutuhan protokol istana</t>
        </is>
      </c>
    </row>
    <row r="67" ht="16" customHeight="1">
      <c r="A67" s="5" t="inlineStr">
        <is>
          <t xml:space="preserve">  C4. Peralatan &amp; Equipment HSE</t>
        </is>
      </c>
    </row>
    <row r="68" ht="15" customHeight="1">
      <c r="A68" s="6" t="n">
        <v>1</v>
      </c>
      <c r="B68" s="7" t="inlineStr">
        <is>
          <t>C. HSE &amp; SAFETY</t>
        </is>
      </c>
      <c r="C68" s="7" t="inlineStr">
        <is>
          <t>C4. Peralatan &amp; Equipment HSE</t>
        </is>
      </c>
      <c r="D68" s="7" t="inlineStr">
        <is>
          <t>Secdoor</t>
        </is>
      </c>
      <c r="E68" s="7" t="inlineStr">
        <is>
          <t>unit</t>
        </is>
      </c>
      <c r="F68" s="7" t="inlineStr">
        <is>
          <t>day</t>
        </is>
      </c>
      <c r="G68" s="8" t="n">
        <v>1500000</v>
      </c>
      <c r="H68" s="8" t="n">
        <v>2000000</v>
      </c>
      <c r="I68" s="9" t="inlineStr">
        <is>
          <t>per unit per hari</t>
        </is>
      </c>
    </row>
    <row r="69" ht="15" customHeight="1">
      <c r="A69" s="10" t="n">
        <v>2</v>
      </c>
      <c r="B69" s="11" t="inlineStr">
        <is>
          <t>C. HSE &amp; SAFETY</t>
        </is>
      </c>
      <c r="C69" s="11" t="inlineStr">
        <is>
          <t>C4. Peralatan &amp; Equipment HSE</t>
        </is>
      </c>
      <c r="D69" s="11" t="inlineStr">
        <is>
          <t>X-Ray Machine</t>
        </is>
      </c>
      <c r="E69" s="11" t="inlineStr">
        <is>
          <t>unit</t>
        </is>
      </c>
      <c r="F69" s="11" t="inlineStr">
        <is>
          <t>day</t>
        </is>
      </c>
      <c r="G69" s="8" t="n">
        <v>5500000</v>
      </c>
      <c r="H69" s="8" t="n">
        <v>7000000</v>
      </c>
      <c r="I69" s="12" t="inlineStr">
        <is>
          <t>per unit per hari</t>
        </is>
      </c>
    </row>
    <row r="70" ht="15" customHeight="1">
      <c r="A70" s="6" t="n">
        <v>3</v>
      </c>
      <c r="B70" s="7" t="inlineStr">
        <is>
          <t>C. HSE &amp; SAFETY</t>
        </is>
      </c>
      <c r="C70" s="7" t="inlineStr">
        <is>
          <t>C4. Peralatan &amp; Equipment HSE</t>
        </is>
      </c>
      <c r="D70" s="7" t="inlineStr">
        <is>
          <t>Scanner Carribe (registrasi)</t>
        </is>
      </c>
      <c r="E70" s="7" t="inlineStr">
        <is>
          <t>unit</t>
        </is>
      </c>
      <c r="F70" s="7" t="inlineStr">
        <is>
          <t>day</t>
        </is>
      </c>
      <c r="G70" s="8" t="n">
        <v>250000</v>
      </c>
      <c r="H70" s="8" t="n">
        <v>350000</v>
      </c>
      <c r="I70" s="9" t="inlineStr">
        <is>
          <t>per unit per hari</t>
        </is>
      </c>
    </row>
    <row r="71" ht="15" customHeight="1">
      <c r="A71" s="10" t="n">
        <v>4</v>
      </c>
      <c r="B71" s="11" t="inlineStr">
        <is>
          <t>C. HSE &amp; SAFETY</t>
        </is>
      </c>
      <c r="C71" s="11" t="inlineStr">
        <is>
          <t>C4. Peralatan &amp; Equipment HSE</t>
        </is>
      </c>
      <c r="D71" s="11" t="inlineStr">
        <is>
          <t>Hologram / Legalisir Akses</t>
        </is>
      </c>
      <c r="E71" s="11" t="inlineStr">
        <is>
          <t>pcs</t>
        </is>
      </c>
      <c r="F71" s="11" t="inlineStr">
        <is>
          <t>event</t>
        </is>
      </c>
      <c r="G71" s="8" t="n">
        <v>2500000</v>
      </c>
      <c r="H71" s="8" t="n">
        <v>5000000</v>
      </c>
      <c r="I71" s="12" t="inlineStr">
        <is>
          <t>VIP, panitia, peserta</t>
        </is>
      </c>
    </row>
    <row r="72" ht="15" customHeight="1">
      <c r="A72" s="6" t="n">
        <v>5</v>
      </c>
      <c r="B72" s="7" t="inlineStr">
        <is>
          <t>C. HSE &amp; SAFETY</t>
        </is>
      </c>
      <c r="C72" s="7" t="inlineStr">
        <is>
          <t>C4. Peralatan &amp; Equipment HSE</t>
        </is>
      </c>
      <c r="D72" s="7" t="inlineStr">
        <is>
          <t>Hologram Sticker (per pcs)</t>
        </is>
      </c>
      <c r="E72" s="7" t="inlineStr">
        <is>
          <t>pcs</t>
        </is>
      </c>
      <c r="F72" s="7" t="inlineStr">
        <is>
          <t>event</t>
        </is>
      </c>
      <c r="G72" s="8" t="n">
        <v>2500</v>
      </c>
      <c r="H72" s="8" t="n">
        <v>5000</v>
      </c>
      <c r="I72" s="9" t="inlineStr"/>
    </row>
    <row r="73" ht="15" customHeight="1">
      <c r="A73" s="10" t="n">
        <v>6</v>
      </c>
      <c r="B73" s="11" t="inlineStr">
        <is>
          <t>C. HSE &amp; SAFETY</t>
        </is>
      </c>
      <c r="C73" s="11" t="inlineStr">
        <is>
          <t>C4. Peralatan &amp; Equipment HSE</t>
        </is>
      </c>
      <c r="D73" s="11" t="inlineStr">
        <is>
          <t>Social Mapping</t>
        </is>
      </c>
      <c r="E73" s="11" t="inlineStr">
        <is>
          <t>pckg</t>
        </is>
      </c>
      <c r="F73" s="11" t="inlineStr">
        <is>
          <t>event</t>
        </is>
      </c>
      <c r="G73" s="8" t="n">
        <v>700000</v>
      </c>
      <c r="H73" s="8" t="n">
        <v>1000000</v>
      </c>
      <c r="I73" s="12" t="inlineStr"/>
    </row>
    <row r="74" ht="15" customHeight="1">
      <c r="A74" s="6" t="n">
        <v>7</v>
      </c>
      <c r="B74" s="7" t="inlineStr">
        <is>
          <t>C. HSE &amp; SAFETY</t>
        </is>
      </c>
      <c r="C74" s="7" t="inlineStr">
        <is>
          <t>C4. Peralatan &amp; Equipment HSE</t>
        </is>
      </c>
      <c r="D74" s="7" t="inlineStr">
        <is>
          <t>Portable Toilet (Single Cabin)</t>
        </is>
      </c>
      <c r="E74" s="7" t="inlineStr">
        <is>
          <t>unit</t>
        </is>
      </c>
      <c r="F74" s="7" t="inlineStr">
        <is>
          <t>day</t>
        </is>
      </c>
      <c r="G74" s="8" t="n">
        <v>2250000</v>
      </c>
      <c r="H74" s="8" t="n">
        <v>2750000</v>
      </c>
      <c r="I74" s="9" t="inlineStr"/>
    </row>
    <row r="75" ht="15" customHeight="1">
      <c r="A75" s="10" t="n">
        <v>8</v>
      </c>
      <c r="B75" s="11" t="inlineStr">
        <is>
          <t>C. HSE &amp; SAFETY</t>
        </is>
      </c>
      <c r="C75" s="11" t="inlineStr">
        <is>
          <t>C4. Peralatan &amp; Equipment HSE</t>
        </is>
      </c>
      <c r="D75" s="11" t="inlineStr">
        <is>
          <t>Portable Toilet VIP</t>
        </is>
      </c>
      <c r="E75" s="11" t="inlineStr">
        <is>
          <t>unit</t>
        </is>
      </c>
      <c r="F75" s="11" t="inlineStr">
        <is>
          <t>day</t>
        </is>
      </c>
      <c r="G75" s="8" t="n">
        <v>2500000</v>
      </c>
      <c r="H75" s="8" t="n">
        <v>3500000</v>
      </c>
      <c r="I75" s="12" t="inlineStr">
        <is>
          <t>AC, wastafel, full service</t>
        </is>
      </c>
    </row>
    <row r="76"/>
    <row r="77" ht="18" customHeight="1">
      <c r="A77" s="15" t="inlineStr">
        <is>
          <t>D. VENUE SETUP &amp; SYSTEM</t>
        </is>
      </c>
    </row>
    <row r="78" ht="16" customHeight="1">
      <c r="A78" s="5" t="inlineStr">
        <is>
          <t xml:space="preserve">  D1. Sewa Venue</t>
        </is>
      </c>
    </row>
    <row r="79" ht="15" customHeight="1">
      <c r="A79" s="10" t="n">
        <v>1</v>
      </c>
      <c r="B79" s="11" t="inlineStr">
        <is>
          <t>D. VENUE SETUP &amp; SYSTEM</t>
        </is>
      </c>
      <c r="C79" s="11" t="inlineStr">
        <is>
          <t>D1. Sewa Venue</t>
        </is>
      </c>
      <c r="D79" s="11" t="inlineStr">
        <is>
          <t>Sewa Venue (Indoor / Ballroom)</t>
        </is>
      </c>
      <c r="E79" s="11" t="inlineStr">
        <is>
          <t>pckg</t>
        </is>
      </c>
      <c r="F79" s="11" t="inlineStr">
        <is>
          <t>day</t>
        </is>
      </c>
      <c r="G79" s="8" t="n"/>
      <c r="H79" s="8" t="n"/>
      <c r="I79" s="12" t="inlineStr">
        <is>
          <t>Per hari, by client/venue — Sering by client — isi 0 jika disediakan klien</t>
        </is>
      </c>
    </row>
    <row r="80" ht="15" customHeight="1">
      <c r="A80" s="6" t="n">
        <v>2</v>
      </c>
      <c r="B80" s="7" t="inlineStr">
        <is>
          <t>D. VENUE SETUP &amp; SYSTEM</t>
        </is>
      </c>
      <c r="C80" s="7" t="inlineStr">
        <is>
          <t>D1. Sewa Venue</t>
        </is>
      </c>
      <c r="D80" s="7" t="inlineStr">
        <is>
          <t>Sewa Venue (Outdoor / Lapangan)</t>
        </is>
      </c>
      <c r="E80" s="7" t="inlineStr">
        <is>
          <t>pckg</t>
        </is>
      </c>
      <c r="F80" s="7" t="inlineStr">
        <is>
          <t>day</t>
        </is>
      </c>
      <c r="G80" s="8" t="n"/>
      <c r="H80" s="8" t="n"/>
      <c r="I80" s="9" t="inlineStr">
        <is>
          <t>Per hari, by client/venue — Sering by client — isi 0 jika disediakan klien</t>
        </is>
      </c>
    </row>
    <row r="81" ht="15" customHeight="1">
      <c r="A81" s="10" t="n">
        <v>3</v>
      </c>
      <c r="B81" s="11" t="inlineStr">
        <is>
          <t>D. VENUE SETUP &amp; SYSTEM</t>
        </is>
      </c>
      <c r="C81" s="11" t="inlineStr">
        <is>
          <t>D1. Sewa Venue</t>
        </is>
      </c>
      <c r="D81" s="11" t="inlineStr">
        <is>
          <t>Sewa Venue Loading Day</t>
        </is>
      </c>
      <c r="E81" s="11" t="inlineStr">
        <is>
          <t>pckg</t>
        </is>
      </c>
      <c r="F81" s="11" t="inlineStr">
        <is>
          <t>day</t>
        </is>
      </c>
      <c r="G81" s="8" t="n"/>
      <c r="H81" s="8" t="n"/>
      <c r="I81" s="12" t="inlineStr">
        <is>
          <t>Per hari loading in/out — Kadang gratis, kadang berbayar</t>
        </is>
      </c>
    </row>
    <row r="82" ht="15" customHeight="1">
      <c r="A82" s="6" t="n">
        <v>4</v>
      </c>
      <c r="B82" s="7" t="inlineStr">
        <is>
          <t>D. VENUE SETUP &amp; SYSTEM</t>
        </is>
      </c>
      <c r="C82" s="7" t="inlineStr">
        <is>
          <t>D1. Sewa Venue</t>
        </is>
      </c>
      <c r="D82" s="7" t="inlineStr">
        <is>
          <t>Venue Technical Support</t>
        </is>
      </c>
      <c r="E82" s="7" t="inlineStr">
        <is>
          <t>pckg</t>
        </is>
      </c>
      <c r="F82" s="7" t="inlineStr">
        <is>
          <t>event</t>
        </is>
      </c>
      <c r="G82" s="8" t="n">
        <v>5000000</v>
      </c>
      <c r="H82" s="8" t="n">
        <v>10000000</v>
      </c>
      <c r="I82" s="9" t="inlineStr">
        <is>
          <t>Tim supporting venue/gedung — Istiqlal, venue khusus</t>
        </is>
      </c>
    </row>
    <row r="83" ht="15" customHeight="1">
      <c r="A83" s="10" t="n">
        <v>5</v>
      </c>
      <c r="B83" s="11" t="inlineStr">
        <is>
          <t>D. VENUE SETUP &amp; SYSTEM</t>
        </is>
      </c>
      <c r="C83" s="11" t="inlineStr">
        <is>
          <t>D1. Sewa Venue</t>
        </is>
      </c>
      <c r="D83" s="11" t="inlineStr">
        <is>
          <t>Venue Dressing Room / Backstage</t>
        </is>
      </c>
      <c r="E83" s="11" t="inlineStr">
        <is>
          <t>pckg</t>
        </is>
      </c>
      <c r="F83" s="11" t="inlineStr">
        <is>
          <t>event</t>
        </is>
      </c>
      <c r="G83" s="8" t="n"/>
      <c r="H83" s="8" t="n"/>
      <c r="I83" s="12" t="inlineStr">
        <is>
          <t>Per event jika berbayar</t>
        </is>
      </c>
    </row>
    <row r="84" ht="15" customHeight="1">
      <c r="A84" s="6" t="n">
        <v>6</v>
      </c>
      <c r="B84" s="7" t="inlineStr">
        <is>
          <t>D. VENUE SETUP &amp; SYSTEM</t>
        </is>
      </c>
      <c r="C84" s="7" t="inlineStr">
        <is>
          <t>D1. Sewa Venue</t>
        </is>
      </c>
      <c r="D84" s="7" t="inlineStr">
        <is>
          <t>Parking Area Management</t>
        </is>
      </c>
      <c r="E84" s="7" t="inlineStr">
        <is>
          <t>pckg</t>
        </is>
      </c>
      <c r="F84" s="7" t="inlineStr">
        <is>
          <t>event</t>
        </is>
      </c>
      <c r="G84" s="8" t="n"/>
      <c r="H84" s="8" t="n">
        <v>15000000</v>
      </c>
      <c r="I84" s="9" t="inlineStr">
        <is>
          <t>Bayar EO ke pengelola parkir — Tergantung lokasi</t>
        </is>
      </c>
    </row>
    <row r="85" ht="15" customHeight="1">
      <c r="A85" s="10" t="n">
        <v>7</v>
      </c>
      <c r="B85" s="11" t="inlineStr">
        <is>
          <t>D. VENUE SETUP &amp; SYSTEM</t>
        </is>
      </c>
      <c r="C85" s="11" t="inlineStr">
        <is>
          <t>D1. Sewa Venue</t>
        </is>
      </c>
      <c r="D85" s="11" t="inlineStr">
        <is>
          <t>Sound Check / GR Venue Fee</t>
        </is>
      </c>
      <c r="E85" s="11" t="inlineStr">
        <is>
          <t>pckg</t>
        </is>
      </c>
      <c r="F85" s="11" t="inlineStr">
        <is>
          <t>day</t>
        </is>
      </c>
      <c r="G85" s="8" t="n"/>
      <c r="H85" s="8" t="n"/>
      <c r="I85" s="12" t="inlineStr">
        <is>
          <t>Biaya GR di venue (jika ada) — Beberapa venue charge terpisah</t>
        </is>
      </c>
    </row>
    <row r="86" ht="15" customHeight="1">
      <c r="A86" s="5" t="inlineStr">
        <is>
          <t xml:space="preserve">  D2. Stage</t>
        </is>
      </c>
    </row>
    <row r="87" ht="15" customHeight="1">
      <c r="A87" s="6" t="n">
        <v>1</v>
      </c>
      <c r="B87" s="7" t="inlineStr">
        <is>
          <t>D. VENUE SETUP &amp; SYSTEM</t>
        </is>
      </c>
      <c r="C87" s="7" t="inlineStr">
        <is>
          <t>D2. Stage</t>
        </is>
      </c>
      <c r="D87" s="7" t="inlineStr">
        <is>
          <t>Stage 6x8m (Trust 60 + Lidah)</t>
        </is>
      </c>
      <c r="E87" s="7" t="inlineStr">
        <is>
          <t>pckg</t>
        </is>
      </c>
      <c r="F87" s="7" t="inlineStr">
        <is>
          <t>day</t>
        </is>
      </c>
      <c r="G87" s="8" t="n">
        <v>4500000</v>
      </c>
      <c r="H87" s="8" t="n">
        <v>6000000</v>
      </c>
      <c r="I87" s="9" t="inlineStr">
        <is>
          <t>rigging system</t>
        </is>
      </c>
    </row>
    <row r="88" ht="15" customHeight="1">
      <c r="A88" s="10" t="n">
        <v>2</v>
      </c>
      <c r="B88" s="11" t="inlineStr">
        <is>
          <t>D. VENUE SETUP &amp; SYSTEM</t>
        </is>
      </c>
      <c r="C88" s="11" t="inlineStr">
        <is>
          <t>D2. Stage</t>
        </is>
      </c>
      <c r="D88" s="11" t="inlineStr">
        <is>
          <t>Stage 8x10m (Trust 60 + Lidah)</t>
        </is>
      </c>
      <c r="E88" s="11" t="inlineStr">
        <is>
          <t>pckg</t>
        </is>
      </c>
      <c r="F88" s="11" t="inlineStr">
        <is>
          <t>day</t>
        </is>
      </c>
      <c r="G88" s="8" t="n">
        <v>6500000</v>
      </c>
      <c r="H88" s="8" t="n">
        <v>9000000</v>
      </c>
      <c r="I88" s="12" t="inlineStr">
        <is>
          <t>rigging system</t>
        </is>
      </c>
    </row>
    <row r="89" ht="15" customHeight="1">
      <c r="A89" s="6" t="n">
        <v>3</v>
      </c>
      <c r="B89" s="7" t="inlineStr">
        <is>
          <t>D. VENUE SETUP &amp; SYSTEM</t>
        </is>
      </c>
      <c r="C89" s="7" t="inlineStr">
        <is>
          <t>D2. Stage</t>
        </is>
      </c>
      <c r="D89" s="7" t="inlineStr">
        <is>
          <t>Stage 10x12m (Trust 60 + Lidah)</t>
        </is>
      </c>
      <c r="E89" s="7" t="inlineStr">
        <is>
          <t>pckg</t>
        </is>
      </c>
      <c r="F89" s="7" t="inlineStr">
        <is>
          <t>day</t>
        </is>
      </c>
      <c r="G89" s="8" t="n">
        <v>9000000</v>
      </c>
      <c r="H89" s="8" t="n">
        <v>12000000</v>
      </c>
      <c r="I89" s="9" t="inlineStr">
        <is>
          <t>rigging system</t>
        </is>
      </c>
    </row>
    <row r="90" ht="15" customHeight="1">
      <c r="A90" s="10" t="n">
        <v>4</v>
      </c>
      <c r="B90" s="11" t="inlineStr">
        <is>
          <t>D. VENUE SETUP &amp; SYSTEM</t>
        </is>
      </c>
      <c r="C90" s="11" t="inlineStr">
        <is>
          <t>D2. Stage</t>
        </is>
      </c>
      <c r="D90" s="11" t="inlineStr">
        <is>
          <t>Stage 12x14m (Trust 60 + Lidah)</t>
        </is>
      </c>
      <c r="E90" s="11" t="inlineStr">
        <is>
          <t>pckg</t>
        </is>
      </c>
      <c r="F90" s="11" t="inlineStr">
        <is>
          <t>day</t>
        </is>
      </c>
      <c r="G90" s="8" t="n">
        <v>12000000</v>
      </c>
      <c r="H90" s="8" t="n">
        <v>17000000</v>
      </c>
      <c r="I90" s="12" t="inlineStr">
        <is>
          <t>rigging system</t>
        </is>
      </c>
    </row>
    <row r="91" ht="15" customHeight="1">
      <c r="A91" s="6" t="n">
        <v>5</v>
      </c>
      <c r="B91" s="7" t="inlineStr">
        <is>
          <t>D. VENUE SETUP &amp; SYSTEM</t>
        </is>
      </c>
      <c r="C91" s="7" t="inlineStr">
        <is>
          <t>D2. Stage</t>
        </is>
      </c>
      <c r="D91" s="7" t="inlineStr">
        <is>
          <t>Stage Orchestra 10x8 H1.6</t>
        </is>
      </c>
      <c r="E91" s="7" t="inlineStr">
        <is>
          <t>pckg</t>
        </is>
      </c>
      <c r="F91" s="7" t="inlineStr">
        <is>
          <t>day</t>
        </is>
      </c>
      <c r="G91" s="8" t="n">
        <v>40000000</v>
      </c>
      <c r="H91" s="8" t="n">
        <v>55000000</v>
      </c>
      <c r="I91" s="9" t="inlineStr">
        <is>
          <t>multiplek fin. melaminto</t>
        </is>
      </c>
    </row>
    <row r="92" ht="15" customHeight="1">
      <c r="A92" s="10" t="n">
        <v>6</v>
      </c>
      <c r="B92" s="11" t="inlineStr">
        <is>
          <t>D. VENUE SETUP &amp; SYSTEM</t>
        </is>
      </c>
      <c r="C92" s="11" t="inlineStr">
        <is>
          <t>D2. Stage</t>
        </is>
      </c>
      <c r="D92" s="11" t="inlineStr">
        <is>
          <t>Main Stage Indoor LT.1</t>
        </is>
      </c>
      <c r="E92" s="11" t="inlineStr">
        <is>
          <t>pckg</t>
        </is>
      </c>
      <c r="F92" s="11" t="inlineStr">
        <is>
          <t>event</t>
        </is>
      </c>
      <c r="G92" s="8" t="n">
        <v>140000000</v>
      </c>
      <c r="H92" s="8" t="n">
        <v>180000000</v>
      </c>
      <c r="I92" s="12" t="inlineStr">
        <is>
          <t>dim.610x1952 h.40cm</t>
        </is>
      </c>
    </row>
    <row r="93" ht="15" customHeight="1">
      <c r="A93" s="6" t="n">
        <v>7</v>
      </c>
      <c r="B93" s="7" t="inlineStr">
        <is>
          <t>D. VENUE SETUP &amp; SYSTEM</t>
        </is>
      </c>
      <c r="C93" s="7" t="inlineStr">
        <is>
          <t>D2. Stage</t>
        </is>
      </c>
      <c r="D93" s="7" t="inlineStr">
        <is>
          <t>FOH 5x5m (Single Deck)</t>
        </is>
      </c>
      <c r="E93" s="7" t="inlineStr">
        <is>
          <t>pckg</t>
        </is>
      </c>
      <c r="F93" s="7" t="inlineStr">
        <is>
          <t>day</t>
        </is>
      </c>
      <c r="G93" s="8" t="n">
        <v>2500000</v>
      </c>
      <c r="H93" s="8" t="n">
        <v>3500000</v>
      </c>
      <c r="I93" s="9" t="inlineStr">
        <is>
          <t>Trust 60</t>
        </is>
      </c>
    </row>
    <row r="94" ht="15" customHeight="1">
      <c r="A94" s="10" t="n">
        <v>8</v>
      </c>
      <c r="B94" s="11" t="inlineStr">
        <is>
          <t>D. VENUE SETUP &amp; SYSTEM</t>
        </is>
      </c>
      <c r="C94" s="11" t="inlineStr">
        <is>
          <t>D2. Stage</t>
        </is>
      </c>
      <c r="D94" s="11" t="inlineStr">
        <is>
          <t>FOH 6x4m (Single Deck)</t>
        </is>
      </c>
      <c r="E94" s="11" t="inlineStr">
        <is>
          <t>pckg</t>
        </is>
      </c>
      <c r="F94" s="11" t="inlineStr">
        <is>
          <t>day</t>
        </is>
      </c>
      <c r="G94" s="8" t="n">
        <v>3000000</v>
      </c>
      <c r="H94" s="8" t="n">
        <v>4500000</v>
      </c>
      <c r="I94" s="12" t="inlineStr">
        <is>
          <t>Trust 60</t>
        </is>
      </c>
    </row>
    <row r="95" ht="15" customHeight="1">
      <c r="A95" s="6" t="n">
        <v>9</v>
      </c>
      <c r="B95" s="7" t="inlineStr">
        <is>
          <t>D. VENUE SETUP &amp; SYSTEM</t>
        </is>
      </c>
      <c r="C95" s="7" t="inlineStr">
        <is>
          <t>D2. Stage</t>
        </is>
      </c>
      <c r="D95" s="7" t="inlineStr">
        <is>
          <t>Level 1 Stage / Front Lower</t>
        </is>
      </c>
      <c r="E95" s="7" t="inlineStr">
        <is>
          <t>set</t>
        </is>
      </c>
      <c r="F95" s="7" t="inlineStr">
        <is>
          <t>event</t>
        </is>
      </c>
      <c r="G95" s="8" t="n">
        <v>6000000</v>
      </c>
      <c r="H95" s="8" t="n">
        <v>8000000</v>
      </c>
      <c r="I95" s="9" t="inlineStr">
        <is>
          <t>854x122x20cm melaminto</t>
        </is>
      </c>
    </row>
    <row r="96" ht="16" customHeight="1">
      <c r="A96" s="10" t="n">
        <v>10</v>
      </c>
      <c r="B96" s="23" t="n"/>
      <c r="C96" s="23" t="n"/>
      <c r="D96" s="23" t="n"/>
      <c r="E96" s="23" t="n"/>
      <c r="F96" s="23" t="n"/>
      <c r="G96" s="23" t="n"/>
      <c r="H96" s="23" t="n"/>
      <c r="I96" s="24" t="n"/>
    </row>
    <row r="97" ht="15" customHeight="1">
      <c r="A97" s="6" t="n">
        <v>11</v>
      </c>
      <c r="B97" s="7" t="inlineStr">
        <is>
          <t>D. VENUE SETUP &amp; SYSTEM</t>
        </is>
      </c>
      <c r="C97" s="7" t="inlineStr">
        <is>
          <t>D2. Stage</t>
        </is>
      </c>
      <c r="D97" s="7" t="inlineStr">
        <is>
          <t>Level 3 Stage / Back Upper</t>
        </is>
      </c>
      <c r="E97" s="7" t="inlineStr">
        <is>
          <t>set</t>
        </is>
      </c>
      <c r="F97" s="7" t="inlineStr">
        <is>
          <t>event</t>
        </is>
      </c>
      <c r="G97" s="8" t="n">
        <v>5500000</v>
      </c>
      <c r="H97" s="8" t="n">
        <v>7000000</v>
      </c>
      <c r="I97" s="9" t="inlineStr">
        <is>
          <t>1220x60x60cm melaminto</t>
        </is>
      </c>
    </row>
    <row r="98" ht="15" customHeight="1">
      <c r="A98" s="10" t="n">
        <v>12</v>
      </c>
      <c r="B98" s="11" t="inlineStr">
        <is>
          <t>D. VENUE SETUP &amp; SYSTEM</t>
        </is>
      </c>
      <c r="C98" s="11" t="inlineStr">
        <is>
          <t>D2. Stage</t>
        </is>
      </c>
      <c r="D98" s="11" t="inlineStr">
        <is>
          <t>Band Stage</t>
        </is>
      </c>
      <c r="E98" s="11" t="inlineStr">
        <is>
          <t>set</t>
        </is>
      </c>
      <c r="F98" s="11" t="inlineStr">
        <is>
          <t>event</t>
        </is>
      </c>
      <c r="G98" s="8" t="n">
        <v>5500000</v>
      </c>
      <c r="H98" s="8" t="n">
        <v>7000000</v>
      </c>
      <c r="I98" s="12" t="inlineStr">
        <is>
          <t>366x366x10cm melaminto</t>
        </is>
      </c>
    </row>
    <row r="99" ht="15" customHeight="1">
      <c r="A99" s="6" t="n">
        <v>13</v>
      </c>
      <c r="B99" s="7" t="inlineStr">
        <is>
          <t>D. VENUE SETUP &amp; SYSTEM</t>
        </is>
      </c>
      <c r="C99" s="7" t="inlineStr">
        <is>
          <t>D2. Stage</t>
        </is>
      </c>
      <c r="D99" s="7" t="inlineStr">
        <is>
          <t>Choir Stage</t>
        </is>
      </c>
      <c r="E99" s="7" t="inlineStr">
        <is>
          <t>set</t>
        </is>
      </c>
      <c r="F99" s="7" t="inlineStr">
        <is>
          <t>event</t>
        </is>
      </c>
      <c r="G99" s="8" t="n">
        <v>7500000</v>
      </c>
      <c r="H99" s="8" t="n">
        <v>10000000</v>
      </c>
      <c r="I99" s="9" t="inlineStr">
        <is>
          <t>488x366x10cm 2 layer</t>
        </is>
      </c>
    </row>
    <row r="100" ht="15" customHeight="1">
      <c r="A100" s="10" t="n">
        <v>14</v>
      </c>
      <c r="B100" s="11" t="inlineStr">
        <is>
          <t>D. VENUE SETUP &amp; SYSTEM</t>
        </is>
      </c>
      <c r="C100" s="11" t="inlineStr">
        <is>
          <t>D2. Stage</t>
        </is>
      </c>
      <c r="D100" s="11" t="inlineStr">
        <is>
          <t>Camera Stage</t>
        </is>
      </c>
      <c r="E100" s="11" t="inlineStr">
        <is>
          <t>set</t>
        </is>
      </c>
      <c r="F100" s="11" t="inlineStr">
        <is>
          <t>event</t>
        </is>
      </c>
      <c r="G100" s="8" t="n">
        <v>2500000</v>
      </c>
      <c r="H100" s="8" t="n">
        <v>3500000</v>
      </c>
      <c r="I100" s="12" t="inlineStr">
        <is>
          <t>122x244x40cm</t>
        </is>
      </c>
    </row>
    <row r="101" ht="15" customHeight="1">
      <c r="A101" s="6" t="n">
        <v>15</v>
      </c>
      <c r="B101" s="7" t="inlineStr">
        <is>
          <t>D. VENUE SETUP &amp; SYSTEM</t>
        </is>
      </c>
      <c r="C101" s="7" t="inlineStr">
        <is>
          <t>D2. Stage</t>
        </is>
      </c>
      <c r="D101" s="7" t="inlineStr">
        <is>
          <t>Dekorasi Stage</t>
        </is>
      </c>
      <c r="E101" s="7" t="inlineStr">
        <is>
          <t>pckg</t>
        </is>
      </c>
      <c r="F101" s="7" t="inlineStr">
        <is>
          <t>event</t>
        </is>
      </c>
      <c r="G101" s="8" t="n">
        <v>5000000</v>
      </c>
      <c r="H101" s="8" t="n">
        <v>8000000</v>
      </c>
      <c r="I101" s="9" t="inlineStr">
        <is>
          <t>multiplek + sticker</t>
        </is>
      </c>
    </row>
    <row r="102" ht="15" customHeight="1">
      <c r="A102" s="10" t="n">
        <v>16</v>
      </c>
      <c r="B102" s="11" t="inlineStr">
        <is>
          <t>D. VENUE SETUP &amp; SYSTEM</t>
        </is>
      </c>
      <c r="C102" s="11" t="inlineStr">
        <is>
          <t>D2. Stage</t>
        </is>
      </c>
      <c r="D102" s="11" t="inlineStr">
        <is>
          <t>Black Curtain</t>
        </is>
      </c>
      <c r="E102" s="11" t="inlineStr">
        <is>
          <t>pckg</t>
        </is>
      </c>
      <c r="F102" s="11" t="inlineStr">
        <is>
          <t>event</t>
        </is>
      </c>
      <c r="G102" s="8" t="n">
        <v>16500000</v>
      </c>
      <c r="H102" s="8" t="n">
        <v>22000000</v>
      </c>
      <c r="I102" s="12" t="inlineStr">
        <is>
          <t>dim.10x20m</t>
        </is>
      </c>
    </row>
    <row r="103" ht="15" customHeight="1">
      <c r="A103" s="6" t="n">
        <v>17</v>
      </c>
      <c r="B103" s="7" t="inlineStr">
        <is>
          <t>D. VENUE SETUP &amp; SYSTEM</t>
        </is>
      </c>
      <c r="C103" s="7" t="inlineStr">
        <is>
          <t>D2. Stage</t>
        </is>
      </c>
      <c r="D103" s="7" t="inlineStr">
        <is>
          <t>Cover FOH</t>
        </is>
      </c>
      <c r="E103" s="7" t="inlineStr">
        <is>
          <t>set</t>
        </is>
      </c>
      <c r="F103" s="7" t="inlineStr">
        <is>
          <t>event</t>
        </is>
      </c>
      <c r="G103" s="8" t="n">
        <v>2500000</v>
      </c>
      <c r="H103" s="8" t="n">
        <v>3500000</v>
      </c>
      <c r="I103" s="9" t="inlineStr">
        <is>
          <t>122x854 kain hitam</t>
        </is>
      </c>
    </row>
    <row r="104" ht="15" customHeight="1">
      <c r="A104" s="5" t="inlineStr">
        <is>
          <t xml:space="preserve">  D3. LED Screen &amp; Visual</t>
        </is>
      </c>
    </row>
    <row r="105" ht="15" customHeight="1">
      <c r="A105" s="6" t="n">
        <v>1</v>
      </c>
      <c r="B105" s="7" t="inlineStr">
        <is>
          <t>D. VENUE SETUP &amp; SYSTEM</t>
        </is>
      </c>
      <c r="C105" s="7" t="inlineStr">
        <is>
          <t>D3. LED Screen &amp; Visual</t>
        </is>
      </c>
      <c r="D105" s="7" t="inlineStr">
        <is>
          <t>LED Screen P2.6 (per m2)</t>
        </is>
      </c>
      <c r="E105" s="7" t="inlineStr">
        <is>
          <t>m2</t>
        </is>
      </c>
      <c r="F105" s="7" t="inlineStr">
        <is>
          <t>day</t>
        </is>
      </c>
      <c r="G105" s="8" t="n">
        <v>500000</v>
      </c>
      <c r="H105" s="8" t="n">
        <v>800000</v>
      </c>
      <c r="I105" s="9" t="inlineStr">
        <is>
          <t>outdoor/indoor</t>
        </is>
      </c>
    </row>
    <row r="106" ht="15" customHeight="1">
      <c r="A106" s="10" t="n">
        <v>2</v>
      </c>
      <c r="B106" s="11" t="inlineStr">
        <is>
          <t>D. VENUE SETUP &amp; SYSTEM</t>
        </is>
      </c>
      <c r="C106" s="11" t="inlineStr">
        <is>
          <t>D3. LED Screen &amp; Visual</t>
        </is>
      </c>
      <c r="D106" s="11" t="inlineStr">
        <is>
          <t>LED Screen P3/P4 2x3m (Indoor)</t>
        </is>
      </c>
      <c r="E106" s="11" t="inlineStr">
        <is>
          <t>unit</t>
        </is>
      </c>
      <c r="F106" s="11" t="inlineStr">
        <is>
          <t>day</t>
        </is>
      </c>
      <c r="G106" s="8" t="n">
        <v>3000000</v>
      </c>
      <c r="H106" s="8" t="n">
        <v>4500000</v>
      </c>
      <c r="I106" s="12" t="inlineStr">
        <is>
          <t>incl. matrix &amp; processor</t>
        </is>
      </c>
    </row>
    <row r="107" ht="15" customHeight="1">
      <c r="A107" s="6" t="n">
        <v>3</v>
      </c>
      <c r="B107" s="7" t="inlineStr">
        <is>
          <t>D. VENUE SETUP &amp; SYSTEM</t>
        </is>
      </c>
      <c r="C107" s="7" t="inlineStr">
        <is>
          <t>D3. LED Screen &amp; Visual</t>
        </is>
      </c>
      <c r="D107" s="7" t="inlineStr">
        <is>
          <t>LED Screen P3/P4 4x6m (Indoor)</t>
        </is>
      </c>
      <c r="E107" s="7" t="inlineStr">
        <is>
          <t>unit</t>
        </is>
      </c>
      <c r="F107" s="7" t="inlineStr">
        <is>
          <t>day</t>
        </is>
      </c>
      <c r="G107" s="8" t="n">
        <v>7000000</v>
      </c>
      <c r="H107" s="8" t="n">
        <v>10000000</v>
      </c>
      <c r="I107" s="9" t="inlineStr">
        <is>
          <t>incl. matrix &amp; processor</t>
        </is>
      </c>
    </row>
    <row r="108" ht="15" customHeight="1">
      <c r="A108" s="10" t="n">
        <v>4</v>
      </c>
      <c r="B108" s="11" t="inlineStr">
        <is>
          <t>D. VENUE SETUP &amp; SYSTEM</t>
        </is>
      </c>
      <c r="C108" s="11" t="inlineStr">
        <is>
          <t>D3. LED Screen &amp; Visual</t>
        </is>
      </c>
      <c r="D108" s="11" t="inlineStr">
        <is>
          <t>LED Screen P6/P7 4x6m (Outdoor)</t>
        </is>
      </c>
      <c r="E108" s="11" t="inlineStr">
        <is>
          <t>unit</t>
        </is>
      </c>
      <c r="F108" s="11" t="inlineStr">
        <is>
          <t>day</t>
        </is>
      </c>
      <c r="G108" s="8" t="n">
        <v>8000000</v>
      </c>
      <c r="H108" s="8" t="n">
        <v>11000000</v>
      </c>
      <c r="I108" s="12" t="inlineStr">
        <is>
          <t>incl. matrix &amp; processor</t>
        </is>
      </c>
    </row>
    <row r="109" ht="15" customHeight="1">
      <c r="A109" s="6" t="n">
        <v>5</v>
      </c>
      <c r="B109" s="7" t="inlineStr">
        <is>
          <t>D. VENUE SETUP &amp; SYSTEM</t>
        </is>
      </c>
      <c r="C109" s="7" t="inlineStr">
        <is>
          <t>D3. LED Screen &amp; Visual</t>
        </is>
      </c>
      <c r="D109" s="7" t="inlineStr">
        <is>
          <t>Base LED Indoor</t>
        </is>
      </c>
      <c r="E109" s="7" t="inlineStr">
        <is>
          <t>pckg</t>
        </is>
      </c>
      <c r="F109" s="7" t="inlineStr">
        <is>
          <t>day</t>
        </is>
      </c>
      <c r="G109" s="8" t="n">
        <v>9000000</v>
      </c>
      <c r="H109" s="8" t="n">
        <v>12000000</v>
      </c>
      <c r="I109" s="9" t="inlineStr">
        <is>
          <t>122x1952 h.150</t>
        </is>
      </c>
    </row>
    <row r="110" ht="15" customHeight="1">
      <c r="A110" s="10" t="n">
        <v>6</v>
      </c>
      <c r="B110" s="11" t="inlineStr">
        <is>
          <t>D. VENUE SETUP &amp; SYSTEM</t>
        </is>
      </c>
      <c r="C110" s="11" t="inlineStr">
        <is>
          <t>D3. LED Screen &amp; Visual</t>
        </is>
      </c>
      <c r="D110" s="11" t="inlineStr">
        <is>
          <t>Base LED Outdoor</t>
        </is>
      </c>
      <c r="E110" s="11" t="inlineStr">
        <is>
          <t>pckg</t>
        </is>
      </c>
      <c r="F110" s="11" t="inlineStr">
        <is>
          <t>day</t>
        </is>
      </c>
      <c r="G110" s="8" t="n">
        <v>2000000</v>
      </c>
      <c r="H110" s="8" t="n">
        <v>3000000</v>
      </c>
      <c r="I110" s="12" t="inlineStr">
        <is>
          <t>dim.122x400 h.150cm</t>
        </is>
      </c>
    </row>
    <row r="111" ht="16" customHeight="1">
      <c r="A111" s="6" t="n">
        <v>7</v>
      </c>
      <c r="B111" s="23" t="n"/>
      <c r="C111" s="23" t="n"/>
      <c r="D111" s="23" t="n"/>
      <c r="E111" s="23" t="n"/>
      <c r="F111" s="23" t="n"/>
      <c r="G111" s="23" t="n"/>
      <c r="H111" s="23" t="n"/>
      <c r="I111" s="24" t="n"/>
    </row>
    <row r="112" ht="15" customHeight="1">
      <c r="A112" s="10" t="n">
        <v>8</v>
      </c>
      <c r="B112" s="11" t="inlineStr">
        <is>
          <t>D. VENUE SETUP &amp; SYSTEM</t>
        </is>
      </c>
      <c r="C112" s="11" t="inlineStr">
        <is>
          <t>D3. LED Screen &amp; Visual</t>
        </is>
      </c>
      <c r="D112" s="11" t="inlineStr">
        <is>
          <t>Truss Safety LED Indoor 6x18m</t>
        </is>
      </c>
      <c r="E112" s="11" t="inlineStr">
        <is>
          <t>pckg</t>
        </is>
      </c>
      <c r="F112" s="11" t="inlineStr">
        <is>
          <t>day</t>
        </is>
      </c>
      <c r="G112" s="8" t="n">
        <v>10000000</v>
      </c>
      <c r="H112" s="8" t="n">
        <v>14000000</v>
      </c>
      <c r="I112" s="12" t="inlineStr"/>
    </row>
    <row r="113" ht="15" customHeight="1">
      <c r="A113" s="6" t="n">
        <v>9</v>
      </c>
      <c r="B113" s="7" t="inlineStr">
        <is>
          <t>D. VENUE SETUP &amp; SYSTEM</t>
        </is>
      </c>
      <c r="C113" s="7" t="inlineStr">
        <is>
          <t>D3. LED Screen &amp; Visual</t>
        </is>
      </c>
      <c r="D113" s="7" t="inlineStr">
        <is>
          <t>Truss Safety LED Outdoor 4x4m</t>
        </is>
      </c>
      <c r="E113" s="7" t="inlineStr">
        <is>
          <t>pckg</t>
        </is>
      </c>
      <c r="F113" s="7" t="inlineStr">
        <is>
          <t>day</t>
        </is>
      </c>
      <c r="G113" s="8" t="n">
        <v>4500000</v>
      </c>
      <c r="H113" s="8" t="n">
        <v>6000000</v>
      </c>
      <c r="I113" s="9" t="inlineStr"/>
    </row>
    <row r="114" ht="15" customHeight="1">
      <c r="A114" s="10" t="n">
        <v>10</v>
      </c>
      <c r="B114" s="11" t="inlineStr">
        <is>
          <t>D. VENUE SETUP &amp; SYSTEM</t>
        </is>
      </c>
      <c r="C114" s="11" t="inlineStr">
        <is>
          <t>D3. LED Screen &amp; Visual</t>
        </is>
      </c>
      <c r="D114" s="11" t="inlineStr">
        <is>
          <t>Projector 7.000 Lumens</t>
        </is>
      </c>
      <c r="E114" s="11" t="inlineStr">
        <is>
          <t>unit</t>
        </is>
      </c>
      <c r="F114" s="11" t="inlineStr">
        <is>
          <t>day</t>
        </is>
      </c>
      <c r="G114" s="8" t="n">
        <v>1500000</v>
      </c>
      <c r="H114" s="8" t="n">
        <v>2200000</v>
      </c>
      <c r="I114" s="12" t="inlineStr"/>
    </row>
    <row r="115" ht="15" customHeight="1">
      <c r="A115" s="6" t="n">
        <v>11</v>
      </c>
      <c r="B115" s="7" t="inlineStr">
        <is>
          <t>D. VENUE SETUP &amp; SYSTEM</t>
        </is>
      </c>
      <c r="C115" s="7" t="inlineStr">
        <is>
          <t>D3. LED Screen &amp; Visual</t>
        </is>
      </c>
      <c r="D115" s="7" t="inlineStr">
        <is>
          <t>Projector 10.000 Lumens</t>
        </is>
      </c>
      <c r="E115" s="7" t="inlineStr">
        <is>
          <t>unit</t>
        </is>
      </c>
      <c r="F115" s="7" t="inlineStr">
        <is>
          <t>day</t>
        </is>
      </c>
      <c r="G115" s="8" t="n">
        <v>2500000</v>
      </c>
      <c r="H115" s="8" t="n">
        <v>3500000</v>
      </c>
      <c r="I115" s="9" t="inlineStr"/>
    </row>
    <row r="116" ht="15" customHeight="1">
      <c r="A116" s="10" t="n">
        <v>12</v>
      </c>
      <c r="B116" s="11" t="inlineStr">
        <is>
          <t>D. VENUE SETUP &amp; SYSTEM</t>
        </is>
      </c>
      <c r="C116" s="11" t="inlineStr">
        <is>
          <t>D3. LED Screen &amp; Visual</t>
        </is>
      </c>
      <c r="D116" s="11" t="inlineStr">
        <is>
          <t>Projector 15.000 Lumens</t>
        </is>
      </c>
      <c r="E116" s="11" t="inlineStr">
        <is>
          <t>unit</t>
        </is>
      </c>
      <c r="F116" s="11" t="inlineStr">
        <is>
          <t>day</t>
        </is>
      </c>
      <c r="G116" s="8" t="n">
        <v>4000000</v>
      </c>
      <c r="H116" s="8" t="n">
        <v>5500000</v>
      </c>
      <c r="I116" s="12" t="inlineStr"/>
    </row>
    <row r="117" ht="15" customHeight="1">
      <c r="A117" s="6" t="n">
        <v>13</v>
      </c>
      <c r="B117" s="7" t="inlineStr">
        <is>
          <t>D. VENUE SETUP &amp; SYSTEM</t>
        </is>
      </c>
      <c r="C117" s="7" t="inlineStr">
        <is>
          <t>D3. LED Screen &amp; Visual</t>
        </is>
      </c>
      <c r="D117" s="7" t="inlineStr">
        <is>
          <t>LED TV 65" incl. stand</t>
        </is>
      </c>
      <c r="E117" s="7" t="inlineStr">
        <is>
          <t>unit</t>
        </is>
      </c>
      <c r="F117" s="7" t="inlineStr">
        <is>
          <t>day</t>
        </is>
      </c>
      <c r="G117" s="8" t="n">
        <v>1500000</v>
      </c>
      <c r="H117" s="8" t="n">
        <v>2000000</v>
      </c>
      <c r="I117" s="9" t="inlineStr"/>
    </row>
    <row r="118" ht="15" customHeight="1">
      <c r="A118" s="10" t="n">
        <v>14</v>
      </c>
      <c r="B118" s="11" t="inlineStr">
        <is>
          <t>D. VENUE SETUP &amp; SYSTEM</t>
        </is>
      </c>
      <c r="C118" s="11" t="inlineStr">
        <is>
          <t>D3. LED Screen &amp; Visual</t>
        </is>
      </c>
      <c r="D118" s="11" t="inlineStr">
        <is>
          <t>Switcher + Monitor (Edirol V8)</t>
        </is>
      </c>
      <c r="E118" s="11" t="inlineStr">
        <is>
          <t>pckg</t>
        </is>
      </c>
      <c r="F118" s="11" t="inlineStr">
        <is>
          <t>day</t>
        </is>
      </c>
      <c r="G118" s="8" t="n">
        <v>1000000</v>
      </c>
      <c r="H118" s="8" t="n">
        <v>1500000</v>
      </c>
      <c r="I118" s="12" t="inlineStr"/>
    </row>
    <row r="119" ht="15" customHeight="1">
      <c r="A119" s="5" t="inlineStr">
        <is>
          <t xml:space="preserve">  D4. Sound System</t>
        </is>
      </c>
    </row>
    <row r="120" ht="15" customHeight="1">
      <c r="A120" s="6" t="n">
        <v>1</v>
      </c>
      <c r="B120" s="7" t="inlineStr">
        <is>
          <t>D. VENUE SETUP &amp; SYSTEM</t>
        </is>
      </c>
      <c r="C120" s="7" t="inlineStr">
        <is>
          <t>D4. Sound System</t>
        </is>
      </c>
      <c r="D120" s="7" t="inlineStr">
        <is>
          <t>Sound System 5.000 Watt</t>
        </is>
      </c>
      <c r="E120" s="7" t="inlineStr">
        <is>
          <t>pckg</t>
        </is>
      </c>
      <c r="F120" s="7" t="inlineStr">
        <is>
          <t>day</t>
        </is>
      </c>
      <c r="G120" s="8" t="n">
        <v>5000000</v>
      </c>
      <c r="H120" s="8" t="n">
        <v>7500000</v>
      </c>
      <c r="I120" s="9" t="inlineStr">
        <is>
          <t>inc. band gear groundstack</t>
        </is>
      </c>
    </row>
    <row r="121" ht="15" customHeight="1">
      <c r="A121" s="10" t="n">
        <v>2</v>
      </c>
      <c r="B121" s="11" t="inlineStr">
        <is>
          <t>D. VENUE SETUP &amp; SYSTEM</t>
        </is>
      </c>
      <c r="C121" s="11" t="inlineStr">
        <is>
          <t>D4. Sound System</t>
        </is>
      </c>
      <c r="D121" s="11" t="inlineStr">
        <is>
          <t>Sound System 10.000 Watt</t>
        </is>
      </c>
      <c r="E121" s="11" t="inlineStr">
        <is>
          <t>pckg</t>
        </is>
      </c>
      <c r="F121" s="11" t="inlineStr">
        <is>
          <t>day</t>
        </is>
      </c>
      <c r="G121" s="8" t="n">
        <v>8000000</v>
      </c>
      <c r="H121" s="8" t="n">
        <v>12000000</v>
      </c>
      <c r="I121" s="12" t="inlineStr">
        <is>
          <t>line array inc. band gear</t>
        </is>
      </c>
    </row>
    <row r="122" ht="15" customHeight="1">
      <c r="A122" s="6" t="n">
        <v>3</v>
      </c>
      <c r="B122" s="7" t="inlineStr">
        <is>
          <t>D. VENUE SETUP &amp; SYSTEM</t>
        </is>
      </c>
      <c r="C122" s="7" t="inlineStr">
        <is>
          <t>D4. Sound System</t>
        </is>
      </c>
      <c r="D122" s="7" t="inlineStr">
        <is>
          <t>Sound System 15.000 Watt Indoor</t>
        </is>
      </c>
      <c r="E122" s="7" t="inlineStr">
        <is>
          <t>pckg</t>
        </is>
      </c>
      <c r="F122" s="7" t="inlineStr">
        <is>
          <t>day</t>
        </is>
      </c>
      <c r="G122" s="8" t="n">
        <v>17500000</v>
      </c>
      <c r="H122" s="8" t="n">
        <v>22000000</v>
      </c>
      <c r="I122" s="9" t="inlineStr">
        <is>
          <t>incl. riders artis</t>
        </is>
      </c>
    </row>
    <row r="123" ht="15" customHeight="1">
      <c r="A123" s="10" t="n">
        <v>4</v>
      </c>
      <c r="B123" s="11" t="inlineStr">
        <is>
          <t>D. VENUE SETUP &amp; SYSTEM</t>
        </is>
      </c>
      <c r="C123" s="11" t="inlineStr">
        <is>
          <t>D4. Sound System</t>
        </is>
      </c>
      <c r="D123" s="11" t="inlineStr">
        <is>
          <t>Sound System 20.000 Watt</t>
        </is>
      </c>
      <c r="E123" s="11" t="inlineStr">
        <is>
          <t>pckg</t>
        </is>
      </c>
      <c r="F123" s="11" t="inlineStr">
        <is>
          <t>day</t>
        </is>
      </c>
      <c r="G123" s="8" t="n">
        <v>15000000</v>
      </c>
      <c r="H123" s="8" t="n">
        <v>22000000</v>
      </c>
      <c r="I123" s="12" t="inlineStr">
        <is>
          <t>line array</t>
        </is>
      </c>
    </row>
    <row r="124" ht="15" customHeight="1">
      <c r="A124" s="6" t="n">
        <v>5</v>
      </c>
      <c r="B124" s="7" t="inlineStr">
        <is>
          <t>D. VENUE SETUP &amp; SYSTEM</t>
        </is>
      </c>
      <c r="C124" s="7" t="inlineStr">
        <is>
          <t>D4. Sound System</t>
        </is>
      </c>
      <c r="D124" s="7" t="inlineStr">
        <is>
          <t>Sound System 40.000 Watt</t>
        </is>
      </c>
      <c r="E124" s="7" t="inlineStr">
        <is>
          <t>pckg</t>
        </is>
      </c>
      <c r="F124" s="7" t="inlineStr">
        <is>
          <t>day</t>
        </is>
      </c>
      <c r="G124" s="8" t="n">
        <v>25000000</v>
      </c>
      <c r="H124" s="8" t="n">
        <v>35000000</v>
      </c>
      <c r="I124" s="9" t="inlineStr">
        <is>
          <t>line array</t>
        </is>
      </c>
    </row>
    <row r="125" ht="16" customHeight="1">
      <c r="A125" s="10" t="n">
        <v>6</v>
      </c>
      <c r="B125" s="23" t="n"/>
      <c r="C125" s="23" t="n"/>
      <c r="D125" s="23" t="n"/>
      <c r="E125" s="23" t="n"/>
      <c r="F125" s="23" t="n"/>
      <c r="G125" s="23" t="n"/>
      <c r="H125" s="23" t="n"/>
      <c r="I125" s="24" t="n"/>
    </row>
    <row r="126" ht="15" customHeight="1">
      <c r="A126" s="6" t="n">
        <v>7</v>
      </c>
      <c r="B126" s="7" t="inlineStr">
        <is>
          <t>D. VENUE SETUP &amp; SYSTEM</t>
        </is>
      </c>
      <c r="C126" s="7" t="inlineStr">
        <is>
          <t>D4. Sound System</t>
        </is>
      </c>
      <c r="D126" s="7" t="inlineStr">
        <is>
          <t>Mini Sound System 2.000 Watt</t>
        </is>
      </c>
      <c r="E126" s="7" t="inlineStr">
        <is>
          <t>pckg</t>
        </is>
      </c>
      <c r="F126" s="7" t="inlineStr">
        <is>
          <t>day</t>
        </is>
      </c>
      <c r="G126" s="8" t="n">
        <v>1500000</v>
      </c>
      <c r="H126" s="8" t="n">
        <v>2200000</v>
      </c>
      <c r="I126" s="9" t="inlineStr">
        <is>
          <t>standing</t>
        </is>
      </c>
    </row>
    <row r="127" ht="15" customHeight="1">
      <c r="A127" s="10" t="n">
        <v>8</v>
      </c>
      <c r="B127" s="11" t="inlineStr">
        <is>
          <t>D. VENUE SETUP &amp; SYSTEM</t>
        </is>
      </c>
      <c r="C127" s="11" t="inlineStr">
        <is>
          <t>D4. Sound System</t>
        </is>
      </c>
      <c r="D127" s="11" t="inlineStr">
        <is>
          <t>Sound Delay 5.000 Watt</t>
        </is>
      </c>
      <c r="E127" s="11" t="inlineStr">
        <is>
          <t>pckg</t>
        </is>
      </c>
      <c r="F127" s="11" t="inlineStr">
        <is>
          <t>day</t>
        </is>
      </c>
      <c r="G127" s="8" t="n">
        <v>2200000</v>
      </c>
      <c r="H127" s="8" t="n">
        <v>3000000</v>
      </c>
      <c r="I127" s="12" t="inlineStr">
        <is>
          <t>standing</t>
        </is>
      </c>
    </row>
    <row r="128" ht="15" customHeight="1">
      <c r="A128" s="6" t="n">
        <v>9</v>
      </c>
      <c r="B128" s="7" t="inlineStr">
        <is>
          <t>D. VENUE SETUP &amp; SYSTEM</t>
        </is>
      </c>
      <c r="C128" s="7" t="inlineStr">
        <is>
          <t>D4. Sound System</t>
        </is>
      </c>
      <c r="D128" s="7" t="inlineStr">
        <is>
          <t>Mic Wireless (Shure/Sennheiser)</t>
        </is>
      </c>
      <c r="E128" s="7" t="inlineStr">
        <is>
          <t>unit</t>
        </is>
      </c>
      <c r="F128" s="7" t="inlineStr">
        <is>
          <t>day</t>
        </is>
      </c>
      <c r="G128" s="8" t="n">
        <v>1500000</v>
      </c>
      <c r="H128" s="8" t="n">
        <v>2000000</v>
      </c>
      <c r="I128" s="9" t="inlineStr"/>
    </row>
    <row r="129" ht="15" customHeight="1">
      <c r="A129" s="10" t="n">
        <v>10</v>
      </c>
      <c r="B129" s="11" t="inlineStr">
        <is>
          <t>D. VENUE SETUP &amp; SYSTEM</t>
        </is>
      </c>
      <c r="C129" s="11" t="inlineStr">
        <is>
          <t>D4. Sound System</t>
        </is>
      </c>
      <c r="D129" s="11" t="inlineStr">
        <is>
          <t>Delegate Mic</t>
        </is>
      </c>
      <c r="E129" s="11" t="inlineStr">
        <is>
          <t>unit</t>
        </is>
      </c>
      <c r="F129" s="11" t="inlineStr">
        <is>
          <t>day</t>
        </is>
      </c>
      <c r="G129" s="8" t="n">
        <v>200000</v>
      </c>
      <c r="H129" s="8" t="n">
        <v>300000</v>
      </c>
      <c r="I129" s="12" t="inlineStr"/>
    </row>
    <row r="130" ht="15" customHeight="1">
      <c r="A130" s="6" t="n">
        <v>11</v>
      </c>
      <c r="B130" s="7" t="inlineStr">
        <is>
          <t>D. VENUE SETUP &amp; SYSTEM</t>
        </is>
      </c>
      <c r="C130" s="7" t="inlineStr">
        <is>
          <t>D4. Sound System</t>
        </is>
      </c>
      <c r="D130" s="7" t="inlineStr">
        <is>
          <t>Goose Mic</t>
        </is>
      </c>
      <c r="E130" s="7" t="inlineStr">
        <is>
          <t>unit</t>
        </is>
      </c>
      <c r="F130" s="7" t="inlineStr">
        <is>
          <t>day</t>
        </is>
      </c>
      <c r="G130" s="8" t="n">
        <v>600000</v>
      </c>
      <c r="H130" s="8" t="n">
        <v>750000</v>
      </c>
      <c r="I130" s="9" t="inlineStr"/>
    </row>
    <row r="131" ht="15" customHeight="1">
      <c r="A131" s="10" t="n">
        <v>12</v>
      </c>
      <c r="B131" s="11" t="inlineStr">
        <is>
          <t>D. VENUE SETUP &amp; SYSTEM</t>
        </is>
      </c>
      <c r="C131" s="11" t="inlineStr">
        <is>
          <t>D4. Sound System</t>
        </is>
      </c>
      <c r="D131" s="11" t="inlineStr">
        <is>
          <t>IEM G4 (In-Ear Monitor)</t>
        </is>
      </c>
      <c r="E131" s="11" t="inlineStr">
        <is>
          <t>unit</t>
        </is>
      </c>
      <c r="F131" s="11" t="inlineStr">
        <is>
          <t>day</t>
        </is>
      </c>
      <c r="G131" s="8" t="n">
        <v>1500000</v>
      </c>
      <c r="H131" s="8" t="n">
        <v>2000000</v>
      </c>
      <c r="I131" s="12" t="inlineStr"/>
    </row>
    <row r="132" ht="15" customHeight="1">
      <c r="A132" s="6" t="n">
        <v>13</v>
      </c>
      <c r="B132" s="7" t="inlineStr">
        <is>
          <t>D. VENUE SETUP &amp; SYSTEM</t>
        </is>
      </c>
      <c r="C132" s="7" t="inlineStr">
        <is>
          <t>D4. Sound System</t>
        </is>
      </c>
      <c r="D132" s="7" t="inlineStr">
        <is>
          <t>Rigging Sound (per side 9x3m)</t>
        </is>
      </c>
      <c r="E132" s="7" t="inlineStr">
        <is>
          <t>side</t>
        </is>
      </c>
      <c r="F132" s="7" t="inlineStr">
        <is>
          <t>day</t>
        </is>
      </c>
      <c r="G132" s="8" t="n">
        <v>1500000</v>
      </c>
      <c r="H132" s="8" t="n">
        <v>2200000</v>
      </c>
      <c r="I132" s="9" t="inlineStr"/>
    </row>
    <row r="133" ht="15" customHeight="1">
      <c r="A133" s="5" t="inlineStr">
        <is>
          <t xml:space="preserve">  D5. Lighting System</t>
        </is>
      </c>
    </row>
    <row r="134" ht="15" customHeight="1">
      <c r="A134" s="6" t="n">
        <v>1</v>
      </c>
      <c r="B134" s="7" t="inlineStr">
        <is>
          <t>D. VENUE SETUP &amp; SYSTEM</t>
        </is>
      </c>
      <c r="C134" s="7" t="inlineStr">
        <is>
          <t>D5. Lighting System</t>
        </is>
      </c>
      <c r="D134" s="7" t="inlineStr">
        <is>
          <t>Lighting System Lengkap (Indoor)</t>
        </is>
      </c>
      <c r="E134" s="7" t="inlineStr">
        <is>
          <t>pckg</t>
        </is>
      </c>
      <c r="F134" s="7" t="inlineStr">
        <is>
          <t>day</t>
        </is>
      </c>
      <c r="G134" s="8" t="n">
        <v>6000000</v>
      </c>
      <c r="H134" s="8" t="n">
        <v>8500000</v>
      </c>
      <c r="I134" s="9" t="inlineStr">
        <is>
          <t>beam, parled, freshnell</t>
        </is>
      </c>
    </row>
    <row r="135" ht="15" customHeight="1">
      <c r="A135" s="10" t="n">
        <v>2</v>
      </c>
      <c r="B135" s="11" t="inlineStr">
        <is>
          <t>D. VENUE SETUP &amp; SYSTEM</t>
        </is>
      </c>
      <c r="C135" s="11" t="inlineStr">
        <is>
          <t>D5. Lighting System</t>
        </is>
      </c>
      <c r="D135" s="11" t="inlineStr">
        <is>
          <t>Lighting System (Standard)</t>
        </is>
      </c>
      <c r="E135" s="11" t="inlineStr">
        <is>
          <t>pckg</t>
        </is>
      </c>
      <c r="F135" s="11" t="inlineStr">
        <is>
          <t>day</t>
        </is>
      </c>
      <c r="G135" s="8" t="n">
        <v>3500000</v>
      </c>
      <c r="H135" s="8" t="n">
        <v>5000000</v>
      </c>
      <c r="I135" s="12" t="inlineStr">
        <is>
          <t>LED 8 unit + fresnell + tripod</t>
        </is>
      </c>
    </row>
    <row r="136" ht="15" customHeight="1">
      <c r="A136" s="6" t="n">
        <v>3</v>
      </c>
      <c r="B136" s="7" t="inlineStr">
        <is>
          <t>D. VENUE SETUP &amp; SYSTEM</t>
        </is>
      </c>
      <c r="C136" s="7" t="inlineStr">
        <is>
          <t>D5. Lighting System</t>
        </is>
      </c>
      <c r="D136" s="7" t="inlineStr">
        <is>
          <t>Laser System</t>
        </is>
      </c>
      <c r="E136" s="7" t="inlineStr">
        <is>
          <t>pckg</t>
        </is>
      </c>
      <c r="F136" s="7" t="inlineStr">
        <is>
          <t>day</t>
        </is>
      </c>
      <c r="G136" s="8" t="n">
        <v>30000000</v>
      </c>
      <c r="H136" s="8" t="n">
        <v>50000000</v>
      </c>
      <c r="I136" s="9" t="inlineStr">
        <is>
          <t>paket</t>
        </is>
      </c>
    </row>
    <row r="137" ht="15" customHeight="1">
      <c r="A137" s="10" t="n">
        <v>4</v>
      </c>
      <c r="B137" s="11" t="inlineStr">
        <is>
          <t>D. VENUE SETUP &amp; SYSTEM</t>
        </is>
      </c>
      <c r="C137" s="11" t="inlineStr">
        <is>
          <t>D5. Lighting System</t>
        </is>
      </c>
      <c r="D137" s="11" t="inlineStr">
        <is>
          <t>Par LED (54x3W RGBW)</t>
        </is>
      </c>
      <c r="E137" s="11" t="inlineStr">
        <is>
          <t>unit</t>
        </is>
      </c>
      <c r="F137" s="11" t="inlineStr">
        <is>
          <t>day</t>
        </is>
      </c>
      <c r="G137" s="8" t="n">
        <v>100000</v>
      </c>
      <c r="H137" s="8" t="n">
        <v>150000</v>
      </c>
      <c r="I137" s="12" t="inlineStr"/>
    </row>
    <row r="138" ht="16" customHeight="1">
      <c r="A138" s="6" t="n">
        <v>5</v>
      </c>
      <c r="B138" s="23" t="n"/>
      <c r="C138" s="23" t="n"/>
      <c r="D138" s="23" t="n"/>
      <c r="E138" s="23" t="n"/>
      <c r="F138" s="23" t="n"/>
      <c r="G138" s="23" t="n"/>
      <c r="H138" s="23" t="n"/>
      <c r="I138" s="24" t="n"/>
    </row>
    <row r="139" ht="15" customHeight="1">
      <c r="A139" s="10" t="n">
        <v>6</v>
      </c>
      <c r="B139" s="11" t="inlineStr">
        <is>
          <t>D. VENUE SETUP &amp; SYSTEM</t>
        </is>
      </c>
      <c r="C139" s="11" t="inlineStr">
        <is>
          <t>D5. Lighting System</t>
        </is>
      </c>
      <c r="D139" s="11" t="inlineStr">
        <is>
          <t>Moving Head Wash 575W</t>
        </is>
      </c>
      <c r="E139" s="11" t="inlineStr">
        <is>
          <t>unit</t>
        </is>
      </c>
      <c r="F139" s="11" t="inlineStr">
        <is>
          <t>day</t>
        </is>
      </c>
      <c r="G139" s="8" t="n">
        <v>450000</v>
      </c>
      <c r="H139" s="8" t="n">
        <v>650000</v>
      </c>
      <c r="I139" s="12" t="inlineStr"/>
    </row>
    <row r="140" ht="15" customHeight="1">
      <c r="A140" s="6" t="n">
        <v>7</v>
      </c>
      <c r="B140" s="7" t="inlineStr">
        <is>
          <t>D. VENUE SETUP &amp; SYSTEM</t>
        </is>
      </c>
      <c r="C140" s="7" t="inlineStr">
        <is>
          <t>D5. Lighting System</t>
        </is>
      </c>
      <c r="D140" s="7" t="inlineStr">
        <is>
          <t>Follow Spot 1500W</t>
        </is>
      </c>
      <c r="E140" s="7" t="inlineStr">
        <is>
          <t>unit</t>
        </is>
      </c>
      <c r="F140" s="7" t="inlineStr">
        <is>
          <t>day</t>
        </is>
      </c>
      <c r="G140" s="8" t="n">
        <v>600000</v>
      </c>
      <c r="H140" s="8" t="n">
        <v>850000</v>
      </c>
      <c r="I140" s="9" t="inlineStr"/>
    </row>
    <row r="141" ht="15" customHeight="1">
      <c r="A141" s="10" t="n">
        <v>8</v>
      </c>
      <c r="B141" s="11" t="inlineStr">
        <is>
          <t>D. VENUE SETUP &amp; SYSTEM</t>
        </is>
      </c>
      <c r="C141" s="11" t="inlineStr">
        <is>
          <t>D5. Lighting System</t>
        </is>
      </c>
      <c r="D141" s="11" t="inlineStr">
        <is>
          <t>Follow Spot 2500W (HMI)</t>
        </is>
      </c>
      <c r="E141" s="11" t="inlineStr">
        <is>
          <t>unit</t>
        </is>
      </c>
      <c r="F141" s="11" t="inlineStr">
        <is>
          <t>day</t>
        </is>
      </c>
      <c r="G141" s="8" t="n">
        <v>900000</v>
      </c>
      <c r="H141" s="8" t="n">
        <v>1250000</v>
      </c>
      <c r="I141" s="12" t="inlineStr"/>
    </row>
    <row r="142" ht="15" customHeight="1">
      <c r="A142" s="6" t="n">
        <v>9</v>
      </c>
      <c r="B142" s="7" t="inlineStr">
        <is>
          <t>D. VENUE SETUP &amp; SYSTEM</t>
        </is>
      </c>
      <c r="C142" s="7" t="inlineStr">
        <is>
          <t>D5. Lighting System</t>
        </is>
      </c>
      <c r="D142" s="7" t="inlineStr">
        <is>
          <t>Freshnell 2KVA</t>
        </is>
      </c>
      <c r="E142" s="7" t="inlineStr">
        <is>
          <t>unit</t>
        </is>
      </c>
      <c r="F142" s="7" t="inlineStr">
        <is>
          <t>day</t>
        </is>
      </c>
      <c r="G142" s="8" t="n">
        <v>300000</v>
      </c>
      <c r="H142" s="8" t="n">
        <v>400000</v>
      </c>
      <c r="I142" s="9" t="inlineStr"/>
    </row>
    <row r="143" ht="15" customHeight="1">
      <c r="A143" s="10" t="n">
        <v>10</v>
      </c>
      <c r="B143" s="11" t="inlineStr">
        <is>
          <t>D. VENUE SETUP &amp; SYSTEM</t>
        </is>
      </c>
      <c r="C143" s="11" t="inlineStr">
        <is>
          <t>D5. Lighting System</t>
        </is>
      </c>
      <c r="D143" s="11" t="inlineStr">
        <is>
          <t>Stromi RGBW</t>
        </is>
      </c>
      <c r="E143" s="11" t="inlineStr">
        <is>
          <t>pckg</t>
        </is>
      </c>
      <c r="F143" s="11" t="inlineStr">
        <is>
          <t>day</t>
        </is>
      </c>
      <c r="G143" s="8" t="n">
        <v>5500000</v>
      </c>
      <c r="H143" s="8" t="n">
        <v>7500000</v>
      </c>
      <c r="I143" s="12" t="inlineStr">
        <is>
          <t>20 unit package</t>
        </is>
      </c>
    </row>
    <row r="144" ht="15" customHeight="1">
      <c r="A144" s="6" t="n">
        <v>11</v>
      </c>
      <c r="B144" s="7" t="inlineStr">
        <is>
          <t>D. VENUE SETUP &amp; SYSTEM</t>
        </is>
      </c>
      <c r="C144" s="7" t="inlineStr">
        <is>
          <t>D5. Lighting System</t>
        </is>
      </c>
      <c r="D144" s="7" t="inlineStr">
        <is>
          <t>HPIT Penerangan Area (1000W)</t>
        </is>
      </c>
      <c r="E144" s="7" t="inlineStr">
        <is>
          <t>unit</t>
        </is>
      </c>
      <c r="F144" s="7" t="inlineStr">
        <is>
          <t>day</t>
        </is>
      </c>
      <c r="G144" s="8" t="n">
        <v>300000</v>
      </c>
      <c r="H144" s="8" t="n">
        <v>400000</v>
      </c>
      <c r="I144" s="9" t="inlineStr">
        <is>
          <t>tanpa tower</t>
        </is>
      </c>
    </row>
    <row r="145" ht="15" customHeight="1">
      <c r="A145" s="10" t="n">
        <v>12</v>
      </c>
      <c r="B145" s="11" t="inlineStr">
        <is>
          <t>D. VENUE SETUP &amp; SYSTEM</t>
        </is>
      </c>
      <c r="C145" s="11" t="inlineStr">
        <is>
          <t>D5. Lighting System</t>
        </is>
      </c>
      <c r="D145" s="11" t="inlineStr">
        <is>
          <t>Tower Lampu 4 Lampu (@1000W)</t>
        </is>
      </c>
      <c r="E145" s="11" t="inlineStr">
        <is>
          <t>pckg</t>
        </is>
      </c>
      <c r="F145" s="11" t="inlineStr">
        <is>
          <t>day</t>
        </is>
      </c>
      <c r="G145" s="8" t="n">
        <v>900000</v>
      </c>
      <c r="H145" s="8" t="n">
        <v>1200000</v>
      </c>
      <c r="I145" s="12" t="inlineStr"/>
    </row>
    <row r="146" ht="15" customHeight="1">
      <c r="A146" s="5" t="inlineStr">
        <is>
          <t xml:space="preserve">  D6. Generator</t>
        </is>
      </c>
    </row>
    <row r="147" ht="16" customHeight="1">
      <c r="A147" s="6" t="n">
        <v>1</v>
      </c>
      <c r="B147" s="23" t="n"/>
      <c r="C147" s="23" t="n"/>
      <c r="D147" s="23" t="n"/>
      <c r="E147" s="23" t="n"/>
      <c r="F147" s="23" t="n"/>
      <c r="G147" s="23" t="n"/>
      <c r="H147" s="23" t="n"/>
      <c r="I147" s="24" t="n"/>
    </row>
    <row r="148" ht="15" customHeight="1">
      <c r="A148" s="10" t="n">
        <v>2</v>
      </c>
      <c r="B148" s="11" t="inlineStr">
        <is>
          <t>D. VENUE SETUP &amp; SYSTEM</t>
        </is>
      </c>
      <c r="C148" s="11" t="inlineStr">
        <is>
          <t>D6. Generator</t>
        </is>
      </c>
      <c r="D148" s="11" t="inlineStr">
        <is>
          <t>Genset 60 KVA (incl. solar)</t>
        </is>
      </c>
      <c r="E148" s="11" t="inlineStr">
        <is>
          <t>unit</t>
        </is>
      </c>
      <c r="F148" s="11" t="inlineStr">
        <is>
          <t>day</t>
        </is>
      </c>
      <c r="G148" s="8" t="n">
        <v>2500000</v>
      </c>
      <c r="H148" s="8" t="n">
        <v>3500000</v>
      </c>
      <c r="I148" s="12" t="inlineStr">
        <is>
          <t>12 hours, silent type</t>
        </is>
      </c>
    </row>
    <row r="149" ht="15" customHeight="1">
      <c r="A149" s="6" t="n">
        <v>3</v>
      </c>
      <c r="B149" s="7" t="inlineStr">
        <is>
          <t>D. VENUE SETUP &amp; SYSTEM</t>
        </is>
      </c>
      <c r="C149" s="7" t="inlineStr">
        <is>
          <t>D6. Generator</t>
        </is>
      </c>
      <c r="D149" s="7" t="inlineStr">
        <is>
          <t>Genset 80 KVA (incl. solar)</t>
        </is>
      </c>
      <c r="E149" s="7" t="inlineStr">
        <is>
          <t>unit</t>
        </is>
      </c>
      <c r="F149" s="7" t="inlineStr">
        <is>
          <t>day</t>
        </is>
      </c>
      <c r="G149" s="8" t="n">
        <v>3200000</v>
      </c>
      <c r="H149" s="8" t="n">
        <v>4500000</v>
      </c>
      <c r="I149" s="9" t="inlineStr">
        <is>
          <t>12 hours, silent type</t>
        </is>
      </c>
    </row>
    <row r="150" ht="15" customHeight="1">
      <c r="A150" s="10" t="n">
        <v>4</v>
      </c>
      <c r="B150" s="11" t="inlineStr">
        <is>
          <t>D. VENUE SETUP &amp; SYSTEM</t>
        </is>
      </c>
      <c r="C150" s="11" t="inlineStr">
        <is>
          <t>D6. Generator</t>
        </is>
      </c>
      <c r="D150" s="11" t="inlineStr">
        <is>
          <t>Genset 100 KVA (incl. solar)</t>
        </is>
      </c>
      <c r="E150" s="11" t="inlineStr">
        <is>
          <t>unit</t>
        </is>
      </c>
      <c r="F150" s="11" t="inlineStr">
        <is>
          <t>day</t>
        </is>
      </c>
      <c r="G150" s="8" t="n">
        <v>4500000</v>
      </c>
      <c r="H150" s="8" t="n">
        <v>6000000</v>
      </c>
      <c r="I150" s="12" t="inlineStr">
        <is>
          <t>12 hours, silent type</t>
        </is>
      </c>
    </row>
    <row r="151" ht="15" customHeight="1">
      <c r="A151" s="6" t="n">
        <v>5</v>
      </c>
      <c r="B151" s="7" t="inlineStr">
        <is>
          <t>D. VENUE SETUP &amp; SYSTEM</t>
        </is>
      </c>
      <c r="C151" s="7" t="inlineStr">
        <is>
          <t>D6. Generator</t>
        </is>
      </c>
      <c r="D151" s="7" t="inlineStr">
        <is>
          <t>Genset 150 KVA (incl. solar)</t>
        </is>
      </c>
      <c r="E151" s="7" t="inlineStr">
        <is>
          <t>unit</t>
        </is>
      </c>
      <c r="F151" s="7" t="inlineStr">
        <is>
          <t>day</t>
        </is>
      </c>
      <c r="G151" s="8" t="n">
        <v>6000000</v>
      </c>
      <c r="H151" s="8" t="n">
        <v>8000000</v>
      </c>
      <c r="I151" s="9" t="inlineStr">
        <is>
          <t>12 hours, silent type</t>
        </is>
      </c>
    </row>
    <row r="152" ht="15" customHeight="1">
      <c r="A152" s="10" t="n">
        <v>6</v>
      </c>
      <c r="B152" s="11" t="inlineStr">
        <is>
          <t>D. VENUE SETUP &amp; SYSTEM</t>
        </is>
      </c>
      <c r="C152" s="11" t="inlineStr">
        <is>
          <t>D6. Generator</t>
        </is>
      </c>
      <c r="D152" s="11" t="inlineStr">
        <is>
          <t>Genset 250 KVA (incl. solar)</t>
        </is>
      </c>
      <c r="E152" s="11" t="inlineStr">
        <is>
          <t>unit</t>
        </is>
      </c>
      <c r="F152" s="11" t="inlineStr">
        <is>
          <t>day</t>
        </is>
      </c>
      <c r="G152" s="8" t="n">
        <v>6500000</v>
      </c>
      <c r="H152" s="8" t="n">
        <v>9000000</v>
      </c>
      <c r="I152" s="12" t="inlineStr">
        <is>
          <t>12 hours, silent type</t>
        </is>
      </c>
    </row>
    <row r="153" ht="16" customHeight="1">
      <c r="A153" s="6" t="n">
        <v>7</v>
      </c>
      <c r="B153" s="23" t="n"/>
      <c r="C153" s="23" t="n"/>
      <c r="D153" s="23" t="n"/>
      <c r="E153" s="23" t="n"/>
      <c r="F153" s="23" t="n"/>
      <c r="G153" s="23" t="n"/>
      <c r="H153" s="23" t="n"/>
      <c r="I153" s="24" t="n"/>
    </row>
    <row r="154" ht="15" customHeight="1">
      <c r="A154" s="10" t="n">
        <v>8</v>
      </c>
      <c r="B154" s="11" t="inlineStr">
        <is>
          <t>D. VENUE SETUP &amp; SYSTEM</t>
        </is>
      </c>
      <c r="C154" s="11" t="inlineStr">
        <is>
          <t>D6. Generator</t>
        </is>
      </c>
      <c r="D154" s="11" t="inlineStr">
        <is>
          <t>Cable Canal</t>
        </is>
      </c>
      <c r="E154" s="11" t="inlineStr">
        <is>
          <t>mtr</t>
        </is>
      </c>
      <c r="F154" s="11" t="inlineStr">
        <is>
          <t>project</t>
        </is>
      </c>
      <c r="G154" s="8" t="n">
        <v>75000</v>
      </c>
      <c r="H154" s="8" t="n">
        <v>100000</v>
      </c>
      <c r="I154" s="12" t="inlineStr">
        <is>
          <t>per meter</t>
        </is>
      </c>
    </row>
    <row r="155" ht="15" customHeight="1">
      <c r="A155" s="5" t="inlineStr">
        <is>
          <t xml:space="preserve">  D7. Special FX</t>
        </is>
      </c>
    </row>
    <row r="156" ht="15" customHeight="1">
      <c r="A156" s="6" t="n">
        <v>1</v>
      </c>
      <c r="B156" s="7" t="inlineStr">
        <is>
          <t>D. VENUE SETUP &amp; SYSTEM</t>
        </is>
      </c>
      <c r="C156" s="7" t="inlineStr">
        <is>
          <t>D7. Special FX</t>
        </is>
      </c>
      <c r="D156" s="7" t="inlineStr">
        <is>
          <t>Pyrotechnic Standard</t>
        </is>
      </c>
      <c r="E156" s="7" t="inlineStr">
        <is>
          <t>unit</t>
        </is>
      </c>
      <c r="F156" s="7" t="inlineStr">
        <is>
          <t>event</t>
        </is>
      </c>
      <c r="G156" s="8" t="n">
        <v>1000000</v>
      </c>
      <c r="H156" s="8" t="n">
        <v>1500000</v>
      </c>
      <c r="I156" s="9" t="inlineStr">
        <is>
          <t>per titik</t>
        </is>
      </c>
    </row>
    <row r="157" ht="15" customHeight="1">
      <c r="A157" s="10" t="n">
        <v>2</v>
      </c>
      <c r="B157" s="11" t="inlineStr">
        <is>
          <t>D. VENUE SETUP &amp; SYSTEM</t>
        </is>
      </c>
      <c r="C157" s="11" t="inlineStr">
        <is>
          <t>D7. Special FX</t>
        </is>
      </c>
      <c r="D157" s="11" t="inlineStr">
        <is>
          <t>CO2 Blast (incl. tabung)</t>
        </is>
      </c>
      <c r="E157" s="11" t="inlineStr">
        <is>
          <t>unit</t>
        </is>
      </c>
      <c r="F157" s="11" t="inlineStr">
        <is>
          <t>event</t>
        </is>
      </c>
      <c r="G157" s="8" t="n">
        <v>800000</v>
      </c>
      <c r="H157" s="8" t="n">
        <v>1200000</v>
      </c>
      <c r="I157" s="12" t="inlineStr"/>
    </row>
    <row r="158" ht="15" customHeight="1">
      <c r="A158" s="6" t="n">
        <v>3</v>
      </c>
      <c r="B158" s="7" t="inlineStr">
        <is>
          <t>D. VENUE SETUP &amp; SYSTEM</t>
        </is>
      </c>
      <c r="C158" s="7" t="inlineStr">
        <is>
          <t>D7. Special FX</t>
        </is>
      </c>
      <c r="D158" s="7" t="inlineStr">
        <is>
          <t>Balloon Drop</t>
        </is>
      </c>
      <c r="E158" s="7" t="inlineStr">
        <is>
          <t>unit</t>
        </is>
      </c>
      <c r="F158" s="7" t="inlineStr">
        <is>
          <t>event</t>
        </is>
      </c>
      <c r="G158" s="8" t="n">
        <v>2000000</v>
      </c>
      <c r="H158" s="8" t="n">
        <v>3500000</v>
      </c>
      <c r="I158" s="9" t="inlineStr">
        <is>
          <t>per unit</t>
        </is>
      </c>
    </row>
    <row r="159" ht="15" customHeight="1">
      <c r="A159" s="10" t="n">
        <v>4</v>
      </c>
      <c r="B159" s="11" t="inlineStr">
        <is>
          <t>D. VENUE SETUP &amp; SYSTEM</t>
        </is>
      </c>
      <c r="C159" s="11" t="inlineStr">
        <is>
          <t>D7. Special FX</t>
        </is>
      </c>
      <c r="D159" s="11" t="inlineStr">
        <is>
          <t>Konfeti Canon Giant</t>
        </is>
      </c>
      <c r="E159" s="11" t="inlineStr">
        <is>
          <t>unit</t>
        </is>
      </c>
      <c r="F159" s="11" t="inlineStr">
        <is>
          <t>event</t>
        </is>
      </c>
      <c r="G159" s="8" t="n">
        <v>1500000</v>
      </c>
      <c r="H159" s="8" t="n">
        <v>2200000</v>
      </c>
      <c r="I159" s="12" t="inlineStr"/>
    </row>
    <row r="160" ht="16" customHeight="1">
      <c r="A160" s="6" t="n">
        <v>5</v>
      </c>
      <c r="B160" s="23" t="n"/>
      <c r="C160" s="23" t="n"/>
      <c r="D160" s="23" t="n"/>
      <c r="E160" s="23" t="n"/>
      <c r="F160" s="23" t="n"/>
      <c r="G160" s="23" t="n"/>
      <c r="H160" s="23" t="n"/>
      <c r="I160" s="24" t="n"/>
    </row>
    <row r="161" ht="15" customHeight="1">
      <c r="A161" s="5" t="inlineStr">
        <is>
          <t xml:space="preserve">  D8. Tenda &amp; Shelter</t>
        </is>
      </c>
    </row>
    <row r="162" ht="15" customHeight="1">
      <c r="A162" s="6" t="n">
        <v>1</v>
      </c>
      <c r="B162" s="7" t="inlineStr">
        <is>
          <t>D. VENUE SETUP &amp; SYSTEM</t>
        </is>
      </c>
      <c r="C162" s="7" t="inlineStr">
        <is>
          <t>D8. Tenda &amp; Shelter</t>
        </is>
      </c>
      <c r="D162" s="7" t="inlineStr">
        <is>
          <t>Tenda Sarnafil 3x3 (excl. flooring)</t>
        </is>
      </c>
      <c r="E162" s="7" t="inlineStr">
        <is>
          <t>unit</t>
        </is>
      </c>
      <c r="F162" s="7" t="inlineStr">
        <is>
          <t>day</t>
        </is>
      </c>
      <c r="G162" s="8" t="n">
        <v>600000</v>
      </c>
      <c r="H162" s="8" t="n">
        <v>850000</v>
      </c>
      <c r="I162" s="9" t="inlineStr"/>
    </row>
    <row r="163" ht="15" customHeight="1">
      <c r="A163" s="10" t="n">
        <v>2</v>
      </c>
      <c r="B163" s="11" t="inlineStr">
        <is>
          <t>D. VENUE SETUP &amp; SYSTEM</t>
        </is>
      </c>
      <c r="C163" s="11" t="inlineStr">
        <is>
          <t>D8. Tenda &amp; Shelter</t>
        </is>
      </c>
      <c r="D163" s="11" t="inlineStr">
        <is>
          <t>Tenda Sarnafil 3x3 (incl. flooring)</t>
        </is>
      </c>
      <c r="E163" s="11" t="inlineStr">
        <is>
          <t>unit</t>
        </is>
      </c>
      <c r="F163" s="11" t="inlineStr">
        <is>
          <t>day</t>
        </is>
      </c>
      <c r="G163" s="8" t="n">
        <v>900000</v>
      </c>
      <c r="H163" s="8" t="n">
        <v>1200000</v>
      </c>
      <c r="I163" s="12" t="inlineStr">
        <is>
          <t>incl. carpet + lighting</t>
        </is>
      </c>
    </row>
    <row r="164" ht="15" customHeight="1">
      <c r="A164" s="6" t="n">
        <v>3</v>
      </c>
      <c r="B164" s="7" t="inlineStr">
        <is>
          <t>D. VENUE SETUP &amp; SYSTEM</t>
        </is>
      </c>
      <c r="C164" s="7" t="inlineStr">
        <is>
          <t>D8. Tenda &amp; Shelter</t>
        </is>
      </c>
      <c r="D164" s="7" t="inlineStr">
        <is>
          <t>Tenda Sarnafil 5x5 (Putih, incl. flooring)</t>
        </is>
      </c>
      <c r="E164" s="7" t="inlineStr">
        <is>
          <t>unit</t>
        </is>
      </c>
      <c r="F164" s="7" t="inlineStr">
        <is>
          <t>day</t>
        </is>
      </c>
      <c r="G164" s="8" t="n">
        <v>1200000</v>
      </c>
      <c r="H164" s="8" t="n">
        <v>1500000</v>
      </c>
      <c r="I164" s="9" t="inlineStr">
        <is>
          <t>incl. carpet + lighting</t>
        </is>
      </c>
    </row>
    <row r="165" ht="15" customHeight="1">
      <c r="A165" s="10" t="n">
        <v>4</v>
      </c>
      <c r="B165" s="11" t="inlineStr">
        <is>
          <t>D. VENUE SETUP &amp; SYSTEM</t>
        </is>
      </c>
      <c r="C165" s="11" t="inlineStr">
        <is>
          <t>D8. Tenda &amp; Shelter</t>
        </is>
      </c>
      <c r="D165" s="11" t="inlineStr">
        <is>
          <t>Tenda Sarnafil 5x5 (Hitam, incl. flooring)</t>
        </is>
      </c>
      <c r="E165" s="11" t="inlineStr">
        <is>
          <t>unit</t>
        </is>
      </c>
      <c r="F165" s="11" t="inlineStr">
        <is>
          <t>day</t>
        </is>
      </c>
      <c r="G165" s="8" t="n">
        <v>1300000</v>
      </c>
      <c r="H165" s="8" t="n">
        <v>1700000</v>
      </c>
      <c r="I165" s="12" t="inlineStr">
        <is>
          <t>incl. carpet + lighting</t>
        </is>
      </c>
    </row>
    <row r="166" ht="15" customHeight="1">
      <c r="A166" s="6" t="n">
        <v>5</v>
      </c>
      <c r="B166" s="7" t="inlineStr">
        <is>
          <t>D. VENUE SETUP &amp; SYSTEM</t>
        </is>
      </c>
      <c r="C166" s="7" t="inlineStr">
        <is>
          <t>D8. Tenda &amp; Shelter</t>
        </is>
      </c>
      <c r="D166" s="7" t="inlineStr">
        <is>
          <t>Tenda Plafon / Tratak (per m2)</t>
        </is>
      </c>
      <c r="E166" s="7" t="inlineStr">
        <is>
          <t>m2</t>
        </is>
      </c>
      <c r="F166" s="7" t="inlineStr">
        <is>
          <t>day</t>
        </is>
      </c>
      <c r="G166" s="8" t="n">
        <v>50000</v>
      </c>
      <c r="H166" s="8" t="n">
        <v>75000</v>
      </c>
      <c r="I166" s="9" t="inlineStr">
        <is>
          <t>non dekor</t>
        </is>
      </c>
    </row>
    <row r="167" ht="15" customHeight="1">
      <c r="A167" s="10" t="n">
        <v>6</v>
      </c>
      <c r="B167" s="11" t="inlineStr">
        <is>
          <t>D. VENUE SETUP &amp; SYSTEM</t>
        </is>
      </c>
      <c r="C167" s="11" t="inlineStr">
        <is>
          <t>D8. Tenda &amp; Shelter</t>
        </is>
      </c>
      <c r="D167" s="11" t="inlineStr">
        <is>
          <t>Roders</t>
        </is>
      </c>
      <c r="E167" s="11" t="inlineStr">
        <is>
          <t>m2</t>
        </is>
      </c>
      <c r="F167" s="11" t="inlineStr">
        <is>
          <t>day</t>
        </is>
      </c>
      <c r="G167" s="8" t="n">
        <v>90000</v>
      </c>
      <c r="H167" s="8" t="n">
        <v>120000</v>
      </c>
      <c r="I167" s="12" t="inlineStr">
        <is>
          <t>per m2</t>
        </is>
      </c>
    </row>
    <row r="168" ht="15" customHeight="1">
      <c r="A168" s="5" t="inlineStr">
        <is>
          <t xml:space="preserve">  D9. Branding &amp; Signage</t>
        </is>
      </c>
    </row>
    <row r="169" ht="15" customHeight="1">
      <c r="A169" s="6" t="n">
        <v>1</v>
      </c>
      <c r="B169" s="7" t="inlineStr">
        <is>
          <t>D. VENUE SETUP &amp; SYSTEM</t>
        </is>
      </c>
      <c r="C169" s="7" t="inlineStr">
        <is>
          <t>D9. Branding &amp; Signage</t>
        </is>
      </c>
      <c r="D169" s="7" t="inlineStr">
        <is>
          <t>Registration Backdrop (244x366cm)</t>
        </is>
      </c>
      <c r="E169" s="7" t="inlineStr">
        <is>
          <t>set</t>
        </is>
      </c>
      <c r="F169" s="7" t="inlineStr">
        <is>
          <t>event</t>
        </is>
      </c>
      <c r="G169" s="8" t="n">
        <v>3500000</v>
      </c>
      <c r="H169" s="8" t="n">
        <v>5000000</v>
      </c>
      <c r="I169" s="9" t="inlineStr">
        <is>
          <t>multiplek fin flexy</t>
        </is>
      </c>
    </row>
    <row r="170" ht="15" customHeight="1">
      <c r="A170" s="10" t="n">
        <v>2</v>
      </c>
      <c r="B170" s="11" t="inlineStr">
        <is>
          <t>D. VENUE SETUP &amp; SYSTEM</t>
        </is>
      </c>
      <c r="C170" s="11" t="inlineStr">
        <is>
          <t>D9. Branding &amp; Signage</t>
        </is>
      </c>
      <c r="D170" s="11" t="inlineStr">
        <is>
          <t>Photowall / Doorstop (366x244cm)</t>
        </is>
      </c>
      <c r="E170" s="11" t="inlineStr">
        <is>
          <t>set</t>
        </is>
      </c>
      <c r="F170" s="11" t="inlineStr">
        <is>
          <t>event</t>
        </is>
      </c>
      <c r="G170" s="8" t="n">
        <v>3500000</v>
      </c>
      <c r="H170" s="8" t="n">
        <v>5000000</v>
      </c>
      <c r="I170" s="12" t="inlineStr">
        <is>
          <t>multiplek fin flexy</t>
        </is>
      </c>
    </row>
    <row r="171" ht="15" customHeight="1">
      <c r="A171" s="6" t="n">
        <v>3</v>
      </c>
      <c r="B171" s="7" t="inlineStr">
        <is>
          <t>D. VENUE SETUP &amp; SYSTEM</t>
        </is>
      </c>
      <c r="C171" s="7" t="inlineStr">
        <is>
          <t>D9. Branding &amp; Signage</t>
        </is>
      </c>
      <c r="D171" s="7" t="inlineStr">
        <is>
          <t>Side Backdrop (300x110cm)</t>
        </is>
      </c>
      <c r="E171" s="7" t="inlineStr">
        <is>
          <t>set</t>
        </is>
      </c>
      <c r="F171" s="7" t="inlineStr">
        <is>
          <t>event</t>
        </is>
      </c>
      <c r="G171" s="8" t="n">
        <v>2500000</v>
      </c>
      <c r="H171" s="8" t="n">
        <v>3500000</v>
      </c>
      <c r="I171" s="9" t="inlineStr">
        <is>
          <t>multiplek fin flexy</t>
        </is>
      </c>
    </row>
    <row r="172" ht="15" customHeight="1">
      <c r="A172" s="10" t="n">
        <v>4</v>
      </c>
      <c r="B172" s="11" t="inlineStr">
        <is>
          <t>D. VENUE SETUP &amp; SYSTEM</t>
        </is>
      </c>
      <c r="C172" s="11" t="inlineStr">
        <is>
          <t>D9. Branding &amp; Signage</t>
        </is>
      </c>
      <c r="D172" s="11" t="inlineStr">
        <is>
          <t>T-Banner (3x1m, iron frame)</t>
        </is>
      </c>
      <c r="E172" s="11" t="inlineStr">
        <is>
          <t>unit</t>
        </is>
      </c>
      <c r="F172" s="11" t="inlineStr">
        <is>
          <t>project</t>
        </is>
      </c>
      <c r="G172" s="8" t="n">
        <v>250000</v>
      </c>
      <c r="H172" s="8" t="n">
        <v>375000</v>
      </c>
      <c r="I172" s="12" t="inlineStr"/>
    </row>
    <row r="173" ht="15" customHeight="1">
      <c r="A173" s="6" t="n">
        <v>5</v>
      </c>
      <c r="B173" s="7" t="inlineStr">
        <is>
          <t>D. VENUE SETUP &amp; SYSTEM</t>
        </is>
      </c>
      <c r="C173" s="7" t="inlineStr">
        <is>
          <t>D9. Branding &amp; Signage</t>
        </is>
      </c>
      <c r="D173" s="7" t="inlineStr">
        <is>
          <t>Tripod Banner</t>
        </is>
      </c>
      <c r="E173" s="7" t="inlineStr">
        <is>
          <t>unit</t>
        </is>
      </c>
      <c r="F173" s="7" t="inlineStr">
        <is>
          <t>project</t>
        </is>
      </c>
      <c r="G173" s="8" t="n">
        <v>200000</v>
      </c>
      <c r="H173" s="8" t="n">
        <v>400000</v>
      </c>
      <c r="I173" s="9" t="inlineStr"/>
    </row>
    <row r="174" ht="16" customHeight="1">
      <c r="A174" s="10" t="n">
        <v>6</v>
      </c>
      <c r="B174" s="23" t="n"/>
      <c r="C174" s="23" t="n"/>
      <c r="D174" s="23" t="n"/>
      <c r="E174" s="23" t="n"/>
      <c r="F174" s="23" t="n"/>
      <c r="G174" s="23" t="n"/>
      <c r="H174" s="23" t="n"/>
      <c r="I174" s="24" t="n"/>
    </row>
    <row r="175" ht="15" customHeight="1">
      <c r="A175" s="6" t="n">
        <v>7</v>
      </c>
      <c r="B175" s="7" t="inlineStr">
        <is>
          <t>D. VENUE SETUP &amp; SYSTEM</t>
        </is>
      </c>
      <c r="C175" s="7" t="inlineStr">
        <is>
          <t>D9. Branding &amp; Signage</t>
        </is>
      </c>
      <c r="D175" s="7" t="inlineStr">
        <is>
          <t>Totem Signage</t>
        </is>
      </c>
      <c r="E175" s="7" t="inlineStr">
        <is>
          <t>unit</t>
        </is>
      </c>
      <c r="F175" s="7" t="inlineStr">
        <is>
          <t>day</t>
        </is>
      </c>
      <c r="G175" s="8" t="n">
        <v>1000000</v>
      </c>
      <c r="H175" s="8" t="n">
        <v>1500000</v>
      </c>
      <c r="I175" s="9" t="inlineStr"/>
    </row>
    <row r="176" ht="15" customHeight="1">
      <c r="A176" s="10" t="n">
        <v>8</v>
      </c>
      <c r="B176" s="11" t="inlineStr">
        <is>
          <t>D. VENUE SETUP &amp; SYSTEM</t>
        </is>
      </c>
      <c r="C176" s="11" t="inlineStr">
        <is>
          <t>D9. Branding &amp; Signage</t>
        </is>
      </c>
      <c r="D176" s="11" t="inlineStr">
        <is>
          <t>Queue Line / Baricade Antrian</t>
        </is>
      </c>
      <c r="E176" s="11" t="inlineStr">
        <is>
          <t>unit</t>
        </is>
      </c>
      <c r="F176" s="11" t="inlineStr">
        <is>
          <t>day</t>
        </is>
      </c>
      <c r="G176" s="8" t="n">
        <v>130000</v>
      </c>
      <c r="H176" s="8" t="n">
        <v>195000</v>
      </c>
      <c r="I176" s="12" t="inlineStr">
        <is>
          <t>bank queue line</t>
        </is>
      </c>
    </row>
    <row r="177" ht="15" customHeight="1">
      <c r="A177" s="6" t="n">
        <v>9</v>
      </c>
      <c r="B177" s="7" t="inlineStr">
        <is>
          <t>D. VENUE SETUP &amp; SYSTEM</t>
        </is>
      </c>
      <c r="C177" s="7" t="inlineStr">
        <is>
          <t>D9. Branding &amp; Signage</t>
        </is>
      </c>
      <c r="D177" s="7" t="inlineStr">
        <is>
          <t>Rowing Baricade</t>
        </is>
      </c>
      <c r="E177" s="7" t="inlineStr">
        <is>
          <t>mtr</t>
        </is>
      </c>
      <c r="F177" s="7" t="inlineStr">
        <is>
          <t>day</t>
        </is>
      </c>
      <c r="G177" s="8" t="n">
        <v>35000</v>
      </c>
      <c r="H177" s="8" t="n">
        <v>45000</v>
      </c>
      <c r="I177" s="9" t="inlineStr">
        <is>
          <t>per meter</t>
        </is>
      </c>
    </row>
    <row r="178" ht="15" customHeight="1">
      <c r="A178" s="10" t="n">
        <v>10</v>
      </c>
      <c r="B178" s="11" t="inlineStr">
        <is>
          <t>D. VENUE SETUP &amp; SYSTEM</t>
        </is>
      </c>
      <c r="C178" s="11" t="inlineStr">
        <is>
          <t>D9. Branding &amp; Signage</t>
        </is>
      </c>
      <c r="D178" s="11" t="inlineStr">
        <is>
          <t>Standard Baricade</t>
        </is>
      </c>
      <c r="E178" s="11" t="inlineStr">
        <is>
          <t>unit</t>
        </is>
      </c>
      <c r="F178" s="11" t="inlineStr">
        <is>
          <t>day</t>
        </is>
      </c>
      <c r="G178" s="8" t="n">
        <v>35000</v>
      </c>
      <c r="H178" s="8" t="n">
        <v>50000</v>
      </c>
      <c r="I178" s="12" t="inlineStr">
        <is>
          <t>hitam tinggi 1.2m</t>
        </is>
      </c>
    </row>
    <row r="179" ht="15" customHeight="1">
      <c r="A179" s="6" t="n">
        <v>11</v>
      </c>
      <c r="B179" s="7" t="inlineStr">
        <is>
          <t>D. VENUE SETUP &amp; SYSTEM</t>
        </is>
      </c>
      <c r="C179" s="7" t="inlineStr">
        <is>
          <t>D9. Branding &amp; Signage</t>
        </is>
      </c>
      <c r="D179" s="7" t="inlineStr">
        <is>
          <t>Mini Garden / Tanaman Hias</t>
        </is>
      </c>
      <c r="E179" s="7" t="inlineStr">
        <is>
          <t>mtr</t>
        </is>
      </c>
      <c r="F179" s="7" t="inlineStr">
        <is>
          <t>day</t>
        </is>
      </c>
      <c r="G179" s="8" t="n">
        <v>400000</v>
      </c>
      <c r="H179" s="8" t="n">
        <v>750000</v>
      </c>
      <c r="I179" s="9" t="inlineStr">
        <is>
          <t>per meter</t>
        </is>
      </c>
    </row>
    <row r="180" ht="15" customHeight="1">
      <c r="A180" s="10" t="n">
        <v>12</v>
      </c>
      <c r="B180" s="11" t="inlineStr">
        <is>
          <t>D. VENUE SETUP &amp; SYSTEM</t>
        </is>
      </c>
      <c r="C180" s="11" t="inlineStr">
        <is>
          <t>D9. Branding &amp; Signage</t>
        </is>
      </c>
      <c r="D180" s="11" t="inlineStr">
        <is>
          <t>Pataka + Flag</t>
        </is>
      </c>
      <c r="E180" s="11" t="inlineStr">
        <is>
          <t>set</t>
        </is>
      </c>
      <c r="F180" s="11" t="inlineStr">
        <is>
          <t>day</t>
        </is>
      </c>
      <c r="G180" s="8" t="n">
        <v>500000</v>
      </c>
      <c r="H180" s="8" t="n">
        <v>750000</v>
      </c>
      <c r="I180" s="12" t="inlineStr">
        <is>
          <t>merah putih + event</t>
        </is>
      </c>
    </row>
    <row r="181" ht="15" customHeight="1">
      <c r="A181" s="6" t="n">
        <v>13</v>
      </c>
      <c r="B181" s="7" t="inlineStr">
        <is>
          <t>D. VENUE SETUP &amp; SYSTEM</t>
        </is>
      </c>
      <c r="C181" s="7" t="inlineStr">
        <is>
          <t>D9. Branding &amp; Signage</t>
        </is>
      </c>
      <c r="D181" s="7" t="inlineStr">
        <is>
          <t>Welcome Banner Flexy 1x5m</t>
        </is>
      </c>
      <c r="E181" s="7" t="inlineStr">
        <is>
          <t>pcs</t>
        </is>
      </c>
      <c r="F181" s="7" t="inlineStr">
        <is>
          <t>event</t>
        </is>
      </c>
      <c r="G181" s="8" t="n">
        <v>130000</v>
      </c>
      <c r="H181" s="8" t="n">
        <v>200000</v>
      </c>
      <c r="I181" s="9" t="inlineStr"/>
    </row>
    <row r="182" ht="15" customHeight="1">
      <c r="A182" s="5" t="inlineStr">
        <is>
          <t xml:space="preserve">  D10. Furniture &amp; Equipment</t>
        </is>
      </c>
    </row>
    <row r="183" ht="15" customHeight="1">
      <c r="A183" s="6" t="n">
        <v>1</v>
      </c>
      <c r="B183" s="7" t="inlineStr">
        <is>
          <t>D. VENUE SETUP &amp; SYSTEM</t>
        </is>
      </c>
      <c r="C183" s="7" t="inlineStr">
        <is>
          <t>D10. Furniture &amp; Equipment</t>
        </is>
      </c>
      <c r="D183" s="7" t="inlineStr">
        <is>
          <t>Futura Chair incl. cover</t>
        </is>
      </c>
      <c r="E183" s="7" t="inlineStr">
        <is>
          <t>unit</t>
        </is>
      </c>
      <c r="F183" s="7" t="inlineStr">
        <is>
          <t>day</t>
        </is>
      </c>
      <c r="G183" s="8" t="n">
        <v>20000</v>
      </c>
      <c r="H183" s="8" t="n">
        <v>35000</v>
      </c>
      <c r="I183" s="9" t="inlineStr"/>
    </row>
    <row r="184" ht="15" customHeight="1">
      <c r="A184" s="10" t="n">
        <v>2</v>
      </c>
      <c r="B184" s="11" t="inlineStr">
        <is>
          <t>D. VENUE SETUP &amp; SYSTEM</t>
        </is>
      </c>
      <c r="C184" s="11" t="inlineStr">
        <is>
          <t>D10. Furniture &amp; Equipment</t>
        </is>
      </c>
      <c r="D184" s="11" t="inlineStr">
        <is>
          <t>IBM Table (180x60cm) incl. skirting</t>
        </is>
      </c>
      <c r="E184" s="11" t="inlineStr">
        <is>
          <t>unit</t>
        </is>
      </c>
      <c r="F184" s="11" t="inlineStr">
        <is>
          <t>day</t>
        </is>
      </c>
      <c r="G184" s="8" t="n">
        <v>80000</v>
      </c>
      <c r="H184" s="8" t="n">
        <v>120000</v>
      </c>
      <c r="I184" s="12" t="inlineStr"/>
    </row>
    <row r="185" ht="15" customHeight="1">
      <c r="A185" s="6" t="n">
        <v>3</v>
      </c>
      <c r="B185" s="7" t="inlineStr">
        <is>
          <t>D. VENUE SETUP &amp; SYSTEM</t>
        </is>
      </c>
      <c r="C185" s="7" t="inlineStr">
        <is>
          <t>D10. Furniture &amp; Equipment</t>
        </is>
      </c>
      <c r="D185" s="7" t="inlineStr">
        <is>
          <t>Round Table (180cm)</t>
        </is>
      </c>
      <c r="E185" s="7" t="inlineStr">
        <is>
          <t>unit</t>
        </is>
      </c>
      <c r="F185" s="7" t="inlineStr">
        <is>
          <t>day</t>
        </is>
      </c>
      <c r="G185" s="8" t="n">
        <v>60000</v>
      </c>
      <c r="H185" s="8" t="n">
        <v>150000</v>
      </c>
      <c r="I185" s="9" t="inlineStr"/>
    </row>
    <row r="186" ht="15" customHeight="1">
      <c r="A186" s="10" t="n">
        <v>4</v>
      </c>
      <c r="B186" s="11" t="inlineStr">
        <is>
          <t>D. VENUE SETUP &amp; SYSTEM</t>
        </is>
      </c>
      <c r="C186" s="11" t="inlineStr">
        <is>
          <t>D10. Furniture &amp; Equipment</t>
        </is>
      </c>
      <c r="D186" s="11" t="inlineStr">
        <is>
          <t>Sofa</t>
        </is>
      </c>
      <c r="E186" s="11" t="inlineStr">
        <is>
          <t>unit</t>
        </is>
      </c>
      <c r="F186" s="11" t="inlineStr">
        <is>
          <t>day</t>
        </is>
      </c>
      <c r="G186" s="8" t="n">
        <v>200000</v>
      </c>
      <c r="H186" s="8" t="n">
        <v>300000</v>
      </c>
      <c r="I186" s="12" t="inlineStr">
        <is>
          <t>per unit</t>
        </is>
      </c>
    </row>
    <row r="187" ht="16" customHeight="1">
      <c r="A187" s="6" t="n">
        <v>5</v>
      </c>
      <c r="B187" s="23" t="n"/>
      <c r="C187" s="23" t="n"/>
      <c r="D187" s="23" t="n"/>
      <c r="E187" s="23" t="n"/>
      <c r="F187" s="23" t="n"/>
      <c r="G187" s="23" t="n"/>
      <c r="H187" s="23" t="n"/>
      <c r="I187" s="24" t="n"/>
    </row>
    <row r="188" ht="15" customHeight="1">
      <c r="A188" s="10" t="n">
        <v>6</v>
      </c>
      <c r="B188" s="11" t="inlineStr">
        <is>
          <t>D. VENUE SETUP &amp; SYSTEM</t>
        </is>
      </c>
      <c r="C188" s="11" t="inlineStr">
        <is>
          <t>D10. Furniture &amp; Equipment</t>
        </is>
      </c>
      <c r="D188" s="11" t="inlineStr">
        <is>
          <t>Coffee Table</t>
        </is>
      </c>
      <c r="E188" s="11" t="inlineStr">
        <is>
          <t>unit</t>
        </is>
      </c>
      <c r="F188" s="11" t="inlineStr">
        <is>
          <t>day</t>
        </is>
      </c>
      <c r="G188" s="8" t="n">
        <v>150000</v>
      </c>
      <c r="H188" s="8" t="n">
        <v>250000</v>
      </c>
      <c r="I188" s="12" t="inlineStr"/>
    </row>
    <row r="189" ht="15" customHeight="1">
      <c r="A189" s="6" t="n">
        <v>7</v>
      </c>
      <c r="B189" s="7" t="inlineStr">
        <is>
          <t>D. VENUE SETUP &amp; SYSTEM</t>
        </is>
      </c>
      <c r="C189" s="7" t="inlineStr">
        <is>
          <t>D10. Furniture &amp; Equipment</t>
        </is>
      </c>
      <c r="D189" s="7" t="inlineStr">
        <is>
          <t>Centerpiece Meja</t>
        </is>
      </c>
      <c r="E189" s="7" t="inlineStr">
        <is>
          <t>unit</t>
        </is>
      </c>
      <c r="F189" s="7" t="inlineStr">
        <is>
          <t>event</t>
        </is>
      </c>
      <c r="G189" s="8" t="n">
        <v>150000</v>
      </c>
      <c r="H189" s="8" t="n">
        <v>250000</v>
      </c>
      <c r="I189" s="9" t="inlineStr">
        <is>
          <t>per meja</t>
        </is>
      </c>
    </row>
    <row r="190" ht="15" customHeight="1">
      <c r="A190" s="10" t="n">
        <v>8</v>
      </c>
      <c r="B190" s="11" t="inlineStr">
        <is>
          <t>D. VENUE SETUP &amp; SYSTEM</t>
        </is>
      </c>
      <c r="C190" s="11" t="inlineStr">
        <is>
          <t>D10. Furniture &amp; Equipment</t>
        </is>
      </c>
      <c r="D190" s="11" t="inlineStr">
        <is>
          <t>AC Portable 3PK</t>
        </is>
      </c>
      <c r="E190" s="11" t="inlineStr">
        <is>
          <t>unit</t>
        </is>
      </c>
      <c r="F190" s="11" t="inlineStr">
        <is>
          <t>day</t>
        </is>
      </c>
      <c r="G190" s="8" t="n">
        <v>450000</v>
      </c>
      <c r="H190" s="8" t="n">
        <v>700000</v>
      </c>
      <c r="I190" s="12" t="inlineStr">
        <is>
          <t>incl. instalasi</t>
        </is>
      </c>
    </row>
    <row r="191" ht="15" customHeight="1">
      <c r="A191" s="6" t="n">
        <v>9</v>
      </c>
      <c r="B191" s="7" t="inlineStr">
        <is>
          <t>D. VENUE SETUP &amp; SYSTEM</t>
        </is>
      </c>
      <c r="C191" s="7" t="inlineStr">
        <is>
          <t>D10. Furniture &amp; Equipment</t>
        </is>
      </c>
      <c r="D191" s="7" t="inlineStr">
        <is>
          <t>AC Portable 5PK</t>
        </is>
      </c>
      <c r="E191" s="7" t="inlineStr">
        <is>
          <t>unit</t>
        </is>
      </c>
      <c r="F191" s="7" t="inlineStr">
        <is>
          <t>day</t>
        </is>
      </c>
      <c r="G191" s="8" t="n">
        <v>650000</v>
      </c>
      <c r="H191" s="8" t="n">
        <v>950000</v>
      </c>
      <c r="I191" s="9" t="inlineStr">
        <is>
          <t>incl. instalasi</t>
        </is>
      </c>
    </row>
    <row r="192" ht="15" customHeight="1">
      <c r="A192" s="10" t="n">
        <v>10</v>
      </c>
      <c r="B192" s="11" t="inlineStr">
        <is>
          <t>D. VENUE SETUP &amp; SYSTEM</t>
        </is>
      </c>
      <c r="C192" s="11" t="inlineStr">
        <is>
          <t>D10. Furniture &amp; Equipment</t>
        </is>
      </c>
      <c r="D192" s="11" t="inlineStr">
        <is>
          <t>Misty Fan</t>
        </is>
      </c>
      <c r="E192" s="11" t="inlineStr">
        <is>
          <t>unit</t>
        </is>
      </c>
      <c r="F192" s="11" t="inlineStr">
        <is>
          <t>day</t>
        </is>
      </c>
      <c r="G192" s="8" t="n">
        <v>400000</v>
      </c>
      <c r="H192" s="8" t="n">
        <v>550000</v>
      </c>
      <c r="I192" s="12" t="inlineStr"/>
    </row>
    <row r="193" ht="15" customHeight="1">
      <c r="A193" s="6" t="n">
        <v>11</v>
      </c>
      <c r="B193" s="7" t="inlineStr">
        <is>
          <t>D. VENUE SETUP &amp; SYSTEM</t>
        </is>
      </c>
      <c r="C193" s="7" t="inlineStr">
        <is>
          <t>D10. Furniture &amp; Equipment</t>
        </is>
      </c>
      <c r="D193" s="7" t="inlineStr">
        <is>
          <t>Flooring Multiplek</t>
        </is>
      </c>
      <c r="E193" s="7" t="inlineStr">
        <is>
          <t>m2</t>
        </is>
      </c>
      <c r="F193" s="7" t="inlineStr">
        <is>
          <t>project</t>
        </is>
      </c>
      <c r="G193" s="8" t="n">
        <v>60000</v>
      </c>
      <c r="H193" s="8" t="n">
        <v>75000</v>
      </c>
      <c r="I193" s="9" t="inlineStr">
        <is>
          <t>per m2</t>
        </is>
      </c>
    </row>
    <row r="194">
      <c r="A194" s="10" t="n">
        <v>12</v>
      </c>
      <c r="B194" s="11" t="inlineStr">
        <is>
          <t>D. VENUE SETUP &amp; SYSTEM</t>
        </is>
      </c>
      <c r="C194" s="11" t="inlineStr">
        <is>
          <t>D10. Furniture &amp; Equipment</t>
        </is>
      </c>
      <c r="D194" s="11" t="inlineStr">
        <is>
          <t>Carpet per m2</t>
        </is>
      </c>
      <c r="E194" s="11" t="inlineStr">
        <is>
          <t>m2</t>
        </is>
      </c>
      <c r="F194" s="11" t="inlineStr">
        <is>
          <t>day</t>
        </is>
      </c>
      <c r="G194" s="8" t="n">
        <v>20000</v>
      </c>
      <c r="H194" s="8" t="n">
        <v>35000</v>
      </c>
      <c r="I194" s="12" t="inlineStr"/>
    </row>
    <row r="195" ht="18" customHeight="1">
      <c r="A195" s="5" t="inlineStr">
        <is>
          <t xml:space="preserve">  D11. Multimedia Produksi</t>
        </is>
      </c>
    </row>
    <row r="196" ht="16" customHeight="1">
      <c r="A196" s="6" t="n">
        <v>1</v>
      </c>
      <c r="B196" s="23" t="n"/>
      <c r="C196" s="23" t="n"/>
      <c r="D196" s="23" t="n"/>
      <c r="E196" s="23" t="n"/>
      <c r="F196" s="23" t="n"/>
      <c r="G196" s="23" t="n"/>
      <c r="H196" s="23" t="n"/>
      <c r="I196" s="24" t="n"/>
    </row>
    <row r="197" ht="15" customHeight="1">
      <c r="A197" s="10" t="n">
        <v>2</v>
      </c>
      <c r="B197" s="11" t="inlineStr">
        <is>
          <t>D. VENUE SETUP &amp; SYSTEM</t>
        </is>
      </c>
      <c r="C197" s="11" t="inlineStr">
        <is>
          <t>D11. Multimedia Produksi</t>
        </is>
      </c>
      <c r="D197" s="11" t="inlineStr">
        <is>
          <t>Live Camera Paket (6 cam + Switcher + JJ)</t>
        </is>
      </c>
      <c r="E197" s="11" t="inlineStr">
        <is>
          <t>pckg</t>
        </is>
      </c>
      <c r="F197" s="11" t="inlineStr">
        <is>
          <t>day</t>
        </is>
      </c>
      <c r="G197" s="8" t="n">
        <v>28000000</v>
      </c>
      <c r="H197" s="8" t="n">
        <v>40000000</v>
      </c>
      <c r="I197" s="12" t="inlineStr">
        <is>
          <t>6 kamera + jimmy jib</t>
        </is>
      </c>
    </row>
    <row r="198" ht="15" customHeight="1">
      <c r="A198" s="6" t="n">
        <v>3</v>
      </c>
      <c r="B198" s="7" t="inlineStr">
        <is>
          <t>D. VENUE SETUP &amp; SYSTEM</t>
        </is>
      </c>
      <c r="C198" s="7" t="inlineStr">
        <is>
          <t>D11. Multimedia Produksi</t>
        </is>
      </c>
      <c r="D198" s="7" t="inlineStr">
        <is>
          <t>Switcher</t>
        </is>
      </c>
      <c r="E198" s="7" t="inlineStr">
        <is>
          <t>unit</t>
        </is>
      </c>
      <c r="F198" s="7" t="inlineStr">
        <is>
          <t>event</t>
        </is>
      </c>
      <c r="G198" s="8" t="n">
        <v>5000000</v>
      </c>
      <c r="H198" s="8" t="n">
        <v>7000000</v>
      </c>
      <c r="I198" s="9" t="inlineStr"/>
    </row>
    <row r="199" ht="15" customHeight="1">
      <c r="A199" s="10" t="n">
        <v>4</v>
      </c>
      <c r="B199" s="11" t="inlineStr">
        <is>
          <t>D. VENUE SETUP &amp; SYSTEM</t>
        </is>
      </c>
      <c r="C199" s="11" t="inlineStr">
        <is>
          <t>D11. Multimedia Produksi</t>
        </is>
      </c>
      <c r="D199" s="11" t="inlineStr">
        <is>
          <t>System 4K &amp; Relay</t>
        </is>
      </c>
      <c r="E199" s="11" t="inlineStr">
        <is>
          <t>pckg</t>
        </is>
      </c>
      <c r="F199" s="11" t="inlineStr">
        <is>
          <t>event</t>
        </is>
      </c>
      <c r="G199" s="8" t="n">
        <v>5000000</v>
      </c>
      <c r="H199" s="8" t="n">
        <v>7000000</v>
      </c>
      <c r="I199" s="12" t="inlineStr"/>
    </row>
    <row r="200" ht="15" customHeight="1">
      <c r="A200" s="6" t="n">
        <v>5</v>
      </c>
      <c r="B200" s="7" t="inlineStr">
        <is>
          <t>D. VENUE SETUP &amp; SYSTEM</t>
        </is>
      </c>
      <c r="C200" s="7" t="inlineStr">
        <is>
          <t>D11. Multimedia Produksi</t>
        </is>
      </c>
      <c r="D200" s="7" t="inlineStr">
        <is>
          <t>TV Prompter 55 inch</t>
        </is>
      </c>
      <c r="E200" s="7" t="inlineStr">
        <is>
          <t>set</t>
        </is>
      </c>
      <c r="F200" s="7" t="inlineStr">
        <is>
          <t>day</t>
        </is>
      </c>
      <c r="G200" s="8" t="n">
        <v>750000</v>
      </c>
      <c r="H200" s="8" t="n">
        <v>1000000</v>
      </c>
      <c r="I200" s="9" t="inlineStr"/>
    </row>
    <row r="201" ht="15" customHeight="1">
      <c r="A201" s="10" t="n">
        <v>6</v>
      </c>
      <c r="B201" s="11" t="inlineStr">
        <is>
          <t>D. VENUE SETUP &amp; SYSTEM</t>
        </is>
      </c>
      <c r="C201" s="11" t="inlineStr">
        <is>
          <t>D11. Multimedia Produksi</t>
        </is>
      </c>
      <c r="D201" s="11" t="inlineStr">
        <is>
          <t>Internet Dedicated 50Mbps Main+Backup</t>
        </is>
      </c>
      <c r="E201" s="11" t="inlineStr">
        <is>
          <t>pckg</t>
        </is>
      </c>
      <c r="F201" s="11" t="inlineStr">
        <is>
          <t>event</t>
        </is>
      </c>
      <c r="G201" s="8" t="n">
        <v>15000000</v>
      </c>
      <c r="H201" s="8" t="n">
        <v>20000000</v>
      </c>
      <c r="I201" s="12" t="inlineStr">
        <is>
          <t>one time charge</t>
        </is>
      </c>
    </row>
    <row r="202" ht="15" customHeight="1"/>
    <row r="203" ht="16" customHeight="1">
      <c r="A203" s="5" t="inlineStr">
        <is>
          <t xml:space="preserve">  D12. Booth Sponsor &amp; Activation</t>
        </is>
      </c>
    </row>
    <row r="204" ht="15" customHeight="1">
      <c r="A204" s="6" t="n">
        <v>1</v>
      </c>
      <c r="B204" s="7" t="inlineStr">
        <is>
          <t>D. VENUE SETUP &amp; SYSTEM</t>
        </is>
      </c>
      <c r="C204" s="7" t="inlineStr">
        <is>
          <t>D12. Booth Sponsor &amp; Activation</t>
        </is>
      </c>
      <c r="D204" s="7" t="inlineStr">
        <is>
          <t>Booth Sponsor Standar (Sarnafil 3x3)</t>
        </is>
      </c>
      <c r="E204" s="7" t="inlineStr">
        <is>
          <t>unit</t>
        </is>
      </c>
      <c r="F204" s="7" t="inlineStr">
        <is>
          <t>day</t>
        </is>
      </c>
      <c r="G204" s="8" t="n">
        <v>900000</v>
      </c>
      <c r="H204" s="8" t="n">
        <v>1400000</v>
      </c>
      <c r="I204" s="9" t="inlineStr">
        <is>
          <t>incl. fascia + flooring + lighting</t>
        </is>
      </c>
    </row>
    <row r="205" ht="15" customHeight="1">
      <c r="A205" s="10" t="n">
        <v>2</v>
      </c>
      <c r="B205" s="11" t="inlineStr">
        <is>
          <t>D. VENUE SETUP &amp; SYSTEM</t>
        </is>
      </c>
      <c r="C205" s="11" t="inlineStr">
        <is>
          <t>D12. Booth Sponsor &amp; Activation</t>
        </is>
      </c>
      <c r="D205" s="11" t="inlineStr">
        <is>
          <t>Booth Sponsor Medium (Sarnafil 5x5)</t>
        </is>
      </c>
      <c r="E205" s="11" t="inlineStr">
        <is>
          <t>unit</t>
        </is>
      </c>
      <c r="F205" s="11" t="inlineStr">
        <is>
          <t>day</t>
        </is>
      </c>
      <c r="G205" s="8" t="n">
        <v>1300000</v>
      </c>
      <c r="H205" s="8" t="n">
        <v>2000000</v>
      </c>
      <c r="I205" s="12" t="inlineStr">
        <is>
          <t>incl. fascia + flooring + lighting</t>
        </is>
      </c>
    </row>
    <row r="206" ht="15" customHeight="1">
      <c r="A206" s="6" t="n">
        <v>3</v>
      </c>
      <c r="B206" s="7" t="inlineStr">
        <is>
          <t>D. VENUE SETUP &amp; SYSTEM</t>
        </is>
      </c>
      <c r="C206" s="7" t="inlineStr">
        <is>
          <t>D12. Booth Sponsor &amp; Activation</t>
        </is>
      </c>
      <c r="D206" s="7" t="inlineStr">
        <is>
          <t>Booth Sponsor Custom</t>
        </is>
      </c>
      <c r="E206" s="7" t="inlineStr">
        <is>
          <t>m2</t>
        </is>
      </c>
      <c r="F206" s="7" t="inlineStr">
        <is>
          <t>project</t>
        </is>
      </c>
      <c r="G206" s="8" t="n">
        <v>350000</v>
      </c>
      <c r="H206" s="8" t="n">
        <v>550000</v>
      </c>
      <c r="I206" s="9" t="inlineStr">
        <is>
          <t>rangka multiplek, full branding — Dihitung per m2</t>
        </is>
      </c>
    </row>
    <row r="207" ht="15" customHeight="1">
      <c r="A207" s="10" t="n">
        <v>4</v>
      </c>
      <c r="B207" s="11" t="inlineStr">
        <is>
          <t>D. VENUE SETUP &amp; SYSTEM</t>
        </is>
      </c>
      <c r="C207" s="11" t="inlineStr">
        <is>
          <t>D12. Booth Sponsor &amp; Activation</t>
        </is>
      </c>
      <c r="D207" s="11" t="inlineStr">
        <is>
          <t>Fascia Booth</t>
        </is>
      </c>
      <c r="E207" s="11" t="inlineStr">
        <is>
          <t>unit</t>
        </is>
      </c>
      <c r="F207" s="11" t="inlineStr">
        <is>
          <t>event</t>
        </is>
      </c>
      <c r="G207" s="8" t="n">
        <v>600000</v>
      </c>
      <c r="H207" s="8" t="n">
        <v>1000000</v>
      </c>
      <c r="I207" s="12" t="inlineStr">
        <is>
          <t>print flexy, per unit</t>
        </is>
      </c>
    </row>
    <row r="208" ht="15" customHeight="1">
      <c r="A208" s="6" t="n">
        <v>5</v>
      </c>
      <c r="B208" s="7" t="inlineStr">
        <is>
          <t>D. VENUE SETUP &amp; SYSTEM</t>
        </is>
      </c>
      <c r="C208" s="7" t="inlineStr">
        <is>
          <t>D12. Booth Sponsor &amp; Activation</t>
        </is>
      </c>
      <c r="D208" s="7" t="inlineStr">
        <is>
          <t>Booth UMKM / Tenant F&amp;B</t>
        </is>
      </c>
      <c r="E208" s="7" t="inlineStr">
        <is>
          <t>unit</t>
        </is>
      </c>
      <c r="F208" s="7" t="inlineStr">
        <is>
          <t>day</t>
        </is>
      </c>
      <c r="G208" s="8" t="n">
        <v>750000</v>
      </c>
      <c r="H208" s="8" t="n">
        <v>1100000</v>
      </c>
      <c r="I208" s="9" t="inlineStr">
        <is>
          <t>sarnafil 3x3 tanpa fascia, incl. listrik — Outdoor festival</t>
        </is>
      </c>
    </row>
    <row r="209" ht="15" customHeight="1">
      <c r="A209" s="10" t="n">
        <v>6</v>
      </c>
      <c r="B209" s="23" t="n"/>
      <c r="C209" s="23" t="n"/>
      <c r="D209" s="23" t="n"/>
      <c r="E209" s="23" t="n"/>
      <c r="F209" s="23" t="n"/>
      <c r="G209" s="23" t="n"/>
      <c r="H209" s="23" t="n"/>
      <c r="I209" s="24" t="n"/>
    </row>
    <row r="210" ht="15" customHeight="1">
      <c r="A210" s="6" t="n">
        <v>7</v>
      </c>
      <c r="B210" s="7" t="inlineStr">
        <is>
          <t>D. VENUE SETUP &amp; SYSTEM</t>
        </is>
      </c>
      <c r="C210" s="7" t="inlineStr">
        <is>
          <t>D12. Booth Sponsor &amp; Activation</t>
        </is>
      </c>
      <c r="D210" s="7" t="inlineStr">
        <is>
          <t>Totem Signage Booth Partner</t>
        </is>
      </c>
      <c r="E210" s="7" t="inlineStr">
        <is>
          <t>unit</t>
        </is>
      </c>
      <c r="F210" s="7" t="inlineStr">
        <is>
          <t>event</t>
        </is>
      </c>
      <c r="G210" s="8" t="n">
        <v>700000</v>
      </c>
      <c r="H210" s="8" t="n">
        <v>1200000</v>
      </c>
      <c r="I210" s="9" t="inlineStr">
        <is>
          <t>multiplek fin. duco per unit</t>
        </is>
      </c>
    </row>
    <row r="211" ht="15" customHeight="1">
      <c r="A211" s="10" t="n">
        <v>8</v>
      </c>
      <c r="B211" s="11" t="inlineStr">
        <is>
          <t>D. VENUE SETUP &amp; SYSTEM</t>
        </is>
      </c>
      <c r="C211" s="11" t="inlineStr">
        <is>
          <t>D12. Booth Sponsor &amp; Activation</t>
        </is>
      </c>
      <c r="D211" s="11" t="inlineStr">
        <is>
          <t>Level / Podium Booth</t>
        </is>
      </c>
      <c r="E211" s="11" t="inlineStr">
        <is>
          <t>m2</t>
        </is>
      </c>
      <c r="F211" s="11" t="inlineStr">
        <is>
          <t>project</t>
        </is>
      </c>
      <c r="G211" s="8" t="n">
        <v>180000</v>
      </c>
      <c r="H211" s="8" t="n">
        <v>280000</v>
      </c>
      <c r="I211" s="12" t="inlineStr">
        <is>
          <t>multiplek fin. carpet, per m2</t>
        </is>
      </c>
    </row>
    <row r="212" ht="15" customHeight="1">
      <c r="A212" s="6" t="n">
        <v>9</v>
      </c>
      <c r="B212" s="7" t="inlineStr">
        <is>
          <t>D. VENUE SETUP &amp; SYSTEM</t>
        </is>
      </c>
      <c r="C212" s="7" t="inlineStr">
        <is>
          <t>D12. Booth Sponsor &amp; Activation</t>
        </is>
      </c>
      <c r="D212" s="7" t="inlineStr">
        <is>
          <t>Electrical Instalasi Booth</t>
        </is>
      </c>
      <c r="E212" s="7" t="inlineStr">
        <is>
          <t>titik</t>
        </is>
      </c>
      <c r="F212" s="7" t="inlineStr">
        <is>
          <t>project</t>
        </is>
      </c>
      <c r="G212" s="8" t="n">
        <v>150000</v>
      </c>
      <c r="H212" s="8" t="n">
        <v>250000</v>
      </c>
      <c r="I212" s="9" t="inlineStr">
        <is>
          <t>per titik 2A</t>
        </is>
      </c>
    </row>
    <row r="213" ht="15" customHeight="1">
      <c r="A213" s="10" t="n">
        <v>10</v>
      </c>
      <c r="B213" s="23" t="n"/>
      <c r="C213" s="23" t="n"/>
      <c r="D213" s="23" t="n"/>
      <c r="E213" s="23" t="n"/>
      <c r="F213" s="23" t="n"/>
      <c r="G213" s="23" t="n"/>
      <c r="H213" s="23" t="n"/>
      <c r="I213" s="24" t="n"/>
    </row>
    <row r="214" ht="15" customHeight="1">
      <c r="A214" s="6" t="n">
        <v>11</v>
      </c>
      <c r="B214" s="7" t="inlineStr">
        <is>
          <t>D. VENUE SETUP &amp; SYSTEM</t>
        </is>
      </c>
      <c r="C214" s="7" t="inlineStr">
        <is>
          <t>D12. Booth Sponsor &amp; Activation</t>
        </is>
      </c>
      <c r="D214" s="7" t="inlineStr">
        <is>
          <t>Photo Spot Custom Booth</t>
        </is>
      </c>
      <c r="E214" s="7" t="inlineStr">
        <is>
          <t>pckg</t>
        </is>
      </c>
      <c r="F214" s="7" t="inlineStr">
        <is>
          <t>event</t>
        </is>
      </c>
      <c r="G214" s="8" t="n">
        <v>5000000</v>
      </c>
      <c r="H214" s="8" t="n">
        <v>10350000</v>
      </c>
      <c r="I214" s="9" t="inlineStr">
        <is>
          <t>rangka + backdrop branding — Dari data PGN Bogor</t>
        </is>
      </c>
    </row>
    <row r="215" ht="15" customHeight="1">
      <c r="A215" s="10" t="n">
        <v>12</v>
      </c>
      <c r="B215" s="11" t="inlineStr">
        <is>
          <t>D. VENUE SETUP &amp; SYSTEM</t>
        </is>
      </c>
      <c r="C215" s="11" t="inlineStr">
        <is>
          <t>D12. Booth Sponsor &amp; Activation</t>
        </is>
      </c>
      <c r="D215" s="11" t="inlineStr">
        <is>
          <t>Backdrop AI Photobooth</t>
        </is>
      </c>
      <c r="E215" s="11" t="inlineStr">
        <is>
          <t>pckg</t>
        </is>
      </c>
      <c r="F215" s="11" t="inlineStr">
        <is>
          <t>event</t>
        </is>
      </c>
      <c r="G215" s="8" t="n">
        <v>14650000</v>
      </c>
      <c r="H215" s="8" t="n">
        <v>37500000</v>
      </c>
      <c r="I215" s="12" t="inlineStr">
        <is>
          <t>system + backdrop + level — Termasuk hardware</t>
        </is>
      </c>
    </row>
    <row r="216" ht="15" customHeight="1">
      <c r="A216" s="6" t="n">
        <v>13</v>
      </c>
      <c r="B216" s="7" t="inlineStr">
        <is>
          <t>D. VENUE SETUP &amp; SYSTEM</t>
        </is>
      </c>
      <c r="C216" s="7" t="inlineStr">
        <is>
          <t>D12. Booth Sponsor &amp; Activation</t>
        </is>
      </c>
      <c r="D216" s="7" t="inlineStr">
        <is>
          <t>Glambot Machine</t>
        </is>
      </c>
      <c r="E216" s="7" t="inlineStr">
        <is>
          <t>unit</t>
        </is>
      </c>
      <c r="F216" s="7" t="inlineStr">
        <is>
          <t>day</t>
        </is>
      </c>
      <c r="G216" s="8" t="n">
        <v>12000000</v>
      </c>
      <c r="H216" s="8" t="n">
        <v>28000000</v>
      </c>
      <c r="I216" s="9" t="inlineStr">
        <is>
          <t>sewa per hari, incl. backdrop + level</t>
        </is>
      </c>
    </row>
    <row r="217" ht="15" customHeight="1">
      <c r="A217" s="10" t="n">
        <v>14</v>
      </c>
      <c r="B217" s="11" t="inlineStr">
        <is>
          <t>D. VENUE SETUP &amp; SYSTEM</t>
        </is>
      </c>
      <c r="C217" s="11" t="inlineStr">
        <is>
          <t>D12. Booth Sponsor &amp; Activation</t>
        </is>
      </c>
      <c r="D217" s="11" t="inlineStr">
        <is>
          <t>TV Monitor 55" untuk Booth</t>
        </is>
      </c>
      <c r="E217" s="11" t="inlineStr">
        <is>
          <t>unit</t>
        </is>
      </c>
      <c r="F217" s="11" t="inlineStr">
        <is>
          <t>day</t>
        </is>
      </c>
      <c r="G217" s="8" t="n">
        <v>750000</v>
      </c>
      <c r="H217" s="8" t="n">
        <v>1500000</v>
      </c>
      <c r="I217" s="12" t="inlineStr">
        <is>
          <t>CCTV &amp; FOH, sewa per unit per hari</t>
        </is>
      </c>
    </row>
    <row r="218" ht="15" customHeight="1">
      <c r="A218" s="6" t="n">
        <v>15</v>
      </c>
      <c r="B218" s="23" t="n"/>
      <c r="C218" s="23" t="n"/>
      <c r="D218" s="23" t="n"/>
      <c r="E218" s="23" t="n"/>
      <c r="F218" s="23" t="n"/>
      <c r="G218" s="23" t="n"/>
      <c r="H218" s="23" t="n"/>
      <c r="I218" s="24" t="n"/>
    </row>
    <row r="219" ht="15" customHeight="1">
      <c r="A219" s="10" t="n">
        <v>16</v>
      </c>
      <c r="B219" s="11" t="inlineStr">
        <is>
          <t>D. VENUE SETUP &amp; SYSTEM</t>
        </is>
      </c>
      <c r="C219" s="11" t="inlineStr">
        <is>
          <t>D12. Booth Sponsor &amp; Activation</t>
        </is>
      </c>
      <c r="D219" s="11" t="inlineStr">
        <is>
          <t>Paket Photobooth (output 4R)</t>
        </is>
      </c>
      <c r="E219" s="11" t="inlineStr">
        <is>
          <t>set</t>
        </is>
      </c>
      <c r="F219" s="11" t="inlineStr">
        <is>
          <t>day</t>
        </is>
      </c>
      <c r="G219" s="8" t="n">
        <v>4000000</v>
      </c>
      <c r="H219" s="8" t="n">
        <v>6000000</v>
      </c>
      <c r="I219" s="12" t="inlineStr">
        <is>
          <t>per hari incl. operator &amp; printer</t>
        </is>
      </c>
    </row>
    <row r="220" ht="15" customHeight="1">
      <c r="A220" s="6" t="n">
        <v>17</v>
      </c>
      <c r="B220" s="7" t="inlineStr">
        <is>
          <t>D. VENUE SETUP &amp; SYSTEM</t>
        </is>
      </c>
      <c r="C220" s="7" t="inlineStr">
        <is>
          <t>D12. Booth Sponsor &amp; Activation</t>
        </is>
      </c>
      <c r="D220" s="7" t="inlineStr">
        <is>
          <t>Gamification System Setup</t>
        </is>
      </c>
      <c r="E220" s="7" t="inlineStr">
        <is>
          <t>pckg</t>
        </is>
      </c>
      <c r="F220" s="7" t="inlineStr">
        <is>
          <t>event</t>
        </is>
      </c>
      <c r="G220" s="8" t="n">
        <v>60000000</v>
      </c>
      <c r="H220" s="8" t="n">
        <v>120000000</v>
      </c>
      <c r="I220" s="9" t="inlineStr">
        <is>
          <t>software + hardware + operator — Motion tracking, barcode, dll</t>
        </is>
      </c>
    </row>
    <row r="221" ht="15" customHeight="1">
      <c r="A221" s="10" t="n">
        <v>18</v>
      </c>
      <c r="B221" s="11" t="inlineStr">
        <is>
          <t>D. VENUE SETUP &amp; SYSTEM</t>
        </is>
      </c>
      <c r="C221" s="11" t="inlineStr">
        <is>
          <t>D12. Booth Sponsor &amp; Activation</t>
        </is>
      </c>
      <c r="D221" s="11" t="inlineStr">
        <is>
          <t>Barcode / QR Scanner untuk Poin</t>
        </is>
      </c>
      <c r="E221" s="11" t="inlineStr">
        <is>
          <t>unit</t>
        </is>
      </c>
      <c r="F221" s="11" t="inlineStr">
        <is>
          <t>day</t>
        </is>
      </c>
      <c r="G221" s="8" t="n">
        <v>250000</v>
      </c>
      <c r="H221" s="8" t="n">
        <v>400000</v>
      </c>
      <c r="I221" s="12" t="inlineStr">
        <is>
          <t>per unit per hari, Carribe type</t>
        </is>
      </c>
    </row>
    <row r="222" ht="15" customHeight="1">
      <c r="A222" s="6" t="n">
        <v>19</v>
      </c>
      <c r="B222" s="7" t="inlineStr">
        <is>
          <t>D. VENUE SETUP &amp; SYSTEM</t>
        </is>
      </c>
      <c r="C222" s="7" t="inlineStr">
        <is>
          <t>D12. Booth Sponsor &amp; Activation</t>
        </is>
      </c>
      <c r="D222" s="7" t="inlineStr">
        <is>
          <t>Redemption Counter / Helpdesk</t>
        </is>
      </c>
      <c r="E222" s="7" t="inlineStr">
        <is>
          <t>pckg</t>
        </is>
      </c>
      <c r="F222" s="7" t="inlineStr">
        <is>
          <t>event</t>
        </is>
      </c>
      <c r="G222" s="8" t="n">
        <v>800000</v>
      </c>
      <c r="H222" s="8" t="n">
        <v>1500000</v>
      </c>
      <c r="I222" s="9" t="inlineStr">
        <is>
          <t>meja + fascia + petugas — per titik</t>
        </is>
      </c>
    </row>
    <row r="223" ht="15" customHeight="1">
      <c r="A223" s="10" t="n">
        <v>20</v>
      </c>
      <c r="B223" s="11" t="inlineStr">
        <is>
          <t>D. VENUE SETUP &amp; SYSTEM</t>
        </is>
      </c>
      <c r="C223" s="11" t="inlineStr">
        <is>
          <t>D12. Booth Sponsor &amp; Activation</t>
        </is>
      </c>
      <c r="D223" s="11" t="inlineStr">
        <is>
          <t>Reward / Merchandise Stock Management</t>
        </is>
      </c>
      <c r="E223" s="11" t="inlineStr">
        <is>
          <t>pckg</t>
        </is>
      </c>
      <c r="F223" s="11" t="inlineStr">
        <is>
          <t>day</t>
        </is>
      </c>
      <c r="G223" s="8" t="n">
        <v>500000</v>
      </c>
      <c r="H223" s="8" t="n">
        <v>1000000</v>
      </c>
      <c r="I223" s="12" t="inlineStr">
        <is>
          <t>jasa pengelolaan reward harian</t>
        </is>
      </c>
    </row>
    <row r="224" ht="15" customHeight="1">
      <c r="A224" s="6" t="n">
        <v>21</v>
      </c>
      <c r="B224" s="7" t="inlineStr">
        <is>
          <t>D. VENUE SETUP &amp; SYSTEM</t>
        </is>
      </c>
      <c r="C224" s="7" t="inlineStr">
        <is>
          <t>D12. Booth Sponsor &amp; Activation</t>
        </is>
      </c>
      <c r="D224" s="7" t="inlineStr">
        <is>
          <t>Motion Tracking Game (NLE PC + TV 65")</t>
        </is>
      </c>
      <c r="E224" s="7" t="inlineStr">
        <is>
          <t>pckg</t>
        </is>
      </c>
      <c r="F224" s="7" t="inlineStr">
        <is>
          <t>day</t>
        </is>
      </c>
      <c r="G224" s="8" t="n">
        <v>6000000</v>
      </c>
      <c r="H224" s="8" t="n">
        <v>10000000</v>
      </c>
      <c r="I224" s="9" t="inlineStr">
        <is>
          <t>software + hardware</t>
        </is>
      </c>
    </row>
    <row r="225" ht="15" customHeight="1">
      <c r="A225" s="10" t="n">
        <v>22</v>
      </c>
      <c r="B225" s="11" t="inlineStr">
        <is>
          <t>D. VENUE SETUP &amp; SYSTEM</t>
        </is>
      </c>
      <c r="C225" s="11" t="inlineStr">
        <is>
          <t>D12. Booth Sponsor &amp; Activation</t>
        </is>
      </c>
      <c r="D225" s="11" t="inlineStr">
        <is>
          <t>Inflatable Games / Kingdom Castle</t>
        </is>
      </c>
      <c r="E225" s="11" t="inlineStr">
        <is>
          <t>unit</t>
        </is>
      </c>
      <c r="F225" s="11" t="inlineStr">
        <is>
          <t>day</t>
        </is>
      </c>
      <c r="G225" s="8" t="n">
        <v>3500000</v>
      </c>
      <c r="H225" s="8" t="n">
        <v>5500000</v>
      </c>
      <c r="I225" s="12" t="inlineStr">
        <is>
          <t>per unit per hari — Outdoor activation</t>
        </is>
      </c>
    </row>
    <row r="226" ht="15" customHeight="1">
      <c r="A226" s="6" t="n">
        <v>23</v>
      </c>
      <c r="B226" s="7" t="inlineStr">
        <is>
          <t>D. VENUE SETUP &amp; SYSTEM</t>
        </is>
      </c>
      <c r="C226" s="7" t="inlineStr">
        <is>
          <t>D12. Booth Sponsor &amp; Activation</t>
        </is>
      </c>
      <c r="D226" s="7" t="inlineStr">
        <is>
          <t>Face Painting</t>
        </is>
      </c>
      <c r="E226" s="7" t="inlineStr">
        <is>
          <t>set</t>
        </is>
      </c>
      <c r="F226" s="7" t="inlineStr">
        <is>
          <t>day</t>
        </is>
      </c>
      <c r="G226" s="8" t="n">
        <v>2000000</v>
      </c>
      <c r="H226" s="8" t="n">
        <v>4000000</v>
      </c>
      <c r="I226" s="9" t="inlineStr">
        <is>
          <t>per orang / per paket</t>
        </is>
      </c>
    </row>
    <row r="227" ht="15" customHeight="1">
      <c r="A227" s="10" t="n">
        <v>24</v>
      </c>
      <c r="B227" s="23" t="n"/>
      <c r="C227" s="23" t="n"/>
      <c r="D227" s="23" t="n"/>
      <c r="E227" s="23" t="n"/>
      <c r="F227" s="23" t="n"/>
      <c r="G227" s="23" t="n"/>
      <c r="H227" s="23" t="n"/>
      <c r="I227" s="24" t="n"/>
    </row>
    <row r="228" ht="15" customHeight="1">
      <c r="A228" s="6" t="n">
        <v>25</v>
      </c>
      <c r="B228" s="23" t="n"/>
      <c r="C228" s="23" t="n"/>
      <c r="D228" s="23" t="n"/>
      <c r="E228" s="23" t="n"/>
      <c r="F228" s="23" t="n"/>
      <c r="G228" s="23" t="n"/>
      <c r="H228" s="23" t="n"/>
      <c r="I228" s="24" t="n"/>
    </row>
    <row r="229" ht="15" customHeight="1">
      <c r="A229" s="10" t="n">
        <v>26</v>
      </c>
      <c r="B229" s="11" t="inlineStr">
        <is>
          <t>D. VENUE SETUP &amp; SYSTEM</t>
        </is>
      </c>
      <c r="C229" s="11" t="inlineStr">
        <is>
          <t>D12. Booth Sponsor &amp; Activation</t>
        </is>
      </c>
      <c r="D229" s="11" t="inlineStr">
        <is>
          <t>SPG Coordinator / Supervisor</t>
        </is>
      </c>
      <c r="E229" s="11" t="inlineStr">
        <is>
          <t>prsn</t>
        </is>
      </c>
      <c r="F229" s="11" t="inlineStr">
        <is>
          <t>day</t>
        </is>
      </c>
      <c r="G229" s="8" t="n">
        <v>500000</v>
      </c>
      <c r="H229" s="8" t="n">
        <v>750000</v>
      </c>
      <c r="I229" s="12" t="inlineStr"/>
    </row>
    <row r="230" ht="15" customHeight="1">
      <c r="A230" s="6" t="n">
        <v>27</v>
      </c>
      <c r="B230" s="7" t="inlineStr">
        <is>
          <t>D. VENUE SETUP &amp; SYSTEM</t>
        </is>
      </c>
      <c r="C230" s="7" t="inlineStr">
        <is>
          <t>D12. Booth Sponsor &amp; Activation</t>
        </is>
      </c>
      <c r="D230" s="7" t="inlineStr">
        <is>
          <t>Seragam SPG (full branding)</t>
        </is>
      </c>
      <c r="E230" s="7" t="inlineStr">
        <is>
          <t>pcs</t>
        </is>
      </c>
      <c r="F230" s="7" t="inlineStr">
        <is>
          <t>event</t>
        </is>
      </c>
      <c r="G230" s="8" t="n">
        <v>80000</v>
      </c>
      <c r="H230" s="8" t="n">
        <v>150000</v>
      </c>
      <c r="I230" s="9" t="inlineStr">
        <is>
          <t>per pcs, incl. printing brand</t>
        </is>
      </c>
    </row>
    <row r="231" ht="15" customHeight="1">
      <c r="A231" s="10" t="n">
        <v>28</v>
      </c>
      <c r="B231" s="11" t="inlineStr">
        <is>
          <t>D. VENUE SETUP &amp; SYSTEM</t>
        </is>
      </c>
      <c r="C231" s="11" t="inlineStr">
        <is>
          <t>D12. Booth Sponsor &amp; Activation</t>
        </is>
      </c>
      <c r="D231" s="11" t="inlineStr">
        <is>
          <t>Cooling Box / Display Produk</t>
        </is>
      </c>
      <c r="E231" s="11" t="inlineStr">
        <is>
          <t>unit</t>
        </is>
      </c>
      <c r="F231" s="11" t="inlineStr">
        <is>
          <t>day</t>
        </is>
      </c>
      <c r="G231" s="8" t="n">
        <v>150000</v>
      </c>
      <c r="H231" s="8" t="n">
        <v>250000</v>
      </c>
      <c r="I231" s="12" t="inlineStr">
        <is>
          <t>sewa per unit per hari</t>
        </is>
      </c>
    </row>
    <row r="232" ht="15" customHeight="1">
      <c r="A232" s="6" t="n">
        <v>29</v>
      </c>
      <c r="B232" s="7" t="inlineStr">
        <is>
          <t>D. VENUE SETUP &amp; SYSTEM</t>
        </is>
      </c>
      <c r="C232" s="7" t="inlineStr">
        <is>
          <t>D12. Booth Sponsor &amp; Activation</t>
        </is>
      </c>
      <c r="D232" s="7" t="inlineStr">
        <is>
          <t>Mobile Sampling Cart / Trolley</t>
        </is>
      </c>
      <c r="E232" s="7" t="inlineStr">
        <is>
          <t>unit</t>
        </is>
      </c>
      <c r="F232" s="7" t="inlineStr">
        <is>
          <t>day</t>
        </is>
      </c>
      <c r="G232" s="8" t="n">
        <v>300000</v>
      </c>
      <c r="H232" s="8" t="n">
        <v>500000</v>
      </c>
      <c r="I232" s="9" t="inlineStr">
        <is>
          <t>sewa per unit per hari</t>
        </is>
      </c>
    </row>
    <row r="233" ht="15" customHeight="1">
      <c r="A233" s="10" t="n">
        <v>30</v>
      </c>
      <c r="B233" s="11" t="inlineStr">
        <is>
          <t>D. VENUE SETUP &amp; SYSTEM</t>
        </is>
      </c>
      <c r="C233" s="11" t="inlineStr">
        <is>
          <t>D12. Booth Sponsor &amp; Activation</t>
        </is>
      </c>
      <c r="D233" s="11" t="inlineStr">
        <is>
          <t>Kasir / Cashier System</t>
        </is>
      </c>
      <c r="E233" s="11" t="inlineStr">
        <is>
          <t>unit</t>
        </is>
      </c>
      <c r="F233" s="11" t="inlineStr">
        <is>
          <t>day</t>
        </is>
      </c>
      <c r="G233" s="8" t="n">
        <v>300000</v>
      </c>
      <c r="H233" s="8" t="n">
        <v>500000</v>
      </c>
      <c r="I233" s="12" t="inlineStr">
        <is>
          <t>tablet + printer struk per hari</t>
        </is>
      </c>
    </row>
    <row r="234" ht="15" customHeight="1">
      <c r="A234" s="6" t="n">
        <v>31</v>
      </c>
      <c r="B234" s="7" t="inlineStr">
        <is>
          <t>D. VENUE SETUP &amp; SYSTEM</t>
        </is>
      </c>
      <c r="C234" s="7" t="inlineStr">
        <is>
          <t>D12. Booth Sponsor &amp; Activation</t>
        </is>
      </c>
      <c r="D234" s="7" t="inlineStr">
        <is>
          <t>Sitting Area / Lounge Booth (Garden Set)</t>
        </is>
      </c>
      <c r="E234" s="7" t="inlineStr">
        <is>
          <t>set</t>
        </is>
      </c>
      <c r="F234" s="7" t="inlineStr">
        <is>
          <t>day</t>
        </is>
      </c>
      <c r="G234" s="8" t="n">
        <v>300000</v>
      </c>
      <c r="H234" s="8" t="n">
        <v>500000</v>
      </c>
      <c r="I234" s="9" t="inlineStr">
        <is>
          <t>per set per hari</t>
        </is>
      </c>
    </row>
    <row r="235" ht="15" customHeight="1">
      <c r="A235" s="10" t="n">
        <v>32</v>
      </c>
      <c r="B235" s="11" t="inlineStr">
        <is>
          <t>D. VENUE SETUP &amp; SYSTEM</t>
        </is>
      </c>
      <c r="C235" s="11" t="inlineStr">
        <is>
          <t>D12. Booth Sponsor &amp; Activation</t>
        </is>
      </c>
      <c r="D235" s="11" t="inlineStr">
        <is>
          <t>Umbul-umbul / Flag Pole Area</t>
        </is>
      </c>
      <c r="E235" s="11" t="inlineStr">
        <is>
          <t>unit</t>
        </is>
      </c>
      <c r="F235" s="11" t="inlineStr">
        <is>
          <t>event</t>
        </is>
      </c>
      <c r="G235" s="8" t="n">
        <v>150000</v>
      </c>
      <c r="H235" s="8" t="n">
        <v>250000</v>
      </c>
      <c r="I235" s="12" t="inlineStr">
        <is>
          <t>per unit</t>
        </is>
      </c>
    </row>
    <row r="236" ht="15" customHeight="1">
      <c r="A236" s="6" t="n">
        <v>33</v>
      </c>
      <c r="B236" s="7" t="inlineStr">
        <is>
          <t>D. VENUE SETUP &amp; SYSTEM</t>
        </is>
      </c>
      <c r="C236" s="7" t="inlineStr">
        <is>
          <t>D12. Booth Sponsor &amp; Activation</t>
        </is>
      </c>
      <c r="D236" s="7" t="inlineStr">
        <is>
          <t>Baso Chair Set</t>
        </is>
      </c>
      <c r="E236" s="7" t="inlineStr">
        <is>
          <t>unit</t>
        </is>
      </c>
      <c r="F236" s="7" t="inlineStr">
        <is>
          <t>day</t>
        </is>
      </c>
      <c r="G236" s="8" t="n">
        <v>20000</v>
      </c>
      <c r="H236" s="8" t="n">
        <v>35000</v>
      </c>
      <c r="I236" s="9" t="inlineStr">
        <is>
          <t>per unit per hari</t>
        </is>
      </c>
    </row>
    <row r="237" ht="16" customHeight="1">
      <c r="A237" s="5" t="inlineStr">
        <is>
          <t xml:space="preserve">  D13. Race, Sport &amp; Special Event Equipment</t>
        </is>
      </c>
    </row>
    <row r="238" ht="15" customHeight="1">
      <c r="A238" s="6" t="n">
        <v>1</v>
      </c>
      <c r="B238" s="7" t="inlineStr">
        <is>
          <t>D. VENUE SETUP &amp; SYSTEM</t>
        </is>
      </c>
      <c r="C238" s="7" t="inlineStr">
        <is>
          <t>D13. Race, Sport &amp; Special Event Equipment</t>
        </is>
      </c>
      <c r="D238" s="7" t="inlineStr">
        <is>
          <t>Container / Toolbox Truck</t>
        </is>
      </c>
      <c r="E238" s="7" t="inlineStr">
        <is>
          <t>unit</t>
        </is>
      </c>
      <c r="F238" s="7" t="inlineStr">
        <is>
          <t>event</t>
        </is>
      </c>
      <c r="G238" s="8" t="n">
        <v>70000000</v>
      </c>
      <c r="H238" s="8" t="n">
        <v>100000000</v>
      </c>
      <c r="I238" s="9" t="inlineStr">
        <is>
          <t>sewa container 20ft untuk perlengkapan race — Event multi-kota</t>
        </is>
      </c>
    </row>
    <row r="239" ht="15" customHeight="1">
      <c r="A239" s="10" t="n">
        <v>2</v>
      </c>
      <c r="B239" s="11" t="inlineStr">
        <is>
          <t>D. VENUE SETUP &amp; SYSTEM</t>
        </is>
      </c>
      <c r="C239" s="11" t="inlineStr">
        <is>
          <t>D13. Race, Sport &amp; Special Event Equipment</t>
        </is>
      </c>
      <c r="D239" s="11" t="inlineStr">
        <is>
          <t>Timing System + Sensor</t>
        </is>
      </c>
      <c r="E239" s="11" t="inlineStr">
        <is>
          <t>pckg</t>
        </is>
      </c>
      <c r="F239" s="11" t="inlineStr">
        <is>
          <t>event</t>
        </is>
      </c>
      <c r="G239" s="8" t="n">
        <v>10000000</v>
      </c>
      <c r="H239" s="8" t="n">
        <v>15000000</v>
      </c>
      <c r="I239" s="12" t="inlineStr">
        <is>
          <t>per paket per event</t>
        </is>
      </c>
    </row>
    <row r="240" ht="15" customHeight="1">
      <c r="A240" s="6" t="n">
        <v>3</v>
      </c>
      <c r="B240" s="7" t="inlineStr">
        <is>
          <t>D. VENUE SETUP &amp; SYSTEM</t>
        </is>
      </c>
      <c r="C240" s="7" t="inlineStr">
        <is>
          <t>D13. Race, Sport &amp; Special Event Equipment</t>
        </is>
      </c>
      <c r="D240" s="7" t="inlineStr">
        <is>
          <t>Race Barrier / Jersey Barrier</t>
        </is>
      </c>
      <c r="E240" s="7" t="inlineStr">
        <is>
          <t>unit</t>
        </is>
      </c>
      <c r="F240" s="7" t="inlineStr">
        <is>
          <t>event</t>
        </is>
      </c>
      <c r="G240" s="8" t="n">
        <v>750000</v>
      </c>
      <c r="H240" s="8" t="n">
        <v>1500000</v>
      </c>
      <c r="I240" s="9" t="inlineStr">
        <is>
          <t>per unit per event — Concrete type</t>
        </is>
      </c>
    </row>
    <row r="241" ht="15" customHeight="1">
      <c r="A241" s="10" t="n">
        <v>4</v>
      </c>
      <c r="B241" s="11" t="inlineStr">
        <is>
          <t>D. VENUE SETUP &amp; SYSTEM</t>
        </is>
      </c>
      <c r="C241" s="11" t="inlineStr">
        <is>
          <t>D13. Race, Sport &amp; Special Event Equipment</t>
        </is>
      </c>
      <c r="D241" s="11" t="inlineStr">
        <is>
          <t>Barier dengan Branding</t>
        </is>
      </c>
      <c r="E241" s="11" t="inlineStr">
        <is>
          <t>set</t>
        </is>
      </c>
      <c r="F241" s="11" t="inlineStr">
        <is>
          <t>event</t>
        </is>
      </c>
      <c r="G241" s="8" t="n">
        <v>2000000</v>
      </c>
      <c r="H241" s="8" t="n">
        <v>3500000</v>
      </c>
      <c r="I241" s="12" t="inlineStr">
        <is>
          <t>per set incl. branding</t>
        </is>
      </c>
    </row>
    <row r="242" ht="15" customHeight="1">
      <c r="A242" s="6" t="n">
        <v>5</v>
      </c>
      <c r="B242" s="23" t="n"/>
      <c r="C242" s="23" t="n"/>
      <c r="D242" s="23" t="n"/>
      <c r="E242" s="23" t="n"/>
      <c r="F242" s="23" t="n"/>
      <c r="G242" s="23" t="n"/>
      <c r="H242" s="23" t="n"/>
      <c r="I242" s="24" t="n"/>
    </row>
    <row r="243" ht="15" customHeight="1">
      <c r="A243" s="10" t="n">
        <v>6</v>
      </c>
      <c r="B243" s="11" t="inlineStr">
        <is>
          <t>D. VENUE SETUP &amp; SYSTEM</t>
        </is>
      </c>
      <c r="C243" s="11" t="inlineStr">
        <is>
          <t>D13. Race, Sport &amp; Special Event Equipment</t>
        </is>
      </c>
      <c r="D243" s="11" t="inlineStr">
        <is>
          <t>Giant Cone Balloon</t>
        </is>
      </c>
      <c r="E243" s="11" t="inlineStr">
        <is>
          <t>unit</t>
        </is>
      </c>
      <c r="F243" s="11" t="inlineStr">
        <is>
          <t>event</t>
        </is>
      </c>
      <c r="G243" s="8" t="n">
        <v>10000000</v>
      </c>
      <c r="H243" s="8" t="n">
        <v>15000000</v>
      </c>
      <c r="I243" s="12" t="inlineStr">
        <is>
          <t>per unit per event</t>
        </is>
      </c>
    </row>
    <row r="244" ht="15" customHeight="1">
      <c r="A244" s="6" t="n">
        <v>7</v>
      </c>
      <c r="B244" s="7" t="inlineStr">
        <is>
          <t>D. VENUE SETUP &amp; SYSTEM</t>
        </is>
      </c>
      <c r="C244" s="7" t="inlineStr">
        <is>
          <t>D13. Race, Sport &amp; Special Event Equipment</t>
        </is>
      </c>
      <c r="D244" s="7" t="inlineStr">
        <is>
          <t>Drum Plastik dengan Branding</t>
        </is>
      </c>
      <c r="E244" s="7" t="inlineStr">
        <is>
          <t>unit</t>
        </is>
      </c>
      <c r="F244" s="7" t="inlineStr">
        <is>
          <t>event</t>
        </is>
      </c>
      <c r="G244" s="8" t="n">
        <v>750000</v>
      </c>
      <c r="H244" s="8" t="n">
        <v>1200000</v>
      </c>
      <c r="I244" s="9" t="inlineStr">
        <is>
          <t>per unit</t>
        </is>
      </c>
    </row>
    <row r="245" ht="15" customHeight="1">
      <c r="A245" s="10" t="n">
        <v>8</v>
      </c>
      <c r="B245" s="11" t="inlineStr">
        <is>
          <t>D. VENUE SETUP &amp; SYSTEM</t>
        </is>
      </c>
      <c r="C245" s="11" t="inlineStr">
        <is>
          <t>D13. Race, Sport &amp; Special Event Equipment</t>
        </is>
      </c>
      <c r="D245" s="11" t="inlineStr">
        <is>
          <t>Starting Grid / Starting Gate</t>
        </is>
      </c>
      <c r="E245" s="11" t="inlineStr">
        <is>
          <t>set</t>
        </is>
      </c>
      <c r="F245" s="11" t="inlineStr">
        <is>
          <t>event</t>
        </is>
      </c>
      <c r="G245" s="8" t="n">
        <v>3500000</v>
      </c>
      <c r="H245" s="8" t="n">
        <v>6000000</v>
      </c>
      <c r="I245" s="12" t="inlineStr">
        <is>
          <t>per set</t>
        </is>
      </c>
    </row>
    <row r="246" ht="15" customHeight="1">
      <c r="A246" s="6" t="n">
        <v>9</v>
      </c>
      <c r="B246" s="7" t="inlineStr">
        <is>
          <t>D. VENUE SETUP &amp; SYSTEM</t>
        </is>
      </c>
      <c r="C246" s="7" t="inlineStr">
        <is>
          <t>D13. Race, Sport &amp; Special Event Equipment</t>
        </is>
      </c>
      <c r="D246" s="7" t="inlineStr">
        <is>
          <t>Rigging Set for Race Track</t>
        </is>
      </c>
      <c r="E246" s="7" t="inlineStr">
        <is>
          <t>unit</t>
        </is>
      </c>
      <c r="F246" s="7" t="inlineStr">
        <is>
          <t>event</t>
        </is>
      </c>
      <c r="G246" s="8" t="n">
        <v>3500000</v>
      </c>
      <c r="H246" s="8" t="n">
        <v>5500000</v>
      </c>
      <c r="I246" s="9" t="inlineStr">
        <is>
          <t>per unit per event</t>
        </is>
      </c>
    </row>
    <row r="247" ht="15" customHeight="1">
      <c r="A247" s="10" t="n">
        <v>10</v>
      </c>
      <c r="B247" s="11" t="inlineStr">
        <is>
          <t>D. VENUE SETUP &amp; SYSTEM</t>
        </is>
      </c>
      <c r="C247" s="11" t="inlineStr">
        <is>
          <t>D13. Race, Sport &amp; Special Event Equipment</t>
        </is>
      </c>
      <c r="D247" s="11" t="inlineStr">
        <is>
          <t>Decoration Rigging Circle Track</t>
        </is>
      </c>
      <c r="E247" s="11" t="inlineStr">
        <is>
          <t>set</t>
        </is>
      </c>
      <c r="F247" s="11" t="inlineStr">
        <is>
          <t>event</t>
        </is>
      </c>
      <c r="G247" s="8" t="n">
        <v>80000000</v>
      </c>
      <c r="H247" s="8" t="n">
        <v>110000000</v>
      </c>
      <c r="I247" s="12" t="inlineStr">
        <is>
          <t>per set per event — Custom build</t>
        </is>
      </c>
    </row>
    <row r="248" ht="15" customHeight="1">
      <c r="A248" s="6" t="n">
        <v>11</v>
      </c>
      <c r="B248" s="7" t="inlineStr">
        <is>
          <t>D. VENUE SETUP &amp; SYSTEM</t>
        </is>
      </c>
      <c r="C248" s="7" t="inlineStr">
        <is>
          <t>D13. Race, Sport &amp; Special Event Equipment</t>
        </is>
      </c>
      <c r="D248" s="7" t="inlineStr">
        <is>
          <t>Race Track Lighting (HPIT + Tower)</t>
        </is>
      </c>
      <c r="E248" s="7" t="inlineStr">
        <is>
          <t>titik</t>
        </is>
      </c>
      <c r="F248" s="7" t="inlineStr">
        <is>
          <t>event</t>
        </is>
      </c>
      <c r="G248" s="8" t="n">
        <v>750000</v>
      </c>
      <c r="H248" s="8" t="n">
        <v>1200000</v>
      </c>
      <c r="I248" s="9" t="inlineStr">
        <is>
          <t>per titik track</t>
        </is>
      </c>
    </row>
    <row r="249" ht="15" customHeight="1">
      <c r="A249" s="10" t="n">
        <v>12</v>
      </c>
      <c r="B249" s="23" t="n"/>
      <c r="C249" s="23" t="n"/>
      <c r="D249" s="23" t="n"/>
      <c r="E249" s="23" t="n"/>
      <c r="F249" s="23" t="n"/>
      <c r="G249" s="23" t="n"/>
      <c r="H249" s="23" t="n"/>
      <c r="I249" s="24" t="n"/>
    </row>
    <row r="250" ht="15" customHeight="1">
      <c r="A250" s="6" t="n">
        <v>13</v>
      </c>
      <c r="B250" s="7" t="inlineStr">
        <is>
          <t>D. VENUE SETUP &amp; SYSTEM</t>
        </is>
      </c>
      <c r="C250" s="7" t="inlineStr">
        <is>
          <t>D13. Race, Sport &amp; Special Event Equipment</t>
        </is>
      </c>
      <c r="D250" s="7" t="inlineStr">
        <is>
          <t>Tribun Portable</t>
        </is>
      </c>
      <c r="E250" s="7" t="inlineStr">
        <is>
          <t>mtr</t>
        </is>
      </c>
      <c r="F250" s="7" t="inlineStr">
        <is>
          <t>event</t>
        </is>
      </c>
      <c r="G250" s="8" t="n">
        <v>40000</v>
      </c>
      <c r="H250" s="8" t="n">
        <v>65000</v>
      </c>
      <c r="I250" s="9" t="inlineStr">
        <is>
          <t>per meter lari</t>
        </is>
      </c>
    </row>
    <row r="251" ht="15" customHeight="1">
      <c r="A251" s="10" t="n">
        <v>14</v>
      </c>
      <c r="B251" s="11" t="inlineStr">
        <is>
          <t>D. VENUE SETUP &amp; SYSTEM</t>
        </is>
      </c>
      <c r="C251" s="11" t="inlineStr">
        <is>
          <t>D13. Race, Sport &amp; Special Event Equipment</t>
        </is>
      </c>
      <c r="D251" s="11" t="inlineStr">
        <is>
          <t>A-Board / Standing A-Frame</t>
        </is>
      </c>
      <c r="E251" s="11" t="inlineStr">
        <is>
          <t>unit</t>
        </is>
      </c>
      <c r="F251" s="11" t="inlineStr">
        <is>
          <t>day</t>
        </is>
      </c>
      <c r="G251" s="8" t="n">
        <v>200000</v>
      </c>
      <c r="H251" s="8" t="n">
        <v>350000</v>
      </c>
      <c r="I251" s="12" t="inlineStr">
        <is>
          <t>per unit per hari — Branding display</t>
        </is>
      </c>
    </row>
    <row r="252" ht="15" customHeight="1">
      <c r="A252" s="6" t="n">
        <v>15</v>
      </c>
      <c r="B252" s="23" t="n"/>
      <c r="C252" s="23" t="n"/>
      <c r="D252" s="23" t="n"/>
      <c r="E252" s="23" t="n"/>
      <c r="F252" s="23" t="n"/>
      <c r="G252" s="23" t="n"/>
      <c r="H252" s="23" t="n"/>
      <c r="I252" s="24" t="n"/>
    </row>
    <row r="253" ht="15" customHeight="1">
      <c r="A253" s="10" t="n">
        <v>16</v>
      </c>
      <c r="B253" s="11" t="inlineStr">
        <is>
          <t>D. VENUE SETUP &amp; SYSTEM</t>
        </is>
      </c>
      <c r="C253" s="11" t="inlineStr">
        <is>
          <t>D13. Race, Sport &amp; Special Event Equipment</t>
        </is>
      </c>
      <c r="D253" s="11" t="inlineStr">
        <is>
          <t>Railing Banner</t>
        </is>
      </c>
      <c r="E253" s="11" t="inlineStr">
        <is>
          <t>m2</t>
        </is>
      </c>
      <c r="F253" s="11" t="inlineStr">
        <is>
          <t>event</t>
        </is>
      </c>
      <c r="G253" s="8" t="n">
        <v>65000</v>
      </c>
      <c r="H253" s="8" t="n">
        <v>100000</v>
      </c>
      <c r="I253" s="12" t="inlineStr">
        <is>
          <t>per unit per m2 — Indoor arena</t>
        </is>
      </c>
    </row>
    <row r="254" ht="15" customHeight="1">
      <c r="A254" s="6" t="n">
        <v>17</v>
      </c>
      <c r="B254" s="7" t="inlineStr">
        <is>
          <t>D. VENUE SETUP &amp; SYSTEM</t>
        </is>
      </c>
      <c r="C254" s="7" t="inlineStr">
        <is>
          <t>D13. Race, Sport &amp; Special Event Equipment</t>
        </is>
      </c>
      <c r="D254" s="7" t="inlineStr">
        <is>
          <t>Hanging Banner Arena</t>
        </is>
      </c>
      <c r="E254" s="7" t="inlineStr">
        <is>
          <t>m2</t>
        </is>
      </c>
      <c r="F254" s="7" t="inlineStr">
        <is>
          <t>event</t>
        </is>
      </c>
      <c r="G254" s="8" t="n">
        <v>130000</v>
      </c>
      <c r="H254" s="8" t="n">
        <v>200000</v>
      </c>
      <c r="I254" s="9" t="inlineStr">
        <is>
          <t>per unit per m2</t>
        </is>
      </c>
    </row>
    <row r="255" ht="15" customHeight="1">
      <c r="A255" s="10" t="n">
        <v>18</v>
      </c>
      <c r="B255" s="11" t="inlineStr">
        <is>
          <t>D. VENUE SETUP &amp; SYSTEM</t>
        </is>
      </c>
      <c r="C255" s="11" t="inlineStr">
        <is>
          <t>D13. Race, Sport &amp; Special Event Equipment</t>
        </is>
      </c>
      <c r="D255" s="11" t="inlineStr">
        <is>
          <t>Bantalan Ring / Padding</t>
        </is>
      </c>
      <c r="E255" s="11" t="inlineStr">
        <is>
          <t>m2</t>
        </is>
      </c>
      <c r="F255" s="11" t="inlineStr">
        <is>
          <t>event</t>
        </is>
      </c>
      <c r="G255" s="8" t="n">
        <v>650000</v>
      </c>
      <c r="H255" s="8" t="n">
        <v>1000000</v>
      </c>
      <c r="I255" s="12" t="inlineStr">
        <is>
          <t>per unit per m2 — IBL/sport event</t>
        </is>
      </c>
    </row>
    <row r="256" ht="15" customHeight="1">
      <c r="A256" s="6" t="n">
        <v>19</v>
      </c>
      <c r="B256" s="7" t="inlineStr">
        <is>
          <t>D. VENUE SETUP &amp; SYSTEM</t>
        </is>
      </c>
      <c r="C256" s="7" t="inlineStr">
        <is>
          <t>D13. Race, Sport &amp; Special Event Equipment</t>
        </is>
      </c>
      <c r="D256" s="7" t="inlineStr">
        <is>
          <t>Backdrop Commentator / Press Conf</t>
        </is>
      </c>
      <c r="E256" s="7" t="inlineStr">
        <is>
          <t>m2</t>
        </is>
      </c>
      <c r="F256" s="7" t="inlineStr">
        <is>
          <t>event</t>
        </is>
      </c>
      <c r="G256" s="8" t="n">
        <v>325000</v>
      </c>
      <c r="H256" s="8" t="n">
        <v>500000</v>
      </c>
      <c r="I256" s="9" t="inlineStr">
        <is>
          <t>per unit per m2</t>
        </is>
      </c>
    </row>
    <row r="257" ht="15" customHeight="1">
      <c r="A257" s="10" t="n">
        <v>20</v>
      </c>
      <c r="B257" s="11" t="inlineStr">
        <is>
          <t>D. VENUE SETUP &amp; SYSTEM</t>
        </is>
      </c>
      <c r="C257" s="11" t="inlineStr">
        <is>
          <t>D13. Race, Sport &amp; Special Event Equipment</t>
        </is>
      </c>
      <c r="D257" s="11" t="inlineStr">
        <is>
          <t>Cover Sound &amp; Frame Screen</t>
        </is>
      </c>
      <c r="E257" s="11" t="inlineStr">
        <is>
          <t>set</t>
        </is>
      </c>
      <c r="F257" s="11" t="inlineStr">
        <is>
          <t>event</t>
        </is>
      </c>
      <c r="G257" s="8" t="n">
        <v>7000000</v>
      </c>
      <c r="H257" s="8" t="n">
        <v>10000000</v>
      </c>
      <c r="I257" s="12" t="inlineStr">
        <is>
          <t>kain mesh 9x9m</t>
        </is>
      </c>
    </row>
    <row r="258" ht="15" customHeight="1">
      <c r="A258" s="6" t="n">
        <v>21</v>
      </c>
      <c r="B258" s="23" t="n"/>
      <c r="C258" s="23" t="n"/>
      <c r="D258" s="23" t="n"/>
      <c r="E258" s="23" t="n"/>
      <c r="F258" s="23" t="n"/>
      <c r="G258" s="23" t="n"/>
      <c r="H258" s="23" t="n"/>
      <c r="I258" s="24" t="n"/>
    </row>
    <row r="259" ht="15" customHeight="1">
      <c r="A259" s="10" t="n">
        <v>22</v>
      </c>
      <c r="B259" s="23" t="n"/>
      <c r="C259" s="23" t="n"/>
      <c r="D259" s="23" t="n"/>
      <c r="E259" s="23" t="n"/>
      <c r="F259" s="23" t="n"/>
      <c r="G259" s="23" t="n"/>
      <c r="H259" s="23" t="n"/>
      <c r="I259" s="24" t="n"/>
    </row>
    <row r="260" ht="15" customHeight="1">
      <c r="A260" s="6" t="n">
        <v>23</v>
      </c>
      <c r="B260" s="7" t="inlineStr">
        <is>
          <t>D. VENUE SETUP &amp; SYSTEM</t>
        </is>
      </c>
      <c r="C260" s="7" t="inlineStr">
        <is>
          <t>D13. Race, Sport &amp; Special Event Equipment</t>
        </is>
      </c>
      <c r="D260" s="7" t="inlineStr">
        <is>
          <t>Racing Suit</t>
        </is>
      </c>
      <c r="E260" s="7" t="inlineStr">
        <is>
          <t>unit</t>
        </is>
      </c>
      <c r="F260" s="7" t="inlineStr">
        <is>
          <t>event</t>
        </is>
      </c>
      <c r="G260" s="8" t="n">
        <v>3500000</v>
      </c>
      <c r="H260" s="8" t="n">
        <v>6000000</v>
      </c>
      <c r="I260" s="9" t="inlineStr">
        <is>
          <t>sewa per unit</t>
        </is>
      </c>
    </row>
    <row r="261" ht="15" customHeight="1">
      <c r="A261" s="10" t="n">
        <v>24</v>
      </c>
      <c r="B261" s="11" t="inlineStr">
        <is>
          <t>D. VENUE SETUP &amp; SYSTEM</t>
        </is>
      </c>
      <c r="C261" s="11" t="inlineStr">
        <is>
          <t>D13. Race, Sport &amp; Special Event Equipment</t>
        </is>
      </c>
      <c r="D261" s="11" t="inlineStr">
        <is>
          <t>Helmet</t>
        </is>
      </c>
      <c r="E261" s="11" t="inlineStr">
        <is>
          <t>unit</t>
        </is>
      </c>
      <c r="F261" s="11" t="inlineStr">
        <is>
          <t>event</t>
        </is>
      </c>
      <c r="G261" s="8" t="n">
        <v>1000000</v>
      </c>
      <c r="H261" s="8" t="n">
        <v>2000000</v>
      </c>
      <c r="I261" s="12" t="inlineStr">
        <is>
          <t>sewa per unit</t>
        </is>
      </c>
    </row>
    <row r="262" ht="15" customHeight="1">
      <c r="A262" s="6" t="n">
        <v>25</v>
      </c>
      <c r="B262" s="7" t="inlineStr">
        <is>
          <t>D. VENUE SETUP &amp; SYSTEM</t>
        </is>
      </c>
      <c r="C262" s="7" t="inlineStr">
        <is>
          <t>D13. Race, Sport &amp; Special Event Equipment</t>
        </is>
      </c>
      <c r="D262" s="7" t="inlineStr">
        <is>
          <t>Rompi / Bib Number Peserta</t>
        </is>
      </c>
      <c r="E262" s="7" t="inlineStr">
        <is>
          <t>pcs</t>
        </is>
      </c>
      <c r="F262" s="7" t="inlineStr">
        <is>
          <t>event</t>
        </is>
      </c>
      <c r="G262" s="8" t="n">
        <v>100000</v>
      </c>
      <c r="H262" s="8" t="n">
        <v>200000</v>
      </c>
      <c r="I262" s="9" t="inlineStr">
        <is>
          <t>per pcs</t>
        </is>
      </c>
    </row>
    <row r="263" ht="15" customHeight="1">
      <c r="A263" s="10" t="n">
        <v>26</v>
      </c>
      <c r="B263" s="11" t="inlineStr">
        <is>
          <t>D. VENUE SETUP &amp; SYSTEM</t>
        </is>
      </c>
      <c r="C263" s="11" t="inlineStr">
        <is>
          <t>D13. Race, Sport &amp; Special Event Equipment</t>
        </is>
      </c>
      <c r="D263" s="11" t="inlineStr">
        <is>
          <t>Bendera Start / Marshal</t>
        </is>
      </c>
      <c r="E263" s="11" t="inlineStr">
        <is>
          <t>unit</t>
        </is>
      </c>
      <c r="F263" s="11" t="inlineStr">
        <is>
          <t>event</t>
        </is>
      </c>
      <c r="G263" s="8" t="n">
        <v>200000</v>
      </c>
      <c r="H263" s="8" t="n">
        <v>400000</v>
      </c>
      <c r="I263" s="12" t="inlineStr">
        <is>
          <t>per unit</t>
        </is>
      </c>
    </row>
    <row r="264" ht="15" customHeight="1">
      <c r="A264" s="6" t="n">
        <v>27</v>
      </c>
      <c r="B264" s="7" t="inlineStr">
        <is>
          <t>D. VENUE SETUP &amp; SYSTEM</t>
        </is>
      </c>
      <c r="C264" s="7" t="inlineStr">
        <is>
          <t>D13. Race, Sport &amp; Special Event Equipment</t>
        </is>
      </c>
      <c r="D264" s="7" t="inlineStr">
        <is>
          <t>Air Horn / Peluit Starter</t>
        </is>
      </c>
      <c r="E264" s="7" t="inlineStr">
        <is>
          <t>unit</t>
        </is>
      </c>
      <c r="F264" s="7" t="inlineStr">
        <is>
          <t>event</t>
        </is>
      </c>
      <c r="G264" s="8" t="n">
        <v>200000</v>
      </c>
      <c r="H264" s="8" t="n">
        <v>350000</v>
      </c>
      <c r="I264" s="9" t="inlineStr">
        <is>
          <t>per unit</t>
        </is>
      </c>
    </row>
    <row r="265" ht="15" customHeight="1">
      <c r="A265" s="10" t="n">
        <v>28</v>
      </c>
      <c r="B265" s="11" t="inlineStr">
        <is>
          <t>D. VENUE SETUP &amp; SYSTEM</t>
        </is>
      </c>
      <c r="C265" s="11" t="inlineStr">
        <is>
          <t>D13. Race, Sport &amp; Special Event Equipment</t>
        </is>
      </c>
      <c r="D265" s="11" t="inlineStr">
        <is>
          <t>Megaphone</t>
        </is>
      </c>
      <c r="E265" s="11" t="inlineStr">
        <is>
          <t>unit</t>
        </is>
      </c>
      <c r="F265" s="11" t="inlineStr">
        <is>
          <t>event</t>
        </is>
      </c>
      <c r="G265" s="8" t="n">
        <v>500000</v>
      </c>
      <c r="H265" s="8" t="n">
        <v>800000</v>
      </c>
      <c r="I265" s="12" t="inlineStr">
        <is>
          <t>sewa per unit per event</t>
        </is>
      </c>
    </row>
    <row r="266" ht="15" customHeight="1">
      <c r="A266" s="6" t="n">
        <v>29</v>
      </c>
      <c r="B266" s="7" t="inlineStr">
        <is>
          <t>D. VENUE SETUP &amp; SYSTEM</t>
        </is>
      </c>
      <c r="C266" s="7" t="inlineStr">
        <is>
          <t>D13. Race, Sport &amp; Special Event Equipment</t>
        </is>
      </c>
      <c r="D266" s="7" t="inlineStr">
        <is>
          <t>Tempat Sampah Area (branded)</t>
        </is>
      </c>
      <c r="E266" s="7" t="inlineStr">
        <is>
          <t>unit</t>
        </is>
      </c>
      <c r="F266" s="7" t="inlineStr">
        <is>
          <t>event</t>
        </is>
      </c>
      <c r="G266" s="8" t="n">
        <v>500000</v>
      </c>
      <c r="H266" s="8" t="n">
        <v>800000</v>
      </c>
      <c r="I266" s="9" t="inlineStr">
        <is>
          <t>per unit per event</t>
        </is>
      </c>
    </row>
    <row r="267" ht="15" customHeight="1">
      <c r="A267" s="10" t="n">
        <v>30</v>
      </c>
      <c r="B267" s="23" t="n"/>
      <c r="C267" s="23" t="n"/>
      <c r="D267" s="23" t="n"/>
      <c r="E267" s="23" t="n"/>
      <c r="F267" s="23" t="n"/>
      <c r="G267" s="23" t="n"/>
      <c r="H267" s="23" t="n"/>
      <c r="I267" s="24" t="n"/>
    </row>
    <row r="268" ht="15" customHeight="1">
      <c r="A268" s="6" t="n">
        <v>31</v>
      </c>
      <c r="B268" s="7" t="inlineStr">
        <is>
          <t>D. VENUE SETUP &amp; SYSTEM</t>
        </is>
      </c>
      <c r="C268" s="7" t="inlineStr">
        <is>
          <t>D13. Race, Sport &amp; Special Event Equipment</t>
        </is>
      </c>
      <c r="D268" s="7" t="inlineStr">
        <is>
          <t>Dapur Umum Setup</t>
        </is>
      </c>
      <c r="E268" s="7" t="inlineStr">
        <is>
          <t>pckg</t>
        </is>
      </c>
      <c r="F268" s="7" t="inlineStr">
        <is>
          <t>event</t>
        </is>
      </c>
      <c r="G268" s="8" t="n">
        <v>3000000</v>
      </c>
      <c r="H268" s="8" t="n">
        <v>5000000</v>
      </c>
      <c r="I268" s="9" t="inlineStr">
        <is>
          <t>peralatan masak area event — Camping/outdoor</t>
        </is>
      </c>
    </row>
    <row r="269" ht="15" customHeight="1">
      <c r="A269" s="10" t="n">
        <v>32</v>
      </c>
      <c r="B269" s="11" t="inlineStr">
        <is>
          <t>D. VENUE SETUP &amp; SYSTEM</t>
        </is>
      </c>
      <c r="C269" s="11" t="inlineStr">
        <is>
          <t>D13. Race, Sport &amp; Special Event Equipment</t>
        </is>
      </c>
      <c r="D269" s="11" t="inlineStr">
        <is>
          <t>Mushola / Prayer Space Setup</t>
        </is>
      </c>
      <c r="E269" s="11" t="inlineStr">
        <is>
          <t>pckg</t>
        </is>
      </c>
      <c r="F269" s="11" t="inlineStr">
        <is>
          <t>event</t>
        </is>
      </c>
      <c r="G269" s="8" t="n">
        <v>1500000</v>
      </c>
      <c r="H269" s="8" t="n">
        <v>2500000</v>
      </c>
      <c r="I269" s="12" t="inlineStr">
        <is>
          <t>tenda + sajadah + perlengkapan</t>
        </is>
      </c>
    </row>
    <row r="270" ht="15" customHeight="1">
      <c r="A270" s="6" t="n">
        <v>33</v>
      </c>
      <c r="B270" s="7" t="inlineStr">
        <is>
          <t>D. VENUE SETUP &amp; SYSTEM</t>
        </is>
      </c>
      <c r="C270" s="7" t="inlineStr">
        <is>
          <t>D13. Race, Sport &amp; Special Event Equipment</t>
        </is>
      </c>
      <c r="D270" s="7" t="inlineStr">
        <is>
          <t>Api Unggun</t>
        </is>
      </c>
      <c r="E270" s="7" t="inlineStr">
        <is>
          <t>titik</t>
        </is>
      </c>
      <c r="F270" s="7" t="inlineStr">
        <is>
          <t>event</t>
        </is>
      </c>
      <c r="G270" s="8" t="n">
        <v>500000</v>
      </c>
      <c r="H270" s="8" t="n">
        <v>1000000</v>
      </c>
      <c r="I270" s="9" t="inlineStr">
        <is>
          <t>per titik per event — Camping event</t>
        </is>
      </c>
    </row>
    <row r="271" ht="15" customHeight="1">
      <c r="A271" s="10" t="n">
        <v>34</v>
      </c>
      <c r="B271" s="11" t="inlineStr">
        <is>
          <t>D. VENUE SETUP &amp; SYSTEM</t>
        </is>
      </c>
      <c r="C271" s="11" t="inlineStr">
        <is>
          <t>D13. Race, Sport &amp; Special Event Equipment</t>
        </is>
      </c>
      <c r="D271" s="11" t="inlineStr">
        <is>
          <t>Obor Dekorasi</t>
        </is>
      </c>
      <c r="E271" s="11" t="inlineStr">
        <is>
          <t>unit</t>
        </is>
      </c>
      <c r="F271" s="11" t="inlineStr">
        <is>
          <t>event</t>
        </is>
      </c>
      <c r="G271" s="8" t="n">
        <v>500000</v>
      </c>
      <c r="H271" s="8" t="n">
        <v>800000</v>
      </c>
      <c r="I271" s="12" t="inlineStr">
        <is>
          <t>per unit</t>
        </is>
      </c>
    </row>
    <row r="272" ht="15" customHeight="1">
      <c r="A272" s="6" t="n">
        <v>35</v>
      </c>
      <c r="B272" s="7" t="inlineStr">
        <is>
          <t>D. VENUE SETUP &amp; SYSTEM</t>
        </is>
      </c>
      <c r="C272" s="7" t="inlineStr">
        <is>
          <t>D13. Race, Sport &amp; Special Event Equipment</t>
        </is>
      </c>
      <c r="D272" s="7" t="inlineStr">
        <is>
          <t>Lampu Dekorasi Karnaval</t>
        </is>
      </c>
      <c r="E272" s="7" t="inlineStr">
        <is>
          <t>mtr</t>
        </is>
      </c>
      <c r="F272" s="7" t="inlineStr">
        <is>
          <t>event</t>
        </is>
      </c>
      <c r="G272" s="8" t="n">
        <v>45000</v>
      </c>
      <c r="H272" s="8" t="n">
        <v>80000</v>
      </c>
      <c r="I272" s="9" t="inlineStr">
        <is>
          <t>per meter</t>
        </is>
      </c>
    </row>
    <row r="273" ht="15" customHeight="1">
      <c r="A273" s="10" t="n">
        <v>36</v>
      </c>
      <c r="B273" s="23" t="n"/>
      <c r="C273" s="23" t="n"/>
      <c r="D273" s="23" t="n"/>
      <c r="E273" s="23" t="n"/>
      <c r="F273" s="23" t="n"/>
      <c r="G273" s="23" t="n"/>
      <c r="H273" s="23" t="n"/>
      <c r="I273" s="24" t="n"/>
    </row>
    <row r="274" ht="15" customHeight="1">
      <c r="A274" s="6" t="n">
        <v>37</v>
      </c>
      <c r="B274" s="7" t="inlineStr">
        <is>
          <t>D. VENUE SETUP &amp; SYSTEM</t>
        </is>
      </c>
      <c r="C274" s="7" t="inlineStr">
        <is>
          <t>D13. Race, Sport &amp; Special Event Equipment</t>
        </is>
      </c>
      <c r="D274" s="7" t="inlineStr">
        <is>
          <t>Info Board (100x180cm)</t>
        </is>
      </c>
      <c r="E274" s="7" t="inlineStr">
        <is>
          <t>unit</t>
        </is>
      </c>
      <c r="F274" s="7" t="inlineStr">
        <is>
          <t>event</t>
        </is>
      </c>
      <c r="G274" s="8" t="n">
        <v>5000000</v>
      </c>
      <c r="H274" s="8" t="n">
        <v>8000000</v>
      </c>
      <c r="I274" s="9" t="inlineStr">
        <is>
          <t>fabrication</t>
        </is>
      </c>
    </row>
    <row r="275" ht="15" customHeight="1">
      <c r="A275" s="10" t="n">
        <v>38</v>
      </c>
      <c r="B275" s="11" t="inlineStr">
        <is>
          <t>D. VENUE SETUP &amp; SYSTEM</t>
        </is>
      </c>
      <c r="C275" s="11" t="inlineStr">
        <is>
          <t>D13. Race, Sport &amp; Special Event Equipment</t>
        </is>
      </c>
      <c r="D275" s="11" t="inlineStr">
        <is>
          <t>Registration Device (Tablet + SW)</t>
        </is>
      </c>
      <c r="E275" s="11" t="inlineStr">
        <is>
          <t>unit</t>
        </is>
      </c>
      <c r="F275" s="11" t="inlineStr">
        <is>
          <t>event</t>
        </is>
      </c>
      <c r="G275" s="8" t="n">
        <v>1000000</v>
      </c>
      <c r="H275" s="8" t="n">
        <v>1500000</v>
      </c>
      <c r="I275" s="12" t="inlineStr">
        <is>
          <t>per unit per event</t>
        </is>
      </c>
    </row>
    <row r="276" ht="15" customHeight="1">
      <c r="A276" s="6" t="n">
        <v>39</v>
      </c>
      <c r="B276" s="7" t="inlineStr">
        <is>
          <t>D. VENUE SETUP &amp; SYSTEM</t>
        </is>
      </c>
      <c r="C276" s="7" t="inlineStr">
        <is>
          <t>D13. Race, Sport &amp; Special Event Equipment</t>
        </is>
      </c>
      <c r="D276" s="7" t="inlineStr">
        <is>
          <t>QR Card / Point Card</t>
        </is>
      </c>
      <c r="E276" s="7" t="inlineStr">
        <is>
          <t>pcs</t>
        </is>
      </c>
      <c r="F276" s="7" t="inlineStr">
        <is>
          <t>event</t>
        </is>
      </c>
      <c r="G276" s="8" t="n">
        <v>3000</v>
      </c>
      <c r="H276" s="8" t="n">
        <v>5000</v>
      </c>
      <c r="I276" s="9" t="inlineStr">
        <is>
          <t>per pcs cetak</t>
        </is>
      </c>
    </row>
    <row r="277" ht="15" customHeight="1">
      <c r="A277" s="10" t="n">
        <v>40</v>
      </c>
      <c r="B277" s="11" t="inlineStr">
        <is>
          <t>D. VENUE SETUP &amp; SYSTEM</t>
        </is>
      </c>
      <c r="C277" s="11" t="inlineStr">
        <is>
          <t>D13. Race, Sport &amp; Special Event Equipment</t>
        </is>
      </c>
      <c r="D277" s="11" t="inlineStr">
        <is>
          <t>Score System / Point System App</t>
        </is>
      </c>
      <c r="E277" s="11" t="inlineStr">
        <is>
          <t>pckg</t>
        </is>
      </c>
      <c r="F277" s="11" t="inlineStr">
        <is>
          <t>event</t>
        </is>
      </c>
      <c r="G277" s="8" t="n">
        <v>65000000</v>
      </c>
      <c r="H277" s="8" t="n">
        <v>100000000</v>
      </c>
      <c r="I277" s="12" t="inlineStr">
        <is>
          <t>per event — Custom dev</t>
        </is>
      </c>
    </row>
    <row r="278" ht="15" customHeight="1">
      <c r="A278" s="6" t="n">
        <v>41</v>
      </c>
      <c r="B278" s="7" t="inlineStr">
        <is>
          <t>D. VENUE SETUP &amp; SYSTEM</t>
        </is>
      </c>
      <c r="C278" s="7" t="inlineStr">
        <is>
          <t>D13. Race, Sport &amp; Special Event Equipment</t>
        </is>
      </c>
      <c r="D278" s="7" t="inlineStr">
        <is>
          <t>Ninebot / Gyroscooter</t>
        </is>
      </c>
      <c r="E278" s="7" t="inlineStr">
        <is>
          <t>unit</t>
        </is>
      </c>
      <c r="F278" s="7" t="inlineStr">
        <is>
          <t>event</t>
        </is>
      </c>
      <c r="G278" s="8" t="n">
        <v>3000000</v>
      </c>
      <c r="H278" s="8" t="n">
        <v>5000000</v>
      </c>
      <c r="I278" s="9" t="inlineStr">
        <is>
          <t>sewa per unit per event — Activation</t>
        </is>
      </c>
    </row>
    <row r="279" ht="15" customHeight="1">
      <c r="A279" s="10" t="n">
        <v>42</v>
      </c>
      <c r="B279" s="11" t="inlineStr">
        <is>
          <t>D. VENUE SETUP &amp; SYSTEM</t>
        </is>
      </c>
      <c r="C279" s="11" t="inlineStr">
        <is>
          <t>D13. Race, Sport &amp; Special Event Equipment</t>
        </is>
      </c>
      <c r="D279" s="11" t="inlineStr">
        <is>
          <t>Gyimkhana / Motor Drift Show</t>
        </is>
      </c>
      <c r="E279" s="11" t="inlineStr">
        <is>
          <t>pckg</t>
        </is>
      </c>
      <c r="F279" s="11" t="inlineStr">
        <is>
          <t>event</t>
        </is>
      </c>
      <c r="G279" s="8" t="n">
        <v>20000000</v>
      </c>
      <c r="H279" s="8" t="n">
        <v>50000000</v>
      </c>
      <c r="I279" s="12" t="inlineStr">
        <is>
          <t>incl. talent &amp; kendaraan</t>
        </is>
      </c>
    </row>
    <row r="280" ht="15" customHeight="1">
      <c r="A280" s="6" t="n">
        <v>43</v>
      </c>
      <c r="B280" s="7" t="inlineStr">
        <is>
          <t>D. VENUE SETUP &amp; SYSTEM</t>
        </is>
      </c>
      <c r="C280" s="7" t="inlineStr">
        <is>
          <t>D13. Race, Sport &amp; Special Event Equipment</t>
        </is>
      </c>
      <c r="D280" s="7" t="inlineStr">
        <is>
          <t>360 Photobooth Device</t>
        </is>
      </c>
      <c r="E280" s="7" t="inlineStr">
        <is>
          <t>pckg</t>
        </is>
      </c>
      <c r="F280" s="7" t="inlineStr">
        <is>
          <t>day</t>
        </is>
      </c>
      <c r="G280" s="8" t="n">
        <v>10000000</v>
      </c>
      <c r="H280" s="8" t="n">
        <v>18000000</v>
      </c>
      <c r="I280" s="9" t="inlineStr">
        <is>
          <t>incl. operator + transport</t>
        </is>
      </c>
    </row>
    <row r="281" ht="15" customHeight="1">
      <c r="A281" s="10" t="n">
        <v>44</v>
      </c>
      <c r="B281" s="11" t="inlineStr">
        <is>
          <t>D. VENUE SETUP &amp; SYSTEM</t>
        </is>
      </c>
      <c r="C281" s="11" t="inlineStr">
        <is>
          <t>D13. Race, Sport &amp; Special Event Equipment</t>
        </is>
      </c>
      <c r="D281" s="11" t="inlineStr">
        <is>
          <t>Giant Puzzle</t>
        </is>
      </c>
      <c r="E281" s="11" t="inlineStr">
        <is>
          <t>pckg</t>
        </is>
      </c>
      <c r="F281" s="11" t="inlineStr">
        <is>
          <t>event</t>
        </is>
      </c>
      <c r="G281" s="8" t="n">
        <v>50000000</v>
      </c>
      <c r="H281" s="8" t="n">
        <v>80000000</v>
      </c>
      <c r="I281" s="12" t="inlineStr">
        <is>
          <t>per event — Custom</t>
        </is>
      </c>
    </row>
    <row r="282" ht="15" customHeight="1">
      <c r="A282" s="6" t="n">
        <v>45</v>
      </c>
      <c r="B282" s="7" t="inlineStr">
        <is>
          <t>D. VENUE SETUP &amp; SYSTEM</t>
        </is>
      </c>
      <c r="C282" s="7" t="inlineStr">
        <is>
          <t>D13. Race, Sport &amp; Special Event Equipment</t>
        </is>
      </c>
      <c r="D282" s="7" t="inlineStr">
        <is>
          <t>Audience Games Equipment</t>
        </is>
      </c>
      <c r="E282" s="7" t="inlineStr">
        <is>
          <t>pckg</t>
        </is>
      </c>
      <c r="F282" s="7" t="inlineStr">
        <is>
          <t>event</t>
        </is>
      </c>
      <c r="G282" s="8" t="n">
        <v>5000000</v>
      </c>
      <c r="H282" s="8" t="n">
        <v>10000000</v>
      </c>
      <c r="I282" s="9" t="inlineStr">
        <is>
          <t>per paket per event</t>
        </is>
      </c>
    </row>
    <row r="283" ht="15" customHeight="1">
      <c r="A283" s="10" t="n">
        <v>46</v>
      </c>
      <c r="B283" s="11" t="inlineStr">
        <is>
          <t>D. VENUE SETUP &amp; SYSTEM</t>
        </is>
      </c>
      <c r="C283" s="11" t="inlineStr">
        <is>
          <t>D13. Race, Sport &amp; Special Event Equipment</t>
        </is>
      </c>
      <c r="D283" s="11" t="inlineStr">
        <is>
          <t>Racing Simulator Games</t>
        </is>
      </c>
      <c r="E283" s="11" t="inlineStr">
        <is>
          <t>unit</t>
        </is>
      </c>
      <c r="F283" s="11" t="inlineStr">
        <is>
          <t>event</t>
        </is>
      </c>
      <c r="G283" s="8" t="n">
        <v>5000000</v>
      </c>
      <c r="H283" s="8" t="n">
        <v>10000000</v>
      </c>
      <c r="I283" s="12" t="inlineStr">
        <is>
          <t>per unit incl. setup</t>
        </is>
      </c>
    </row>
    <row r="284">
      <c r="A284" s="16" t="inlineStr">
        <is>
          <t>E. TALENTS</t>
        </is>
      </c>
    </row>
    <row r="285" ht="18" customHeight="1">
      <c r="A285" s="5" t="inlineStr">
        <is>
          <t xml:space="preserve">  E1. MC</t>
        </is>
      </c>
    </row>
    <row r="286" ht="16" customHeight="1">
      <c r="A286" s="6" t="n">
        <v>1</v>
      </c>
      <c r="B286" s="23" t="n"/>
      <c r="C286" s="23" t="n"/>
      <c r="D286" s="23" t="n"/>
      <c r="E286" s="23" t="n"/>
      <c r="F286" s="23" t="n"/>
      <c r="G286" s="23" t="n"/>
      <c r="H286" s="23" t="n"/>
      <c r="I286" s="24" t="n"/>
    </row>
    <row r="287" ht="15" customHeight="1">
      <c r="A287" s="10" t="n">
        <v>2</v>
      </c>
      <c r="B287" s="11" t="inlineStr">
        <is>
          <t>E. TALENTS</t>
        </is>
      </c>
      <c r="C287" s="11" t="inlineStr">
        <is>
          <t>E1. MC</t>
        </is>
      </c>
      <c r="D287" s="11" t="inlineStr">
        <is>
          <t>MC Nasional (Profesional)</t>
        </is>
      </c>
      <c r="E287" s="11" t="inlineStr">
        <is>
          <t>prsn</t>
        </is>
      </c>
      <c r="F287" s="11" t="inlineStr">
        <is>
          <t>event</t>
        </is>
      </c>
      <c r="G287" s="8" t="n">
        <v>15000000</v>
      </c>
      <c r="H287" s="8" t="n">
        <v>30000000</v>
      </c>
      <c r="I287" s="12" t="inlineStr">
        <is>
          <t>incl. riders &amp; GR</t>
        </is>
      </c>
    </row>
    <row r="288" ht="15" customHeight="1">
      <c r="A288" s="6" t="n">
        <v>3</v>
      </c>
      <c r="B288" s="7" t="inlineStr">
        <is>
          <t>E. TALENTS</t>
        </is>
      </c>
      <c r="C288" s="7" t="inlineStr">
        <is>
          <t>E1. MC</t>
        </is>
      </c>
      <c r="D288" s="7" t="inlineStr">
        <is>
          <t>MC Bobbi Teguh</t>
        </is>
      </c>
      <c r="E288" s="7" t="inlineStr">
        <is>
          <t>prsn</t>
        </is>
      </c>
      <c r="F288" s="7" t="inlineStr">
        <is>
          <t>event</t>
        </is>
      </c>
      <c r="G288" s="8" t="n">
        <v>25000000</v>
      </c>
      <c r="H288" s="8" t="n">
        <v>30000000</v>
      </c>
      <c r="I288" s="9" t="inlineStr">
        <is>
          <t>incl. riders</t>
        </is>
      </c>
    </row>
    <row r="289" ht="15" customHeight="1">
      <c r="A289" s="10" t="n">
        <v>4</v>
      </c>
      <c r="B289" s="23" t="n"/>
      <c r="C289" s="23" t="n"/>
      <c r="D289" s="23" t="n"/>
      <c r="E289" s="23" t="n"/>
      <c r="F289" s="23" t="n"/>
      <c r="G289" s="23" t="n"/>
      <c r="H289" s="23" t="n"/>
      <c r="I289" s="24" t="n"/>
    </row>
    <row r="290" ht="15" customHeight="1">
      <c r="A290" s="6" t="n">
        <v>5</v>
      </c>
      <c r="B290" s="23" t="n"/>
      <c r="C290" s="23" t="n"/>
      <c r="D290" s="23" t="n"/>
      <c r="E290" s="23" t="n"/>
      <c r="F290" s="23" t="n"/>
      <c r="G290" s="23" t="n"/>
      <c r="H290" s="23" t="n"/>
      <c r="I290" s="24" t="n"/>
    </row>
    <row r="291" ht="15" customHeight="1">
      <c r="A291" s="10" t="n">
        <v>6</v>
      </c>
      <c r="B291" s="11" t="inlineStr">
        <is>
          <t>E. TALENTS</t>
        </is>
      </c>
      <c r="C291" s="11" t="inlineStr">
        <is>
          <t>E1. MC</t>
        </is>
      </c>
      <c r="D291" s="11" t="inlineStr">
        <is>
          <t>Moderator / Host</t>
        </is>
      </c>
      <c r="E291" s="11" t="inlineStr">
        <is>
          <t>prsn</t>
        </is>
      </c>
      <c r="F291" s="11" t="inlineStr">
        <is>
          <t>event</t>
        </is>
      </c>
      <c r="G291" s="8" t="n"/>
      <c r="H291" s="8" t="n"/>
      <c r="I291" s="12" t="inlineStr">
        <is>
          <t>Isi sesuai kebutuhan</t>
        </is>
      </c>
    </row>
    <row r="292" ht="15" customHeight="1">
      <c r="A292" s="5" t="inlineStr">
        <is>
          <t xml:space="preserve">  E2. Band &amp; Artis</t>
        </is>
      </c>
    </row>
    <row r="293" ht="16" customHeight="1">
      <c r="A293" s="6" t="n">
        <v>1</v>
      </c>
      <c r="B293" s="23" t="n"/>
      <c r="C293" s="23" t="n"/>
      <c r="D293" s="23" t="n"/>
      <c r="E293" s="23" t="n"/>
      <c r="F293" s="23" t="n"/>
      <c r="G293" s="23" t="n"/>
      <c r="H293" s="23" t="n"/>
      <c r="I293" s="24" t="n"/>
    </row>
    <row r="294" ht="15" customHeight="1">
      <c r="A294" s="10" t="n">
        <v>2</v>
      </c>
      <c r="B294" s="23" t="n"/>
      <c r="C294" s="23" t="n"/>
      <c r="D294" s="23" t="n"/>
      <c r="E294" s="23" t="n"/>
      <c r="F294" s="23" t="n"/>
      <c r="G294" s="23" t="n"/>
      <c r="H294" s="23" t="n"/>
      <c r="I294" s="24" t="n"/>
    </row>
    <row r="295" ht="15" customHeight="1">
      <c r="A295" s="6" t="n">
        <v>3</v>
      </c>
      <c r="B295" s="7" t="inlineStr">
        <is>
          <t>E. TALENTS</t>
        </is>
      </c>
      <c r="C295" s="7" t="inlineStr">
        <is>
          <t>E2. Band &amp; Artis</t>
        </is>
      </c>
      <c r="D295" s="7" t="inlineStr">
        <is>
          <t>Band/Artis Besar (Eva Celia, Andien, dll)</t>
        </is>
      </c>
      <c r="E295" s="7" t="inlineStr">
        <is>
          <t>prsn</t>
        </is>
      </c>
      <c r="F295" s="7" t="inlineStr">
        <is>
          <t>event</t>
        </is>
      </c>
      <c r="G295" s="8" t="n">
        <v>85000000</v>
      </c>
      <c r="H295" s="8" t="n">
        <v>145000000</v>
      </c>
      <c r="I295" s="9" t="inlineStr">
        <is>
          <t>excl. riders</t>
        </is>
      </c>
    </row>
    <row r="296" ht="15" customHeight="1">
      <c r="A296" s="10" t="n">
        <v>4</v>
      </c>
      <c r="B296" s="23" t="n"/>
      <c r="C296" s="23" t="n"/>
      <c r="D296" s="23" t="n"/>
      <c r="E296" s="23" t="n"/>
      <c r="F296" s="23" t="n"/>
      <c r="G296" s="23" t="n"/>
      <c r="H296" s="23" t="n"/>
      <c r="I296" s="24" t="n"/>
    </row>
    <row r="297" ht="15" customHeight="1">
      <c r="A297" s="6" t="n">
        <v>5</v>
      </c>
      <c r="B297" s="7" t="inlineStr">
        <is>
          <t>E. TALENTS</t>
        </is>
      </c>
      <c r="C297" s="7" t="inlineStr">
        <is>
          <t>E2. Band &amp; Artis</t>
        </is>
      </c>
      <c r="D297" s="7" t="inlineStr">
        <is>
          <t>Female DJ incl. CDJ Turntable</t>
        </is>
      </c>
      <c r="E297" s="7" t="inlineStr">
        <is>
          <t>prsn</t>
        </is>
      </c>
      <c r="F297" s="7" t="inlineStr">
        <is>
          <t>event</t>
        </is>
      </c>
      <c r="G297" s="8" t="n">
        <v>3500000</v>
      </c>
      <c r="H297" s="8" t="n">
        <v>5000000</v>
      </c>
      <c r="I297" s="9" t="inlineStr"/>
    </row>
    <row r="298" ht="15" customHeight="1">
      <c r="A298" s="5" t="inlineStr">
        <is>
          <t xml:space="preserve">  E3. Dancer &amp; Performing Arts</t>
        </is>
      </c>
    </row>
    <row r="299" ht="15" customHeight="1">
      <c r="A299" s="6" t="n">
        <v>1</v>
      </c>
      <c r="B299" s="23" t="n"/>
      <c r="C299" s="23" t="n"/>
      <c r="D299" s="23" t="n"/>
      <c r="E299" s="23" t="n"/>
      <c r="F299" s="23" t="n"/>
      <c r="G299" s="23" t="n"/>
      <c r="H299" s="23" t="n"/>
      <c r="I299" s="24" t="n"/>
    </row>
    <row r="300" ht="16" customHeight="1">
      <c r="A300" s="10" t="n">
        <v>2</v>
      </c>
      <c r="B300" s="23" t="n"/>
      <c r="C300" s="23" t="n"/>
      <c r="D300" s="23" t="n"/>
      <c r="E300" s="23" t="n"/>
      <c r="F300" s="23" t="n"/>
      <c r="G300" s="23" t="n"/>
      <c r="H300" s="23" t="n"/>
      <c r="I300" s="24" t="n"/>
    </row>
    <row r="301" ht="15" customHeight="1">
      <c r="A301" s="6" t="n">
        <v>3</v>
      </c>
      <c r="B301" s="23" t="n"/>
      <c r="C301" s="23" t="n"/>
      <c r="D301" s="23" t="n"/>
      <c r="E301" s="23" t="n"/>
      <c r="F301" s="23" t="n"/>
      <c r="G301" s="23" t="n"/>
      <c r="H301" s="23" t="n"/>
      <c r="I301" s="24" t="n"/>
    </row>
    <row r="302" ht="15" customHeight="1">
      <c r="A302" s="5" t="inlineStr">
        <is>
          <t xml:space="preserve">  E4. Religi / Keagamaan</t>
        </is>
      </c>
    </row>
    <row r="303" ht="15" customHeight="1">
      <c r="A303" s="6" t="n">
        <v>1</v>
      </c>
      <c r="B303" s="7" t="inlineStr">
        <is>
          <t>E. TALENTS</t>
        </is>
      </c>
      <c r="C303" s="7" t="inlineStr">
        <is>
          <t>E4. Religi / Keagamaan</t>
        </is>
      </c>
      <c r="D303" s="7" t="inlineStr">
        <is>
          <t>Marawis Group</t>
        </is>
      </c>
      <c r="E303" s="7" t="inlineStr">
        <is>
          <t>grup</t>
        </is>
      </c>
      <c r="F303" s="7" t="inlineStr">
        <is>
          <t>event</t>
        </is>
      </c>
      <c r="G303" s="8" t="n">
        <v>2000000</v>
      </c>
      <c r="H303" s="8" t="n">
        <v>3000000</v>
      </c>
      <c r="I303" s="9" t="inlineStr"/>
    </row>
    <row r="304" ht="15" customHeight="1">
      <c r="A304" s="10" t="n">
        <v>2</v>
      </c>
      <c r="B304" s="11" t="inlineStr">
        <is>
          <t>E. TALENTS</t>
        </is>
      </c>
      <c r="C304" s="11" t="inlineStr">
        <is>
          <t>E4. Religi / Keagamaan</t>
        </is>
      </c>
      <c r="D304" s="11" t="inlineStr">
        <is>
          <t>Qori dan Saritilawah</t>
        </is>
      </c>
      <c r="E304" s="11" t="inlineStr">
        <is>
          <t>prsn</t>
        </is>
      </c>
      <c r="F304" s="11" t="inlineStr">
        <is>
          <t>event</t>
        </is>
      </c>
      <c r="G304" s="8" t="n">
        <v>3500000</v>
      </c>
      <c r="H304" s="8" t="n">
        <v>5000000</v>
      </c>
      <c r="I304" s="12" t="inlineStr"/>
    </row>
    <row r="305" ht="15" customHeight="1">
      <c r="A305" s="6" t="n">
        <v>3</v>
      </c>
      <c r="B305" s="23" t="n"/>
      <c r="C305" s="23" t="n"/>
      <c r="D305" s="23" t="n"/>
      <c r="E305" s="23" t="n"/>
      <c r="F305" s="23" t="n"/>
      <c r="G305" s="23" t="n"/>
      <c r="H305" s="23" t="n"/>
      <c r="I305" s="24" t="n"/>
    </row>
    <row r="306" ht="15" customHeight="1">
      <c r="A306" s="10" t="n">
        <v>4</v>
      </c>
      <c r="B306" s="23" t="n"/>
      <c r="C306" s="23" t="n"/>
      <c r="D306" s="23" t="n"/>
      <c r="E306" s="23" t="n"/>
      <c r="F306" s="23" t="n"/>
      <c r="G306" s="23" t="n"/>
      <c r="H306" s="23" t="n"/>
      <c r="I306" s="24" t="n"/>
    </row>
    <row r="307" ht="15" customHeight="1">
      <c r="A307" s="5" t="inlineStr">
        <is>
          <t xml:space="preserve">  E5. Riders &amp; Support Talent</t>
        </is>
      </c>
    </row>
    <row r="308" ht="16" customHeight="1">
      <c r="A308" s="6" t="n">
        <v>1</v>
      </c>
      <c r="B308" s="23" t="n"/>
      <c r="C308" s="23" t="n"/>
      <c r="D308" s="23" t="n"/>
      <c r="E308" s="23" t="n"/>
      <c r="F308" s="23" t="n"/>
      <c r="G308" s="23" t="n"/>
      <c r="H308" s="23" t="n"/>
      <c r="I308" s="24" t="n"/>
    </row>
    <row r="309" ht="15" customHeight="1">
      <c r="A309" s="10" t="n">
        <v>2</v>
      </c>
      <c r="B309" s="23" t="n"/>
      <c r="C309" s="23" t="n"/>
      <c r="D309" s="23" t="n"/>
      <c r="E309" s="23" t="n"/>
      <c r="F309" s="23" t="n"/>
      <c r="G309" s="23" t="n"/>
      <c r="H309" s="23" t="n"/>
      <c r="I309" s="24" t="n"/>
    </row>
    <row r="310" ht="15" customHeight="1">
      <c r="A310" s="6" t="n">
        <v>3</v>
      </c>
      <c r="B310" s="7" t="inlineStr">
        <is>
          <t>E. TALENTS</t>
        </is>
      </c>
      <c r="C310" s="7" t="inlineStr">
        <is>
          <t>E5. Riders &amp; Support Talent</t>
        </is>
      </c>
      <c r="D310" s="7" t="inlineStr">
        <is>
          <t>Uang Makan Talent Hari H</t>
        </is>
      </c>
      <c r="E310" s="7" t="inlineStr">
        <is>
          <t>prsn</t>
        </is>
      </c>
      <c r="F310" s="7" t="inlineStr">
        <is>
          <t>day</t>
        </is>
      </c>
      <c r="G310" s="8" t="n">
        <v>300000</v>
      </c>
      <c r="H310" s="8" t="n">
        <v>500000</v>
      </c>
      <c r="I310" s="9" t="inlineStr">
        <is>
          <t>per orang</t>
        </is>
      </c>
    </row>
    <row r="311" ht="15" customHeight="1">
      <c r="A311" s="10" t="n">
        <v>4</v>
      </c>
      <c r="B311" s="11" t="inlineStr">
        <is>
          <t>E. TALENTS</t>
        </is>
      </c>
      <c r="C311" s="11" t="inlineStr">
        <is>
          <t>E5. Riders &amp; Support Talent</t>
        </is>
      </c>
      <c r="D311" s="11" t="inlineStr">
        <is>
          <t>Car Production untuk Talent</t>
        </is>
      </c>
      <c r="E311" s="11" t="inlineStr">
        <is>
          <t>unit</t>
        </is>
      </c>
      <c r="F311" s="11" t="inlineStr">
        <is>
          <t>event</t>
        </is>
      </c>
      <c r="G311" s="8" t="n">
        <v>3500000</v>
      </c>
      <c r="H311" s="8" t="n">
        <v>5000000</v>
      </c>
      <c r="I311" s="12" t="inlineStr">
        <is>
          <t>1 unit per event</t>
        </is>
      </c>
    </row>
    <row r="312" ht="15" customHeight="1">
      <c r="A312" s="6" t="n">
        <v>5</v>
      </c>
      <c r="B312" s="7" t="inlineStr">
        <is>
          <t>E. TALENTS</t>
        </is>
      </c>
      <c r="C312" s="7" t="inlineStr">
        <is>
          <t>E5. Riders &amp; Support Talent</t>
        </is>
      </c>
      <c r="D312" s="7" t="inlineStr">
        <is>
          <t>Talent Coordinator</t>
        </is>
      </c>
      <c r="E312" s="7" t="inlineStr">
        <is>
          <t>prsn</t>
        </is>
      </c>
      <c r="F312" s="7" t="inlineStr">
        <is>
          <t>event</t>
        </is>
      </c>
      <c r="G312" s="8" t="n">
        <v>1000000</v>
      </c>
      <c r="H312" s="8" t="n">
        <v>1500000</v>
      </c>
      <c r="I312" s="9" t="inlineStr"/>
    </row>
    <row r="313">
      <c r="A313" s="10" t="n">
        <v>6</v>
      </c>
      <c r="B313" s="11" t="inlineStr">
        <is>
          <t>E. TALENTS</t>
        </is>
      </c>
      <c r="C313" s="11" t="inlineStr">
        <is>
          <t>E5. Riders &amp; Support Talent</t>
        </is>
      </c>
      <c r="D313" s="11" t="inlineStr">
        <is>
          <t>LO Talent</t>
        </is>
      </c>
      <c r="E313" s="11" t="inlineStr">
        <is>
          <t>prsn</t>
        </is>
      </c>
      <c r="F313" s="11" t="inlineStr">
        <is>
          <t>day</t>
        </is>
      </c>
      <c r="G313" s="8" t="n">
        <v>500000</v>
      </c>
      <c r="H313" s="8" t="n">
        <v>750000</v>
      </c>
      <c r="I313" s="12" t="inlineStr"/>
    </row>
    <row r="314" ht="18" customHeight="1">
      <c r="A314" s="6" t="n">
        <v>7</v>
      </c>
      <c r="B314" s="23" t="n"/>
      <c r="C314" s="23" t="n"/>
      <c r="D314" s="23" t="n"/>
      <c r="E314" s="23" t="n"/>
      <c r="F314" s="23" t="n"/>
      <c r="G314" s="23" t="n"/>
      <c r="H314" s="23" t="n"/>
      <c r="I314" s="24" t="n"/>
    </row>
    <row r="315" ht="16" customHeight="1"/>
    <row r="316" ht="15" customHeight="1">
      <c r="A316" s="17" t="inlineStr">
        <is>
          <t>F. PARTICIPANT &amp; AUDIENCE</t>
        </is>
      </c>
    </row>
    <row r="317" ht="15" customHeight="1">
      <c r="A317" s="5" t="inlineStr">
        <is>
          <t xml:space="preserve">  F1. Accreditation &amp; ID</t>
        </is>
      </c>
    </row>
    <row r="318" ht="15" customHeight="1">
      <c r="A318" s="6" t="n">
        <v>1</v>
      </c>
      <c r="B318" s="7" t="inlineStr">
        <is>
          <t>F. PARTICIPANT &amp; AUDIENCE</t>
        </is>
      </c>
      <c r="C318" s="7" t="inlineStr">
        <is>
          <t>F1. Accreditation &amp; ID</t>
        </is>
      </c>
      <c r="D318" s="7" t="inlineStr">
        <is>
          <t>ID Card Art Carton</t>
        </is>
      </c>
      <c r="E318" s="7" t="inlineStr">
        <is>
          <t>pcs</t>
        </is>
      </c>
      <c r="F318" s="7" t="inlineStr">
        <is>
          <t>event</t>
        </is>
      </c>
      <c r="G318" s="8" t="n">
        <v>3000000</v>
      </c>
      <c r="H318" s="8" t="n">
        <v>4000000</v>
      </c>
      <c r="I318" s="9" t="inlineStr">
        <is>
          <t>per 1000 pcs</t>
        </is>
      </c>
    </row>
    <row r="319" ht="15" customHeight="1">
      <c r="A319" s="10" t="n">
        <v>2</v>
      </c>
      <c r="B319" s="11" t="inlineStr">
        <is>
          <t>F. PARTICIPANT &amp; AUDIENCE</t>
        </is>
      </c>
      <c r="C319" s="11" t="inlineStr">
        <is>
          <t>F1. Accreditation &amp; ID</t>
        </is>
      </c>
      <c r="D319" s="11" t="inlineStr">
        <is>
          <t>ID Card Art Carton + Mika</t>
        </is>
      </c>
      <c r="E319" s="11" t="inlineStr">
        <is>
          <t>pcs</t>
        </is>
      </c>
      <c r="F319" s="11" t="inlineStr">
        <is>
          <t>event</t>
        </is>
      </c>
      <c r="G319" s="8" t="n">
        <v>3300</v>
      </c>
      <c r="H319" s="8" t="n">
        <v>5000</v>
      </c>
      <c r="I319" s="12" t="inlineStr"/>
    </row>
    <row r="320" ht="15" customHeight="1">
      <c r="A320" s="6" t="n">
        <v>3</v>
      </c>
      <c r="B320" s="23" t="n"/>
      <c r="C320" s="23" t="n"/>
      <c r="D320" s="23" t="n"/>
      <c r="E320" s="23" t="n"/>
      <c r="F320" s="23" t="n"/>
      <c r="G320" s="23" t="n"/>
      <c r="H320" s="23" t="n"/>
      <c r="I320" s="24" t="n"/>
    </row>
    <row r="321" ht="15" customHeight="1">
      <c r="A321" s="10" t="n">
        <v>4</v>
      </c>
      <c r="B321" s="11" t="inlineStr">
        <is>
          <t>F. PARTICIPANT &amp; AUDIENCE</t>
        </is>
      </c>
      <c r="C321" s="11" t="inlineStr">
        <is>
          <t>F1. Accreditation &amp; ID</t>
        </is>
      </c>
      <c r="D321" s="11" t="inlineStr">
        <is>
          <t>ID Card PVC + Mika</t>
        </is>
      </c>
      <c r="E321" s="11" t="inlineStr">
        <is>
          <t>pcs</t>
        </is>
      </c>
      <c r="F321" s="11" t="inlineStr">
        <is>
          <t>event</t>
        </is>
      </c>
      <c r="G321" s="8" t="n">
        <v>5500</v>
      </c>
      <c r="H321" s="8" t="n">
        <v>8500</v>
      </c>
      <c r="I321" s="12" t="inlineStr"/>
    </row>
    <row r="322" ht="15" customHeight="1">
      <c r="A322" s="6" t="n">
        <v>5</v>
      </c>
      <c r="B322" s="7" t="inlineStr">
        <is>
          <t>F. PARTICIPANT &amp; AUDIENCE</t>
        </is>
      </c>
      <c r="C322" s="7" t="inlineStr">
        <is>
          <t>F1. Accreditation &amp; ID</t>
        </is>
      </c>
      <c r="D322" s="7" t="inlineStr">
        <is>
          <t>ID Card + Lanyard (PVC)</t>
        </is>
      </c>
      <c r="E322" s="7" t="inlineStr">
        <is>
          <t>pcs</t>
        </is>
      </c>
      <c r="F322" s="7" t="inlineStr">
        <is>
          <t>event</t>
        </is>
      </c>
      <c r="G322" s="8" t="n">
        <v>35000</v>
      </c>
      <c r="H322" s="8" t="n">
        <v>45000</v>
      </c>
      <c r="I322" s="9" t="inlineStr"/>
    </row>
    <row r="323" ht="15" customHeight="1">
      <c r="A323" s="10" t="n">
        <v>6</v>
      </c>
      <c r="B323" s="23" t="n"/>
      <c r="C323" s="23" t="n"/>
      <c r="D323" s="23" t="n"/>
      <c r="E323" s="23" t="n"/>
      <c r="F323" s="23" t="n"/>
      <c r="G323" s="23" t="n"/>
      <c r="H323" s="23" t="n"/>
      <c r="I323" s="24" t="n"/>
    </row>
    <row r="324" ht="16" customHeight="1">
      <c r="A324" s="6" t="n">
        <v>7</v>
      </c>
      <c r="B324" s="23" t="n"/>
      <c r="C324" s="23" t="n"/>
      <c r="D324" s="23" t="n"/>
      <c r="E324" s="23" t="n"/>
      <c r="F324" s="23" t="n"/>
      <c r="G324" s="23" t="n"/>
      <c r="H324" s="23" t="n"/>
      <c r="I324" s="24" t="n"/>
    </row>
    <row r="325" ht="15" customHeight="1">
      <c r="A325" s="10" t="n">
        <v>8</v>
      </c>
      <c r="B325" s="11" t="inlineStr">
        <is>
          <t>F. PARTICIPANT &amp; AUDIENCE</t>
        </is>
      </c>
      <c r="C325" s="11" t="inlineStr">
        <is>
          <t>F1. Accreditation &amp; ID</t>
        </is>
      </c>
      <c r="D325" s="11" t="inlineStr">
        <is>
          <t>Lanyard Printing 2 Sisi</t>
        </is>
      </c>
      <c r="E325" s="11" t="inlineStr">
        <is>
          <t>pcs</t>
        </is>
      </c>
      <c r="F325" s="11" t="inlineStr">
        <is>
          <t>event</t>
        </is>
      </c>
      <c r="G325" s="8" t="n">
        <v>8800</v>
      </c>
      <c r="H325" s="8" t="n">
        <v>12000</v>
      </c>
      <c r="I325" s="12" t="inlineStr"/>
    </row>
    <row r="326" ht="15" customHeight="1">
      <c r="A326" s="6" t="n">
        <v>9</v>
      </c>
      <c r="B326" s="7" t="inlineStr">
        <is>
          <t>F. PARTICIPANT &amp; AUDIENCE</t>
        </is>
      </c>
      <c r="C326" s="7" t="inlineStr">
        <is>
          <t>F1. Accreditation &amp; ID</t>
        </is>
      </c>
      <c r="D326" s="7" t="inlineStr">
        <is>
          <t>Wristband RFID Peserta</t>
        </is>
      </c>
      <c r="E326" s="7" t="inlineStr">
        <is>
          <t>pcs</t>
        </is>
      </c>
      <c r="F326" s="7" t="inlineStr">
        <is>
          <t>event</t>
        </is>
      </c>
      <c r="G326" s="8" t="n">
        <v>1300</v>
      </c>
      <c r="H326" s="8" t="n">
        <v>2500</v>
      </c>
      <c r="I326" s="9" t="inlineStr"/>
    </row>
    <row r="327" ht="16" customHeight="1">
      <c r="A327" s="10" t="n">
        <v>10</v>
      </c>
      <c r="B327" s="23" t="n"/>
      <c r="C327" s="23" t="n"/>
      <c r="D327" s="23" t="n"/>
      <c r="E327" s="23" t="n"/>
      <c r="F327" s="23" t="n"/>
      <c r="G327" s="23" t="n"/>
      <c r="H327" s="23" t="n"/>
      <c r="I327" s="24" t="n"/>
    </row>
    <row r="328" ht="15" customHeight="1">
      <c r="A328" s="6" t="n">
        <v>11</v>
      </c>
      <c r="B328" s="7" t="inlineStr">
        <is>
          <t>F. PARTICIPANT &amp; AUDIENCE</t>
        </is>
      </c>
      <c r="C328" s="7" t="inlineStr">
        <is>
          <t>F1. Accreditation &amp; ID</t>
        </is>
      </c>
      <c r="D328" s="7" t="inlineStr">
        <is>
          <t>Carpass (VIP/Panitia/Vendor)</t>
        </is>
      </c>
      <c r="E328" s="7" t="inlineStr">
        <is>
          <t>pcs</t>
        </is>
      </c>
      <c r="F328" s="7" t="inlineStr">
        <is>
          <t>event</t>
        </is>
      </c>
      <c r="G328" s="8" t="n">
        <v>5000</v>
      </c>
      <c r="H328" s="8" t="n">
        <v>8000</v>
      </c>
      <c r="I328" s="9" t="inlineStr"/>
    </row>
    <row r="329" ht="15" customHeight="1">
      <c r="A329" s="10" t="n">
        <v>12</v>
      </c>
      <c r="B329" s="11" t="inlineStr">
        <is>
          <t>F. PARTICIPANT &amp; AUDIENCE</t>
        </is>
      </c>
      <c r="C329" s="11" t="inlineStr">
        <is>
          <t>F1. Accreditation &amp; ID</t>
        </is>
      </c>
      <c r="D329" s="11" t="inlineStr">
        <is>
          <t>Sticker Bus</t>
        </is>
      </c>
      <c r="E329" s="11" t="inlineStr">
        <is>
          <t>pcs</t>
        </is>
      </c>
      <c r="F329" s="11" t="inlineStr">
        <is>
          <t>event</t>
        </is>
      </c>
      <c r="G329" s="8" t="n">
        <v>13000</v>
      </c>
      <c r="H329" s="8" t="n">
        <v>20000</v>
      </c>
      <c r="I329" s="12" t="inlineStr"/>
    </row>
    <row r="330" ht="15" customHeight="1">
      <c r="A330" s="6" t="n">
        <v>13</v>
      </c>
      <c r="B330" s="23" t="n"/>
      <c r="C330" s="23" t="n"/>
      <c r="D330" s="23" t="n"/>
      <c r="E330" s="23" t="n"/>
      <c r="F330" s="23" t="n"/>
      <c r="G330" s="23" t="n"/>
      <c r="H330" s="23" t="n"/>
      <c r="I330" s="24" t="n"/>
    </row>
    <row r="331">
      <c r="A331" s="5" t="inlineStr">
        <is>
          <t xml:space="preserve">  F2. Undangan &amp; Cetak</t>
        </is>
      </c>
    </row>
    <row r="332" ht="18" customHeight="1">
      <c r="A332" s="6" t="n">
        <v>1</v>
      </c>
      <c r="B332" s="23" t="n"/>
      <c r="C332" s="23" t="n"/>
      <c r="D332" s="23" t="n"/>
      <c r="E332" s="23" t="n"/>
      <c r="F332" s="23" t="n"/>
      <c r="G332" s="23" t="n"/>
      <c r="H332" s="23" t="n"/>
      <c r="I332" s="24" t="n"/>
    </row>
    <row r="333" ht="16" customHeight="1">
      <c r="A333" s="10" t="n">
        <v>2</v>
      </c>
      <c r="B333" s="23" t="n"/>
      <c r="C333" s="23" t="n"/>
      <c r="D333" s="23" t="n"/>
      <c r="E333" s="23" t="n"/>
      <c r="F333" s="23" t="n"/>
      <c r="G333" s="23" t="n"/>
      <c r="H333" s="23" t="n"/>
      <c r="I333" s="24" t="n"/>
    </row>
    <row r="334" ht="15" customHeight="1">
      <c r="A334" s="6" t="n">
        <v>3</v>
      </c>
      <c r="B334" s="7" t="inlineStr">
        <is>
          <t>F. PARTICIPANT &amp; AUDIENCE</t>
        </is>
      </c>
      <c r="C334" s="7" t="inlineStr">
        <is>
          <t>F2. Undangan &amp; Cetak</t>
        </is>
      </c>
      <c r="D334" s="7" t="inlineStr">
        <is>
          <t>Cue Card Art Carton + Laminasi</t>
        </is>
      </c>
      <c r="E334" s="7" t="inlineStr">
        <is>
          <t>pcs</t>
        </is>
      </c>
      <c r="F334" s="7" t="inlineStr">
        <is>
          <t>event</t>
        </is>
      </c>
      <c r="G334" s="8" t="n">
        <v>4000</v>
      </c>
      <c r="H334" s="8" t="n">
        <v>6000</v>
      </c>
      <c r="I334" s="9" t="inlineStr"/>
    </row>
    <row r="335" ht="15" customHeight="1">
      <c r="A335" s="10" t="n">
        <v>4</v>
      </c>
      <c r="B335" s="11" t="inlineStr">
        <is>
          <t>F. PARTICIPANT &amp; AUDIENCE</t>
        </is>
      </c>
      <c r="C335" s="11" t="inlineStr">
        <is>
          <t>F2. Undangan &amp; Cetak</t>
        </is>
      </c>
      <c r="D335" s="11" t="inlineStr">
        <is>
          <t>Tent Card Art Carton + Laminasi</t>
        </is>
      </c>
      <c r="E335" s="11" t="inlineStr">
        <is>
          <t>pcs</t>
        </is>
      </c>
      <c r="F335" s="11" t="inlineStr">
        <is>
          <t>event</t>
        </is>
      </c>
      <c r="G335" s="8" t="n">
        <v>3000</v>
      </c>
      <c r="H335" s="8" t="n">
        <v>5000</v>
      </c>
      <c r="I335" s="12" t="inlineStr"/>
    </row>
    <row r="336" ht="15" customHeight="1">
      <c r="A336" s="6" t="n">
        <v>5</v>
      </c>
      <c r="B336" s="7" t="inlineStr">
        <is>
          <t>F. PARTICIPANT &amp; AUDIENCE</t>
        </is>
      </c>
      <c r="C336" s="7" t="inlineStr">
        <is>
          <t>F2. Undangan &amp; Cetak</t>
        </is>
      </c>
      <c r="D336" s="7" t="inlineStr">
        <is>
          <t>Sticker Seating Arrangement</t>
        </is>
      </c>
      <c r="E336" s="7" t="inlineStr">
        <is>
          <t>pcs</t>
        </is>
      </c>
      <c r="F336" s="7" t="inlineStr">
        <is>
          <t>event</t>
        </is>
      </c>
      <c r="G336" s="8" t="n">
        <v>3500</v>
      </c>
      <c r="H336" s="8" t="n">
        <v>6000</v>
      </c>
      <c r="I336" s="9" t="inlineStr">
        <is>
          <t>A6 doff</t>
        </is>
      </c>
    </row>
    <row r="337" ht="15" customHeight="1">
      <c r="A337" s="10" t="n">
        <v>6</v>
      </c>
      <c r="B337" s="11" t="inlineStr">
        <is>
          <t>F. PARTICIPANT &amp; AUDIENCE</t>
        </is>
      </c>
      <c r="C337" s="11" t="inlineStr">
        <is>
          <t>F2. Undangan &amp; Cetak</t>
        </is>
      </c>
      <c r="D337" s="11" t="inlineStr">
        <is>
          <t>Sticker Signage (A3 doff)</t>
        </is>
      </c>
      <c r="E337" s="11" t="inlineStr">
        <is>
          <t>pcs</t>
        </is>
      </c>
      <c r="F337" s="11" t="inlineStr">
        <is>
          <t>event</t>
        </is>
      </c>
      <c r="G337" s="8" t="n">
        <v>25000</v>
      </c>
      <c r="H337" s="8" t="n">
        <v>35000</v>
      </c>
      <c r="I337" s="12" t="inlineStr"/>
    </row>
    <row r="338" ht="15" customHeight="1">
      <c r="A338" s="5" t="inlineStr">
        <is>
          <t xml:space="preserve">  F3. Merchandise &amp; Souvenir</t>
        </is>
      </c>
    </row>
    <row r="339" ht="15" customHeight="1">
      <c r="A339" s="6" t="n">
        <v>1</v>
      </c>
      <c r="B339" s="23" t="n"/>
      <c r="C339" s="23" t="n"/>
      <c r="D339" s="23" t="n"/>
      <c r="E339" s="23" t="n"/>
      <c r="F339" s="23" t="n"/>
      <c r="G339" s="23" t="n"/>
      <c r="H339" s="23" t="n"/>
      <c r="I339" s="24" t="n"/>
    </row>
    <row r="340" ht="15" customHeight="1">
      <c r="A340" s="10" t="n">
        <v>2</v>
      </c>
      <c r="B340" s="23" t="n"/>
      <c r="C340" s="23" t="n"/>
      <c r="D340" s="23" t="n"/>
      <c r="E340" s="23" t="n"/>
      <c r="F340" s="23" t="n"/>
      <c r="G340" s="23" t="n"/>
      <c r="H340" s="23" t="n"/>
      <c r="I340" s="24" t="n"/>
    </row>
    <row r="341" ht="15" customHeight="1">
      <c r="A341" s="5" t="inlineStr">
        <is>
          <t xml:space="preserve">  F4. Participant Management</t>
        </is>
      </c>
    </row>
    <row r="342" ht="15" customHeight="1">
      <c r="A342" s="6" t="n">
        <v>1</v>
      </c>
      <c r="B342" s="7" t="inlineStr">
        <is>
          <t>F. PARTICIPANT &amp; AUDIENCE</t>
        </is>
      </c>
      <c r="C342" s="7" t="inlineStr">
        <is>
          <t>F4. Participant Management</t>
        </is>
      </c>
      <c r="D342" s="7" t="inlineStr">
        <is>
          <t>Head Kepesertaan</t>
        </is>
      </c>
      <c r="E342" s="7" t="inlineStr">
        <is>
          <t>prsn</t>
        </is>
      </c>
      <c r="F342" s="7" t="inlineStr">
        <is>
          <t>event</t>
        </is>
      </c>
      <c r="G342" s="8" t="n">
        <v>5000000</v>
      </c>
      <c r="H342" s="8" t="n">
        <v>7500000</v>
      </c>
      <c r="I342" s="9" t="inlineStr"/>
    </row>
    <row r="343" ht="15" customHeight="1">
      <c r="A343" s="10" t="n">
        <v>2</v>
      </c>
      <c r="B343" s="11" t="inlineStr">
        <is>
          <t>F. PARTICIPANT &amp; AUDIENCE</t>
        </is>
      </c>
      <c r="C343" s="11" t="inlineStr">
        <is>
          <t>F4. Participant Management</t>
        </is>
      </c>
      <c r="D343" s="11" t="inlineStr">
        <is>
          <t>Staff Kepesertaan</t>
        </is>
      </c>
      <c r="E343" s="11" t="inlineStr">
        <is>
          <t>prsn</t>
        </is>
      </c>
      <c r="F343" s="11" t="inlineStr">
        <is>
          <t>event</t>
        </is>
      </c>
      <c r="G343" s="8" t="n">
        <v>2500000</v>
      </c>
      <c r="H343" s="8" t="n">
        <v>4000000</v>
      </c>
      <c r="I343" s="12" t="inlineStr"/>
    </row>
    <row r="344" ht="15" customHeight="1">
      <c r="A344" s="6" t="n">
        <v>3</v>
      </c>
      <c r="B344" s="7" t="inlineStr">
        <is>
          <t>F. PARTICIPANT &amp; AUDIENCE</t>
        </is>
      </c>
      <c r="C344" s="7" t="inlineStr">
        <is>
          <t>F4. Participant Management</t>
        </is>
      </c>
      <c r="D344" s="7" t="inlineStr">
        <is>
          <t>Registration Crew</t>
        </is>
      </c>
      <c r="E344" s="7" t="inlineStr">
        <is>
          <t>prsn</t>
        </is>
      </c>
      <c r="F344" s="7" t="inlineStr">
        <is>
          <t>day</t>
        </is>
      </c>
      <c r="G344" s="8" t="n">
        <v>500000</v>
      </c>
      <c r="H344" s="8" t="n">
        <v>700000</v>
      </c>
      <c r="I344" s="9" t="inlineStr"/>
    </row>
    <row r="345" ht="15" customHeight="1">
      <c r="A345" s="10" t="n">
        <v>4</v>
      </c>
      <c r="B345" s="11" t="inlineStr">
        <is>
          <t>F. PARTICIPANT &amp; AUDIENCE</t>
        </is>
      </c>
      <c r="C345" s="11" t="inlineStr">
        <is>
          <t>F4. Participant Management</t>
        </is>
      </c>
      <c r="D345" s="11" t="inlineStr">
        <is>
          <t>Seating Arrangement Support</t>
        </is>
      </c>
      <c r="E345" s="11" t="inlineStr">
        <is>
          <t>prsn</t>
        </is>
      </c>
      <c r="F345" s="11" t="inlineStr">
        <is>
          <t>day</t>
        </is>
      </c>
      <c r="G345" s="8" t="n">
        <v>500000</v>
      </c>
      <c r="H345" s="8" t="n">
        <v>700000</v>
      </c>
      <c r="I345" s="12" t="inlineStr"/>
    </row>
    <row r="346" ht="15" customHeight="1"/>
    <row r="347" ht="15" customHeight="1">
      <c r="A347" s="5" t="inlineStr">
        <is>
          <t xml:space="preserve">  F5. Competition &amp; Award</t>
        </is>
      </c>
    </row>
    <row r="348" ht="15" customHeight="1">
      <c r="A348" s="6" t="n">
        <v>1</v>
      </c>
      <c r="B348" s="23" t="n"/>
      <c r="C348" s="23" t="n"/>
      <c r="D348" s="23" t="n"/>
      <c r="E348" s="23" t="n"/>
      <c r="F348" s="23" t="n"/>
      <c r="G348" s="23" t="n"/>
      <c r="H348" s="23" t="n"/>
      <c r="I348" s="24" t="n"/>
    </row>
    <row r="349" ht="16" customHeight="1">
      <c r="A349" s="10" t="n">
        <v>2</v>
      </c>
      <c r="B349" s="23" t="n"/>
      <c r="C349" s="23" t="n"/>
      <c r="D349" s="23" t="n"/>
      <c r="E349" s="23" t="n"/>
      <c r="F349" s="23" t="n"/>
      <c r="G349" s="23" t="n"/>
      <c r="H349" s="23" t="n"/>
      <c r="I349" s="24" t="n"/>
    </row>
    <row r="350" ht="15" customHeight="1">
      <c r="A350" s="6" t="n">
        <v>3</v>
      </c>
      <c r="B350" s="7" t="inlineStr">
        <is>
          <t>F. PARTICIPANT &amp; AUDIENCE</t>
        </is>
      </c>
      <c r="C350" s="7" t="inlineStr">
        <is>
          <t>F5. Competition &amp; Award</t>
        </is>
      </c>
      <c r="D350" s="7" t="inlineStr">
        <is>
          <t>Sertifikat Peserta / Juara</t>
        </is>
      </c>
      <c r="E350" s="7" t="inlineStr">
        <is>
          <t>pcs</t>
        </is>
      </c>
      <c r="F350" s="7" t="inlineStr">
        <is>
          <t>event</t>
        </is>
      </c>
      <c r="G350" s="8" t="n">
        <v>4000</v>
      </c>
      <c r="H350" s="8" t="n">
        <v>7000</v>
      </c>
      <c r="I350" s="9" t="inlineStr">
        <is>
          <t>artcarton laminasi doff, per pcs</t>
        </is>
      </c>
    </row>
    <row r="351" ht="15" customHeight="1">
      <c r="A351" s="10" t="n">
        <v>4</v>
      </c>
      <c r="B351" s="11" t="inlineStr">
        <is>
          <t>F. PARTICIPANT &amp; AUDIENCE</t>
        </is>
      </c>
      <c r="C351" s="11" t="inlineStr">
        <is>
          <t>F5. Competition &amp; Award</t>
        </is>
      </c>
      <c r="D351" s="11" t="inlineStr">
        <is>
          <t>Sistem Penilaian Digital (Scoring)</t>
        </is>
      </c>
      <c r="E351" s="11" t="inlineStr">
        <is>
          <t>pckg</t>
        </is>
      </c>
      <c r="F351" s="11" t="inlineStr">
        <is>
          <t>event</t>
        </is>
      </c>
      <c r="G351" s="8" t="n">
        <v>2000000</v>
      </c>
      <c r="H351" s="8" t="n">
        <v>5000000</v>
      </c>
      <c r="I351" s="12" t="inlineStr">
        <is>
          <t>app + operator</t>
        </is>
      </c>
    </row>
    <row r="352" ht="15" customHeight="1">
      <c r="A352" s="6" t="n">
        <v>5</v>
      </c>
      <c r="B352" s="7" t="inlineStr">
        <is>
          <t>F. PARTICIPANT &amp; AUDIENCE</t>
        </is>
      </c>
      <c r="C352" s="7" t="inlineStr">
        <is>
          <t>F5. Competition &amp; Award</t>
        </is>
      </c>
      <c r="D352" s="7" t="inlineStr">
        <is>
          <t>Reward Management Kompetisi</t>
        </is>
      </c>
      <c r="E352" s="7" t="inlineStr">
        <is>
          <t>pckg</t>
        </is>
      </c>
      <c r="F352" s="7" t="inlineStr">
        <is>
          <t>event</t>
        </is>
      </c>
      <c r="G352" s="8" t="n">
        <v>1000000</v>
      </c>
      <c r="H352" s="8" t="n">
        <v>2000000</v>
      </c>
      <c r="I352" s="9" t="inlineStr">
        <is>
          <t>jasa pengelolaan hadiah &amp; awarding</t>
        </is>
      </c>
    </row>
    <row r="353" ht="16" customHeight="1">
      <c r="A353" s="5" t="inlineStr">
        <is>
          <t xml:space="preserve">  E6. Talent Festival &amp; Sport</t>
        </is>
      </c>
    </row>
    <row r="354" ht="15" customHeight="1">
      <c r="A354" s="6" t="n">
        <v>1</v>
      </c>
      <c r="B354" s="7" t="inlineStr">
        <is>
          <t>E. TALENTS</t>
        </is>
      </c>
      <c r="C354" s="7" t="inlineStr">
        <is>
          <t>E6. Talent Festival &amp; Sport</t>
        </is>
      </c>
      <c r="D354" s="7" t="inlineStr">
        <is>
          <t>KOL / Key Opinion Leader</t>
        </is>
      </c>
      <c r="E354" s="7" t="inlineStr">
        <is>
          <t>prsn</t>
        </is>
      </c>
      <c r="F354" s="7" t="inlineStr">
        <is>
          <t>event</t>
        </is>
      </c>
      <c r="G354" s="8" t="n">
        <v>5000000</v>
      </c>
      <c r="H354" s="8" t="n">
        <v>50000000</v>
      </c>
      <c r="I354" s="9" t="inlineStr">
        <is>
          <t>per orang per event, excl. riders — Range lebar tergantung follower</t>
        </is>
      </c>
    </row>
    <row r="355" ht="15" customHeight="1">
      <c r="A355" s="10" t="n">
        <v>2</v>
      </c>
      <c r="B355" s="11" t="inlineStr">
        <is>
          <t>E. TALENTS</t>
        </is>
      </c>
      <c r="C355" s="11" t="inlineStr">
        <is>
          <t>E6. Talent Festival &amp; Sport</t>
        </is>
      </c>
      <c r="D355" s="11" t="inlineStr">
        <is>
          <t>Guest Builder / Komunitas Expert</t>
        </is>
      </c>
      <c r="E355" s="11" t="inlineStr">
        <is>
          <t>prsn</t>
        </is>
      </c>
      <c r="F355" s="11" t="inlineStr">
        <is>
          <t>event</t>
        </is>
      </c>
      <c r="G355" s="8" t="n">
        <v>5000000</v>
      </c>
      <c r="H355" s="8" t="n">
        <v>15000000</v>
      </c>
      <c r="I355" s="12" t="inlineStr">
        <is>
          <t>per orang per event — Kustom motor, dll</t>
        </is>
      </c>
    </row>
    <row r="356" ht="15" customHeight="1">
      <c r="A356" s="6" t="n">
        <v>3</v>
      </c>
      <c r="B356" s="23" t="n"/>
      <c r="C356" s="23" t="n"/>
      <c r="D356" s="23" t="n"/>
      <c r="E356" s="23" t="n"/>
      <c r="F356" s="23" t="n"/>
      <c r="G356" s="23" t="n"/>
      <c r="H356" s="23" t="n"/>
      <c r="I356" s="24" t="n"/>
    </row>
    <row r="357" ht="15" customHeight="1">
      <c r="A357" s="10" t="n">
        <v>4</v>
      </c>
      <c r="B357" s="23" t="n"/>
      <c r="C357" s="23" t="n"/>
      <c r="D357" s="23" t="n"/>
      <c r="E357" s="23" t="n"/>
      <c r="F357" s="23" t="n"/>
      <c r="G357" s="23" t="n"/>
      <c r="H357" s="23" t="n"/>
      <c r="I357" s="24" t="n"/>
    </row>
    <row r="358" ht="15" customHeight="1">
      <c r="A358" s="6" t="n">
        <v>5</v>
      </c>
      <c r="B358" s="7" t="inlineStr">
        <is>
          <t>E. TALENTS</t>
        </is>
      </c>
      <c r="C358" s="7" t="inlineStr">
        <is>
          <t>E6. Talent Festival &amp; Sport</t>
        </is>
      </c>
      <c r="D358" s="7" t="inlineStr">
        <is>
          <t>Drift Commentator</t>
        </is>
      </c>
      <c r="E358" s="7" t="inlineStr">
        <is>
          <t>prsn</t>
        </is>
      </c>
      <c r="F358" s="7" t="inlineStr">
        <is>
          <t>event</t>
        </is>
      </c>
      <c r="G358" s="8" t="n">
        <v>15000000</v>
      </c>
      <c r="H358" s="8" t="n">
        <v>25000000</v>
      </c>
      <c r="I358" s="9" t="inlineStr">
        <is>
          <t>per orang per event</t>
        </is>
      </c>
    </row>
    <row r="359" ht="15" customHeight="1">
      <c r="A359" s="10" t="n">
        <v>6</v>
      </c>
      <c r="B359" s="11" t="inlineStr">
        <is>
          <t>E. TALENTS</t>
        </is>
      </c>
      <c r="C359" s="11" t="inlineStr">
        <is>
          <t>E6. Talent Festival &amp; Sport</t>
        </is>
      </c>
      <c r="D359" s="11" t="inlineStr">
        <is>
          <t>Auto Babes / CarWas Girl</t>
        </is>
      </c>
      <c r="E359" s="11" t="inlineStr">
        <is>
          <t>prsn</t>
        </is>
      </c>
      <c r="F359" s="11" t="inlineStr">
        <is>
          <t>day</t>
        </is>
      </c>
      <c r="G359" s="8" t="n">
        <v>1500000</v>
      </c>
      <c r="H359" s="8" t="n">
        <v>3000000</v>
      </c>
      <c r="I359" s="12" t="inlineStr">
        <is>
          <t>per orang per hari</t>
        </is>
      </c>
    </row>
    <row r="360" ht="15" customHeight="1">
      <c r="A360" s="6" t="n">
        <v>7</v>
      </c>
      <c r="B360" s="7" t="inlineStr">
        <is>
          <t>E. TALENTS</t>
        </is>
      </c>
      <c r="C360" s="7" t="inlineStr">
        <is>
          <t>E6. Talent Festival &amp; Sport</t>
        </is>
      </c>
      <c r="D360" s="7" t="inlineStr">
        <is>
          <t>DJ Karaoke</t>
        </is>
      </c>
      <c r="E360" s="7" t="inlineStr">
        <is>
          <t>prsn</t>
        </is>
      </c>
      <c r="F360" s="7" t="inlineStr">
        <is>
          <t>event</t>
        </is>
      </c>
      <c r="G360" s="8" t="n">
        <v>5000000</v>
      </c>
      <c r="H360" s="8" t="n">
        <v>10000000</v>
      </c>
      <c r="I360" s="9" t="inlineStr">
        <is>
          <t>per event incl. setup</t>
        </is>
      </c>
    </row>
    <row r="361" ht="15" customHeight="1">
      <c r="A361" s="10" t="n">
        <v>8</v>
      </c>
      <c r="B361" s="11" t="inlineStr">
        <is>
          <t>E. TALENTS</t>
        </is>
      </c>
      <c r="C361" s="11" t="inlineStr">
        <is>
          <t>E6. Talent Festival &amp; Sport</t>
        </is>
      </c>
      <c r="D361" s="11" t="inlineStr">
        <is>
          <t>Sexy Dancer / Show Dancer</t>
        </is>
      </c>
      <c r="E361" s="11" t="inlineStr">
        <is>
          <t>grup</t>
        </is>
      </c>
      <c r="F361" s="11" t="inlineStr">
        <is>
          <t>event</t>
        </is>
      </c>
      <c r="G361" s="8" t="n">
        <v>6000000</v>
      </c>
      <c r="H361" s="8" t="n">
        <v>15000000</v>
      </c>
      <c r="I361" s="12" t="inlineStr">
        <is>
          <t>3x perform per grup</t>
        </is>
      </c>
    </row>
    <row r="362" ht="15" customHeight="1">
      <c r="A362" s="6" t="n">
        <v>9</v>
      </c>
      <c r="B362" s="7" t="inlineStr">
        <is>
          <t>E. TALENTS</t>
        </is>
      </c>
      <c r="C362" s="7" t="inlineStr">
        <is>
          <t>E6. Talent Festival &amp; Sport</t>
        </is>
      </c>
      <c r="D362" s="7" t="inlineStr">
        <is>
          <t>Residence DJ</t>
        </is>
      </c>
      <c r="E362" s="7" t="inlineStr">
        <is>
          <t>prsn</t>
        </is>
      </c>
      <c r="F362" s="7" t="inlineStr">
        <is>
          <t>event</t>
        </is>
      </c>
      <c r="G362" s="8" t="n">
        <v>5000000</v>
      </c>
      <c r="H362" s="8" t="n">
        <v>10000000</v>
      </c>
      <c r="I362" s="9" t="inlineStr">
        <is>
          <t>per set per event</t>
        </is>
      </c>
    </row>
    <row r="363" ht="15" customHeight="1">
      <c r="A363" s="10" t="n">
        <v>10</v>
      </c>
      <c r="B363" s="11" t="inlineStr">
        <is>
          <t>E. TALENTS</t>
        </is>
      </c>
      <c r="C363" s="11" t="inlineStr">
        <is>
          <t>E6. Talent Festival &amp; Sport</t>
        </is>
      </c>
      <c r="D363" s="11" t="inlineStr">
        <is>
          <t>Moderator / Talkshow Host</t>
        </is>
      </c>
      <c r="E363" s="11" t="inlineStr">
        <is>
          <t>prsn</t>
        </is>
      </c>
      <c r="F363" s="11" t="inlineStr">
        <is>
          <t>event</t>
        </is>
      </c>
      <c r="G363" s="8" t="n">
        <v>1500000</v>
      </c>
      <c r="H363" s="8" t="n">
        <v>5000000</v>
      </c>
      <c r="I363" s="12" t="inlineStr">
        <is>
          <t>per orang per event</t>
        </is>
      </c>
    </row>
    <row r="364" ht="15" customHeight="1">
      <c r="A364" s="6" t="n">
        <v>11</v>
      </c>
      <c r="B364" s="23" t="n"/>
      <c r="C364" s="23" t="n"/>
      <c r="D364" s="23" t="n"/>
      <c r="E364" s="23" t="n"/>
      <c r="F364" s="23" t="n"/>
      <c r="G364" s="23" t="n"/>
      <c r="H364" s="23" t="n"/>
      <c r="I364" s="24" t="n"/>
    </row>
    <row r="365" ht="15" customHeight="1">
      <c r="A365" s="18" t="inlineStr">
        <is>
          <t>G. SHOW MANAGEMENT</t>
        </is>
      </c>
    </row>
    <row r="366" ht="15" customHeight="1">
      <c r="A366" s="5" t="inlineStr">
        <is>
          <t xml:space="preserve">  G1. Show Direction</t>
        </is>
      </c>
    </row>
    <row r="367" ht="15" customHeight="1">
      <c r="A367" s="6" t="n">
        <v>1</v>
      </c>
      <c r="B367" s="23" t="n"/>
      <c r="C367" s="23" t="n"/>
      <c r="D367" s="23" t="n"/>
      <c r="E367" s="23" t="n"/>
      <c r="F367" s="23" t="n"/>
      <c r="G367" s="23" t="n"/>
      <c r="H367" s="23" t="n"/>
      <c r="I367" s="24" t="n"/>
    </row>
    <row r="368" ht="15" customHeight="1">
      <c r="A368" s="10" t="n">
        <v>2</v>
      </c>
      <c r="B368" s="11" t="inlineStr">
        <is>
          <t>G. SHOW MANAGEMENT</t>
        </is>
      </c>
      <c r="C368" s="11" t="inlineStr">
        <is>
          <t>G1. Show Direction</t>
        </is>
      </c>
      <c r="D368" s="11" t="inlineStr">
        <is>
          <t>Stage Manager</t>
        </is>
      </c>
      <c r="E368" s="11" t="inlineStr">
        <is>
          <t>prsn</t>
        </is>
      </c>
      <c r="F368" s="11" t="inlineStr">
        <is>
          <t>event</t>
        </is>
      </c>
      <c r="G368" s="8" t="n">
        <v>1200000</v>
      </c>
      <c r="H368" s="8" t="n">
        <v>2000000</v>
      </c>
      <c r="I368" s="12" t="inlineStr"/>
    </row>
    <row r="369">
      <c r="A369" s="6" t="n">
        <v>3</v>
      </c>
      <c r="B369" s="7" t="inlineStr">
        <is>
          <t>G. SHOW MANAGEMENT</t>
        </is>
      </c>
      <c r="C369" s="7" t="inlineStr">
        <is>
          <t>G1. Show Direction</t>
        </is>
      </c>
      <c r="D369" s="7" t="inlineStr">
        <is>
          <t>MC Briefer / Rundown Director</t>
        </is>
      </c>
      <c r="E369" s="7" t="inlineStr">
        <is>
          <t>prsn</t>
        </is>
      </c>
      <c r="F369" s="7" t="inlineStr">
        <is>
          <t>event</t>
        </is>
      </c>
      <c r="G369" s="8" t="n">
        <v>1000000</v>
      </c>
      <c r="H369" s="8" t="n">
        <v>1500000</v>
      </c>
      <c r="I369" s="9" t="inlineStr"/>
    </row>
    <row r="370">
      <c r="A370" s="10" t="n">
        <v>4</v>
      </c>
      <c r="B370" s="11" t="inlineStr">
        <is>
          <t>G. SHOW MANAGEMENT</t>
        </is>
      </c>
      <c r="C370" s="11" t="inlineStr">
        <is>
          <t>G1. Show Direction</t>
        </is>
      </c>
      <c r="D370" s="11" t="inlineStr">
        <is>
          <t>Visual Jockey (VJ)</t>
        </is>
      </c>
      <c r="E370" s="11" t="inlineStr">
        <is>
          <t>prsn</t>
        </is>
      </c>
      <c r="F370" s="11" t="inlineStr">
        <is>
          <t>event</t>
        </is>
      </c>
      <c r="G370" s="8" t="n">
        <v>1000000</v>
      </c>
      <c r="H370" s="8" t="n">
        <v>1500000</v>
      </c>
      <c r="I370" s="12" t="inlineStr"/>
    </row>
    <row r="371">
      <c r="A371" s="6" t="n">
        <v>5</v>
      </c>
      <c r="B371" s="7" t="inlineStr">
        <is>
          <t>G. SHOW MANAGEMENT</t>
        </is>
      </c>
      <c r="C371" s="7" t="inlineStr">
        <is>
          <t>G1. Show Direction</t>
        </is>
      </c>
      <c r="D371" s="7" t="inlineStr">
        <is>
          <t>Floor Manager</t>
        </is>
      </c>
      <c r="E371" s="7" t="inlineStr">
        <is>
          <t>prsn</t>
        </is>
      </c>
      <c r="F371" s="7" t="inlineStr">
        <is>
          <t>event</t>
        </is>
      </c>
      <c r="G371" s="8" t="n">
        <v>1000000</v>
      </c>
      <c r="H371" s="8" t="n">
        <v>1500000</v>
      </c>
      <c r="I371" s="9" t="inlineStr"/>
    </row>
    <row r="372">
      <c r="A372" s="10" t="n">
        <v>6</v>
      </c>
      <c r="B372" s="23" t="n"/>
      <c r="C372" s="23" t="n"/>
      <c r="D372" s="23" t="n"/>
      <c r="E372" s="23" t="n"/>
      <c r="F372" s="23" t="n"/>
      <c r="G372" s="23" t="n"/>
      <c r="H372" s="23" t="n"/>
      <c r="I372" s="24" t="n"/>
    </row>
    <row r="373">
      <c r="A373" s="6" t="n">
        <v>7</v>
      </c>
      <c r="B373" s="23" t="n"/>
      <c r="C373" s="23" t="n"/>
      <c r="D373" s="23" t="n"/>
      <c r="E373" s="23" t="n"/>
      <c r="F373" s="23" t="n"/>
      <c r="G373" s="23" t="n"/>
      <c r="H373" s="23" t="n"/>
      <c r="I373" s="24" t="n"/>
    </row>
    <row r="374">
      <c r="A374" s="5" t="inlineStr">
        <is>
          <t xml:space="preserve">  G2. Usher &amp; Floor</t>
        </is>
      </c>
    </row>
    <row r="375">
      <c r="A375" s="6" t="n">
        <v>1</v>
      </c>
      <c r="B375" s="7" t="inlineStr">
        <is>
          <t>G. SHOW MANAGEMENT</t>
        </is>
      </c>
      <c r="C375" s="7" t="inlineStr">
        <is>
          <t>G2. Usher &amp; Floor</t>
        </is>
      </c>
      <c r="D375" s="7" t="inlineStr">
        <is>
          <t>Usher</t>
        </is>
      </c>
      <c r="E375" s="7" t="inlineStr">
        <is>
          <t>prsn</t>
        </is>
      </c>
      <c r="F375" s="7" t="inlineStr">
        <is>
          <t>day</t>
        </is>
      </c>
      <c r="G375" s="8" t="n">
        <v>1000000</v>
      </c>
      <c r="H375" s="8" t="n">
        <v>1500000</v>
      </c>
      <c r="I375" s="9" t="inlineStr">
        <is>
          <t>jam 06.00-21.30</t>
        </is>
      </c>
    </row>
    <row r="376">
      <c r="A376" s="10" t="n">
        <v>2</v>
      </c>
      <c r="B376" s="11" t="inlineStr">
        <is>
          <t>G. SHOW MANAGEMENT</t>
        </is>
      </c>
      <c r="C376" s="11" t="inlineStr">
        <is>
          <t>G2. Usher &amp; Floor</t>
        </is>
      </c>
      <c r="D376" s="11" t="inlineStr">
        <is>
          <t>Floor Staff / Floor Crew</t>
        </is>
      </c>
      <c r="E376" s="11" t="inlineStr">
        <is>
          <t>prsn</t>
        </is>
      </c>
      <c r="F376" s="11" t="inlineStr">
        <is>
          <t>day</t>
        </is>
      </c>
      <c r="G376" s="8" t="n">
        <v>300000</v>
      </c>
      <c r="H376" s="8" t="n">
        <v>400000</v>
      </c>
      <c r="I376" s="12" t="inlineStr"/>
    </row>
    <row r="377">
      <c r="A377" s="6" t="n">
        <v>3</v>
      </c>
      <c r="B377" s="7" t="inlineStr">
        <is>
          <t>G. SHOW MANAGEMENT</t>
        </is>
      </c>
      <c r="C377" s="7" t="inlineStr">
        <is>
          <t>G2. Usher &amp; Floor</t>
        </is>
      </c>
      <c r="D377" s="7" t="inlineStr">
        <is>
          <t>Runner</t>
        </is>
      </c>
      <c r="E377" s="7" t="inlineStr">
        <is>
          <t>prsn</t>
        </is>
      </c>
      <c r="F377" s="7" t="inlineStr">
        <is>
          <t>day</t>
        </is>
      </c>
      <c r="G377" s="8" t="n">
        <v>400000</v>
      </c>
      <c r="H377" s="8" t="n">
        <v>500000</v>
      </c>
      <c r="I377" s="9" t="inlineStr"/>
    </row>
    <row r="378">
      <c r="A378" s="10" t="n">
        <v>4</v>
      </c>
      <c r="B378" s="11" t="inlineStr">
        <is>
          <t>G. SHOW MANAGEMENT</t>
        </is>
      </c>
      <c r="C378" s="11" t="inlineStr">
        <is>
          <t>G2. Usher &amp; Floor</t>
        </is>
      </c>
      <c r="D378" s="11" t="inlineStr">
        <is>
          <t>Cosplayer / Badut</t>
        </is>
      </c>
      <c r="E378" s="11" t="inlineStr">
        <is>
          <t>prsn</t>
        </is>
      </c>
      <c r="F378" s="11" t="inlineStr">
        <is>
          <t>day</t>
        </is>
      </c>
      <c r="G378" s="8" t="n">
        <v>2500000</v>
      </c>
      <c r="H378" s="8" t="n">
        <v>5000000</v>
      </c>
      <c r="I378" s="12" t="inlineStr">
        <is>
          <t>per orang per hari</t>
        </is>
      </c>
    </row>
    <row r="379">
      <c r="A379" s="6" t="n">
        <v>5</v>
      </c>
      <c r="B379" s="7" t="inlineStr">
        <is>
          <t>G. SHOW MANAGEMENT</t>
        </is>
      </c>
      <c r="C379" s="7" t="inlineStr">
        <is>
          <t>G2. Usher &amp; Floor</t>
        </is>
      </c>
      <c r="D379" s="7" t="inlineStr">
        <is>
          <t>Games Master + Asisten</t>
        </is>
      </c>
      <c r="E379" s="7" t="inlineStr">
        <is>
          <t>set</t>
        </is>
      </c>
      <c r="F379" s="7" t="inlineStr">
        <is>
          <t>event</t>
        </is>
      </c>
      <c r="G379" s="8" t="n">
        <v>1500000</v>
      </c>
      <c r="H379" s="8" t="n">
        <v>2500000</v>
      </c>
      <c r="I379" s="9" t="inlineStr">
        <is>
          <t>2 orang</t>
        </is>
      </c>
    </row>
    <row r="380">
      <c r="A380" s="5" t="inlineStr">
        <is>
          <t xml:space="preserve">  G3. VIP &amp; VVIP Handling</t>
        </is>
      </c>
    </row>
    <row r="381">
      <c r="A381" s="6" t="n">
        <v>1</v>
      </c>
      <c r="B381" s="7" t="inlineStr">
        <is>
          <t>G. SHOW MANAGEMENT</t>
        </is>
      </c>
      <c r="C381" s="7" t="inlineStr">
        <is>
          <t>G3. VIP &amp; VVIP Handling</t>
        </is>
      </c>
      <c r="D381" s="7" t="inlineStr">
        <is>
          <t>VIP Escort</t>
        </is>
      </c>
      <c r="E381" s="7" t="inlineStr">
        <is>
          <t>prsn</t>
        </is>
      </c>
      <c r="F381" s="7" t="inlineStr">
        <is>
          <t>event</t>
        </is>
      </c>
      <c r="G381" s="8" t="n">
        <v>2000000</v>
      </c>
      <c r="H381" s="8" t="n">
        <v>3500000</v>
      </c>
      <c r="I381" s="9" t="inlineStr"/>
    </row>
    <row r="382">
      <c r="A382" s="10" t="n">
        <v>2</v>
      </c>
      <c r="B382" s="11" t="inlineStr">
        <is>
          <t>G. SHOW MANAGEMENT</t>
        </is>
      </c>
      <c r="C382" s="11" t="inlineStr">
        <is>
          <t>G3. VIP &amp; VVIP Handling</t>
        </is>
      </c>
      <c r="D382" s="11" t="inlineStr">
        <is>
          <t>VVIP Escort</t>
        </is>
      </c>
      <c r="E382" s="11" t="inlineStr">
        <is>
          <t>prsn</t>
        </is>
      </c>
      <c r="F382" s="11" t="inlineStr">
        <is>
          <t>event</t>
        </is>
      </c>
      <c r="G382" s="8" t="n">
        <v>2000000</v>
      </c>
      <c r="H382" s="8" t="n">
        <v>3500000</v>
      </c>
      <c r="I382" s="12" t="inlineStr"/>
    </row>
    <row r="383">
      <c r="A383" s="6" t="n">
        <v>3</v>
      </c>
      <c r="B383" s="23" t="n"/>
      <c r="C383" s="23" t="n"/>
      <c r="D383" s="23" t="n"/>
      <c r="E383" s="23" t="n"/>
      <c r="F383" s="23" t="n"/>
      <c r="G383" s="23" t="n"/>
      <c r="H383" s="23" t="n"/>
      <c r="I383" s="24" t="n"/>
    </row>
    <row r="384">
      <c r="A384" s="10" t="n">
        <v>4</v>
      </c>
      <c r="B384" s="23" t="n"/>
      <c r="C384" s="23" t="n"/>
      <c r="D384" s="23" t="n"/>
      <c r="E384" s="23" t="n"/>
      <c r="F384" s="23" t="n"/>
      <c r="G384" s="23" t="n"/>
      <c r="H384" s="23" t="n"/>
      <c r="I384" s="24" t="n"/>
    </row>
    <row r="385">
      <c r="A385" s="6" t="n">
        <v>5</v>
      </c>
      <c r="B385" s="23" t="n"/>
      <c r="C385" s="23" t="n"/>
      <c r="D385" s="23" t="n"/>
      <c r="E385" s="23" t="n"/>
      <c r="F385" s="23" t="n"/>
      <c r="G385" s="23" t="n"/>
      <c r="H385" s="23" t="n"/>
      <c r="I385" s="24" t="n"/>
    </row>
    <row r="386">
      <c r="A386" s="10" t="n">
        <v>6</v>
      </c>
      <c r="B386" s="23" t="n"/>
      <c r="C386" s="23" t="n"/>
      <c r="D386" s="23" t="n"/>
      <c r="E386" s="23" t="n"/>
      <c r="F386" s="23" t="n"/>
      <c r="G386" s="23" t="n"/>
      <c r="H386" s="23" t="n"/>
      <c r="I386" s="24" t="n"/>
    </row>
    <row r="387">
      <c r="A387" s="6" t="n">
        <v>7</v>
      </c>
      <c r="B387" s="7" t="inlineStr">
        <is>
          <t>G. SHOW MANAGEMENT</t>
        </is>
      </c>
      <c r="C387" s="7" t="inlineStr">
        <is>
          <t>G3. VIP &amp; VVIP Handling</t>
        </is>
      </c>
      <c r="D387" s="7" t="inlineStr">
        <is>
          <t>Paspampres Deteksi Liaison</t>
        </is>
      </c>
      <c r="E387" s="7" t="inlineStr">
        <is>
          <t>prsn</t>
        </is>
      </c>
      <c r="F387" s="7" t="inlineStr">
        <is>
          <t>event</t>
        </is>
      </c>
      <c r="G387" s="8" t="n">
        <v>5000000</v>
      </c>
      <c r="H387" s="8" t="n">
        <v>8000000</v>
      </c>
      <c r="I387" s="9" t="inlineStr"/>
    </row>
    <row r="388">
      <c r="A388" s="10" t="n">
        <v>8</v>
      </c>
      <c r="B388" s="11" t="inlineStr">
        <is>
          <t>G. SHOW MANAGEMENT</t>
        </is>
      </c>
      <c r="C388" s="11" t="inlineStr">
        <is>
          <t>G3. VIP &amp; VVIP Handling</t>
        </is>
      </c>
      <c r="D388" s="11" t="inlineStr">
        <is>
          <t>Liaison Officer (LO)</t>
        </is>
      </c>
      <c r="E388" s="11" t="inlineStr">
        <is>
          <t>prsn</t>
        </is>
      </c>
      <c r="F388" s="11" t="inlineStr">
        <is>
          <t>day</t>
        </is>
      </c>
      <c r="G388" s="8" t="n">
        <v>600000</v>
      </c>
      <c r="H388" s="8" t="n">
        <v>750000</v>
      </c>
      <c r="I388" s="12" t="inlineStr"/>
    </row>
    <row r="389">
      <c r="A389" s="6" t="n">
        <v>9</v>
      </c>
      <c r="B389" s="7" t="inlineStr">
        <is>
          <t>G. SHOW MANAGEMENT</t>
        </is>
      </c>
      <c r="C389" s="7" t="inlineStr">
        <is>
          <t>G3. VIP &amp; VVIP Handling</t>
        </is>
      </c>
      <c r="D389" s="7" t="inlineStr">
        <is>
          <t>Traffic (lalu lintas/protokol)</t>
        </is>
      </c>
      <c r="E389" s="7" t="inlineStr">
        <is>
          <t>prsn</t>
        </is>
      </c>
      <c r="F389" s="7" t="inlineStr">
        <is>
          <t>event</t>
        </is>
      </c>
      <c r="G389" s="8" t="n">
        <v>2500000</v>
      </c>
      <c r="H389" s="8" t="n">
        <v>3500000</v>
      </c>
      <c r="I389" s="9" t="inlineStr"/>
    </row>
    <row r="390">
      <c r="A390" s="10" t="n">
        <v>10</v>
      </c>
      <c r="B390" s="11" t="inlineStr">
        <is>
          <t>G. SHOW MANAGEMENT</t>
        </is>
      </c>
      <c r="C390" s="11" t="inlineStr">
        <is>
          <t>G3. VIP &amp; VVIP Handling</t>
        </is>
      </c>
      <c r="D390" s="11" t="inlineStr">
        <is>
          <t>Pembaca Doa</t>
        </is>
      </c>
      <c r="E390" s="11" t="inlineStr">
        <is>
          <t>prsn</t>
        </is>
      </c>
      <c r="F390" s="11" t="inlineStr">
        <is>
          <t>event</t>
        </is>
      </c>
      <c r="G390" s="8" t="n">
        <v>1200000</v>
      </c>
      <c r="H390" s="8" t="n">
        <v>2000000</v>
      </c>
      <c r="I390" s="12" t="inlineStr"/>
    </row>
    <row r="391"/>
    <row r="392">
      <c r="A392" s="5" t="inlineStr">
        <is>
          <t xml:space="preserve">  G4. Floor Activity &amp; Competition</t>
        </is>
      </c>
    </row>
    <row r="393">
      <c r="A393" s="6" t="n">
        <v>1</v>
      </c>
      <c r="B393" s="7" t="inlineStr">
        <is>
          <t>G. SHOW MANAGEMENT</t>
        </is>
      </c>
      <c r="C393" s="7" t="inlineStr">
        <is>
          <t>G4. Floor Activity &amp; Competition</t>
        </is>
      </c>
      <c r="D393" s="7" t="inlineStr">
        <is>
          <t>Judges / Juri</t>
        </is>
      </c>
      <c r="E393" s="7" t="inlineStr">
        <is>
          <t>prsn</t>
        </is>
      </c>
      <c r="F393" s="7" t="inlineStr">
        <is>
          <t>event</t>
        </is>
      </c>
      <c r="G393" s="8" t="n">
        <v>1000000</v>
      </c>
      <c r="H393" s="8" t="n">
        <v>3000000</v>
      </c>
      <c r="I393" s="9" t="inlineStr">
        <is>
          <t>per orang per event</t>
        </is>
      </c>
    </row>
    <row r="394">
      <c r="A394" s="10" t="n">
        <v>2</v>
      </c>
      <c r="B394" s="11" t="inlineStr">
        <is>
          <t>G. SHOW MANAGEMENT</t>
        </is>
      </c>
      <c r="C394" s="11" t="inlineStr">
        <is>
          <t>G4. Floor Activity &amp; Competition</t>
        </is>
      </c>
      <c r="D394" s="11" t="inlineStr">
        <is>
          <t>Host Floor Activity / Announcer</t>
        </is>
      </c>
      <c r="E394" s="11" t="inlineStr">
        <is>
          <t>prsn</t>
        </is>
      </c>
      <c r="F394" s="11" t="inlineStr">
        <is>
          <t>day</t>
        </is>
      </c>
      <c r="G394" s="8" t="n">
        <v>500000</v>
      </c>
      <c r="H394" s="8" t="n">
        <v>1500000</v>
      </c>
      <c r="I394" s="12" t="inlineStr">
        <is>
          <t>per orang per hari</t>
        </is>
      </c>
    </row>
    <row r="395">
      <c r="A395" s="6" t="n">
        <v>3</v>
      </c>
      <c r="B395" s="7" t="inlineStr">
        <is>
          <t>G. SHOW MANAGEMENT</t>
        </is>
      </c>
      <c r="C395" s="7" t="inlineStr">
        <is>
          <t>G4. Floor Activity &amp; Competition</t>
        </is>
      </c>
      <c r="D395" s="7" t="inlineStr">
        <is>
          <t>Pro Rider / Pro Skater</t>
        </is>
      </c>
      <c r="E395" s="7" t="inlineStr">
        <is>
          <t>prsn</t>
        </is>
      </c>
      <c r="F395" s="7" t="inlineStr">
        <is>
          <t>event</t>
        </is>
      </c>
      <c r="G395" s="8" t="n">
        <v>3000000</v>
      </c>
      <c r="H395" s="8" t="n">
        <v>10000000</v>
      </c>
      <c r="I395" s="9" t="inlineStr">
        <is>
          <t>per orang per event — Extreme sport</t>
        </is>
      </c>
    </row>
    <row r="396">
      <c r="A396" s="10" t="n">
        <v>4</v>
      </c>
      <c r="B396" s="11" t="inlineStr">
        <is>
          <t>G. SHOW MANAGEMENT</t>
        </is>
      </c>
      <c r="C396" s="11" t="inlineStr">
        <is>
          <t>G4. Floor Activity &amp; Competition</t>
        </is>
      </c>
      <c r="D396" s="11" t="inlineStr">
        <is>
          <t>Saweran Prize (uang pecahan)</t>
        </is>
      </c>
      <c r="E396" s="11" t="inlineStr">
        <is>
          <t>pckg</t>
        </is>
      </c>
      <c r="F396" s="11" t="inlineStr">
        <is>
          <t>event</t>
        </is>
      </c>
      <c r="G396" s="8" t="n">
        <v>1000000</v>
      </c>
      <c r="H396" s="8" t="n">
        <v>5000000</v>
      </c>
      <c r="I396" s="12" t="inlineStr">
        <is>
          <t>per event, total prize pool — Biasanya 2-3 jt/sesi</t>
        </is>
      </c>
    </row>
    <row r="397">
      <c r="A397" s="6" t="n">
        <v>5</v>
      </c>
      <c r="B397" s="7" t="inlineStr">
        <is>
          <t>G. SHOW MANAGEMENT</t>
        </is>
      </c>
      <c r="C397" s="7" t="inlineStr">
        <is>
          <t>G4. Floor Activity &amp; Competition</t>
        </is>
      </c>
      <c r="D397" s="7" t="inlineStr">
        <is>
          <t>Komunitas Extreme Sport (BMX/Skate)</t>
        </is>
      </c>
      <c r="E397" s="7" t="inlineStr">
        <is>
          <t>pckg</t>
        </is>
      </c>
      <c r="F397" s="7" t="inlineStr">
        <is>
          <t>event</t>
        </is>
      </c>
      <c r="G397" s="8" t="n">
        <v>3000000</v>
      </c>
      <c r="H397" s="8" t="n">
        <v>8000000</v>
      </c>
      <c r="I397" s="9" t="inlineStr">
        <is>
          <t>hire komunitas incl. ramp &amp; media — Outdoor festival</t>
        </is>
      </c>
    </row>
    <row r="398">
      <c r="A398" s="10" t="n">
        <v>6</v>
      </c>
      <c r="B398" s="11" t="inlineStr">
        <is>
          <t>G. SHOW MANAGEMENT</t>
        </is>
      </c>
      <c r="C398" s="11" t="inlineStr">
        <is>
          <t>G4. Floor Activity &amp; Competition</t>
        </is>
      </c>
      <c r="D398" s="11" t="inlineStr">
        <is>
          <t>Parade / Nyetreet Coordinator</t>
        </is>
      </c>
      <c r="E398" s="11" t="inlineStr">
        <is>
          <t>pckg</t>
        </is>
      </c>
      <c r="F398" s="11" t="inlineStr">
        <is>
          <t>event</t>
        </is>
      </c>
      <c r="G398" s="8" t="n">
        <v>1500000</v>
      </c>
      <c r="H398" s="8" t="n">
        <v>3000000</v>
      </c>
      <c r="I398" s="12" t="inlineStr">
        <is>
          <t>koordinator + armada — Mobile publicity</t>
        </is>
      </c>
    </row>
    <row r="399">
      <c r="A399" s="6" t="n">
        <v>7</v>
      </c>
      <c r="B399" s="7" t="inlineStr">
        <is>
          <t>G. SHOW MANAGEMENT</t>
        </is>
      </c>
      <c r="C399" s="7" t="inlineStr">
        <is>
          <t>G4. Floor Activity &amp; Competition</t>
        </is>
      </c>
      <c r="D399" s="7" t="inlineStr">
        <is>
          <t>Mural Competition Area</t>
        </is>
      </c>
      <c r="E399" s="7" t="inlineStr">
        <is>
          <t>pckg</t>
        </is>
      </c>
      <c r="F399" s="7" t="inlineStr">
        <is>
          <t>event</t>
        </is>
      </c>
      <c r="G399" s="8" t="n">
        <v>2000000</v>
      </c>
      <c r="H399" s="8" t="n">
        <v>5000000</v>
      </c>
      <c r="I399" s="9" t="inlineStr">
        <is>
          <t>space + spray cat + juri — Media 244x244 per team</t>
        </is>
      </c>
    </row>
    <row r="400">
      <c r="A400" s="10" t="n">
        <v>8</v>
      </c>
      <c r="B400" s="23" t="n"/>
      <c r="C400" s="23" t="n"/>
      <c r="D400" s="23" t="n"/>
      <c r="E400" s="23" t="n"/>
      <c r="F400" s="23" t="n"/>
      <c r="G400" s="23" t="n"/>
      <c r="H400" s="23" t="n"/>
      <c r="I400" s="24" t="n"/>
    </row>
    <row r="401" ht="16" customHeight="1">
      <c r="A401" s="5" t="inlineStr">
        <is>
          <t xml:space="preserve">  G5. Race, Sport &amp; Court Management</t>
        </is>
      </c>
    </row>
    <row r="402" ht="15" customHeight="1">
      <c r="A402" s="6" t="n">
        <v>1</v>
      </c>
      <c r="B402" s="7" t="inlineStr">
        <is>
          <t>G. SHOW MANAGEMENT</t>
        </is>
      </c>
      <c r="C402" s="7" t="inlineStr">
        <is>
          <t>G5. Race, Sport &amp; Court Management</t>
        </is>
      </c>
      <c r="D402" s="7" t="inlineStr">
        <is>
          <t>Race Director</t>
        </is>
      </c>
      <c r="E402" s="7" t="inlineStr">
        <is>
          <t>prsn</t>
        </is>
      </c>
      <c r="F402" s="7" t="inlineStr">
        <is>
          <t>event</t>
        </is>
      </c>
      <c r="G402" s="8" t="n">
        <v>5000000</v>
      </c>
      <c r="H402" s="8" t="n">
        <v>15000000</v>
      </c>
      <c r="I402" s="9" t="inlineStr">
        <is>
          <t>per event</t>
        </is>
      </c>
    </row>
    <row r="403" ht="15" customHeight="1">
      <c r="A403" s="10" t="n">
        <v>2</v>
      </c>
      <c r="B403" s="11" t="inlineStr">
        <is>
          <t>G. SHOW MANAGEMENT</t>
        </is>
      </c>
      <c r="C403" s="11" t="inlineStr">
        <is>
          <t>G5. Race, Sport &amp; Court Management</t>
        </is>
      </c>
      <c r="D403" s="11" t="inlineStr">
        <is>
          <t>Marshal / Flagman</t>
        </is>
      </c>
      <c r="E403" s="11" t="inlineStr">
        <is>
          <t>prsn</t>
        </is>
      </c>
      <c r="F403" s="11" t="inlineStr">
        <is>
          <t>event</t>
        </is>
      </c>
      <c r="G403" s="8" t="n">
        <v>2500000</v>
      </c>
      <c r="H403" s="8" t="n">
        <v>5000000</v>
      </c>
      <c r="I403" s="12" t="inlineStr">
        <is>
          <t>per orang per event</t>
        </is>
      </c>
    </row>
    <row r="404" ht="15" customHeight="1">
      <c r="A404" s="6" t="n">
        <v>3</v>
      </c>
      <c r="B404" s="7" t="inlineStr">
        <is>
          <t>G. SHOW MANAGEMENT</t>
        </is>
      </c>
      <c r="C404" s="7" t="inlineStr">
        <is>
          <t>G5. Race, Sport &amp; Court Management</t>
        </is>
      </c>
      <c r="D404" s="7" t="inlineStr">
        <is>
          <t>Booth Officer / Tenant Coordinator</t>
        </is>
      </c>
      <c r="E404" s="7" t="inlineStr">
        <is>
          <t>prsn</t>
        </is>
      </c>
      <c r="F404" s="7" t="inlineStr">
        <is>
          <t>event</t>
        </is>
      </c>
      <c r="G404" s="8" t="n">
        <v>500000</v>
      </c>
      <c r="H404" s="8" t="n">
        <v>1000000</v>
      </c>
      <c r="I404" s="9" t="inlineStr">
        <is>
          <t>per orang per event</t>
        </is>
      </c>
    </row>
    <row r="405" ht="15" customHeight="1">
      <c r="A405" s="10" t="n">
        <v>4</v>
      </c>
      <c r="B405" s="11" t="inlineStr">
        <is>
          <t>G. SHOW MANAGEMENT</t>
        </is>
      </c>
      <c r="C405" s="11" t="inlineStr">
        <is>
          <t>G5. Race, Sport &amp; Court Management</t>
        </is>
      </c>
      <c r="D405" s="11" t="inlineStr">
        <is>
          <t>Racing Simulator Games Crew</t>
        </is>
      </c>
      <c r="E405" s="11" t="inlineStr">
        <is>
          <t>prsn</t>
        </is>
      </c>
      <c r="F405" s="11" t="inlineStr">
        <is>
          <t>event</t>
        </is>
      </c>
      <c r="G405" s="8" t="n">
        <v>500000</v>
      </c>
      <c r="H405" s="8" t="n">
        <v>800000</v>
      </c>
      <c r="I405" s="12" t="inlineStr">
        <is>
          <t>per orang per event</t>
        </is>
      </c>
    </row>
    <row r="406" ht="15" customHeight="1">
      <c r="A406" s="6" t="n">
        <v>5</v>
      </c>
      <c r="B406" s="7" t="inlineStr">
        <is>
          <t>G. SHOW MANAGEMENT</t>
        </is>
      </c>
      <c r="C406" s="7" t="inlineStr">
        <is>
          <t>G5. Race, Sport &amp; Court Management</t>
        </is>
      </c>
      <c r="D406" s="7" t="inlineStr">
        <is>
          <t>Audience Games Crew</t>
        </is>
      </c>
      <c r="E406" s="7" t="inlineStr">
        <is>
          <t>prsn</t>
        </is>
      </c>
      <c r="F406" s="7" t="inlineStr">
        <is>
          <t>event</t>
        </is>
      </c>
      <c r="G406" s="8" t="n">
        <v>500000</v>
      </c>
      <c r="H406" s="8" t="n">
        <v>750000</v>
      </c>
      <c r="I406" s="9" t="inlineStr">
        <is>
          <t>per orang per event</t>
        </is>
      </c>
    </row>
    <row r="407" ht="15" customHeight="1">
      <c r="A407" s="10" t="n">
        <v>6</v>
      </c>
      <c r="B407" s="11" t="inlineStr">
        <is>
          <t>G. SHOW MANAGEMENT</t>
        </is>
      </c>
      <c r="C407" s="11" t="inlineStr">
        <is>
          <t>G5. Race, Sport &amp; Court Management</t>
        </is>
      </c>
      <c r="D407" s="11" t="inlineStr">
        <is>
          <t>Community Coordinator</t>
        </is>
      </c>
      <c r="E407" s="11" t="inlineStr">
        <is>
          <t>prsn</t>
        </is>
      </c>
      <c r="F407" s="11" t="inlineStr">
        <is>
          <t>event</t>
        </is>
      </c>
      <c r="G407" s="8" t="n">
        <v>3000000</v>
      </c>
      <c r="H407" s="8" t="n">
        <v>5000000</v>
      </c>
      <c r="I407" s="12" t="inlineStr">
        <is>
          <t>per orang per event</t>
        </is>
      </c>
    </row>
    <row r="408" ht="15" customHeight="1">
      <c r="A408" s="6" t="n">
        <v>7</v>
      </c>
      <c r="B408" s="7" t="inlineStr">
        <is>
          <t>G. SHOW MANAGEMENT</t>
        </is>
      </c>
      <c r="C408" s="7" t="inlineStr">
        <is>
          <t>G5. Race, Sport &amp; Court Management</t>
        </is>
      </c>
      <c r="D408" s="7" t="inlineStr">
        <is>
          <t>RC Team (Race Committee)</t>
        </is>
      </c>
      <c r="E408" s="7" t="inlineStr">
        <is>
          <t>pckg</t>
        </is>
      </c>
      <c r="F408" s="7" t="inlineStr">
        <is>
          <t>event</t>
        </is>
      </c>
      <c r="G408" s="8" t="n">
        <v>30000000</v>
      </c>
      <c r="H408" s="8" t="n">
        <v>50000000</v>
      </c>
      <c r="I408" s="9" t="inlineStr">
        <is>
          <t>per event — Motorsport</t>
        </is>
      </c>
    </row>
    <row r="409" ht="15" customHeight="1">
      <c r="A409" s="10" t="n">
        <v>8</v>
      </c>
      <c r="B409" s="11" t="inlineStr">
        <is>
          <t>G. SHOW MANAGEMENT</t>
        </is>
      </c>
      <c r="C409" s="11" t="inlineStr">
        <is>
          <t>G5. Race, Sport &amp; Court Management</t>
        </is>
      </c>
      <c r="D409" s="11" t="inlineStr">
        <is>
          <t>OC Team (Organizing Committee)</t>
        </is>
      </c>
      <c r="E409" s="11" t="inlineStr">
        <is>
          <t>pckg</t>
        </is>
      </c>
      <c r="F409" s="11" t="inlineStr">
        <is>
          <t>event</t>
        </is>
      </c>
      <c r="G409" s="8" t="n">
        <v>10000000</v>
      </c>
      <c r="H409" s="8" t="n">
        <v>20000000</v>
      </c>
      <c r="I409" s="12" t="inlineStr">
        <is>
          <t>per event</t>
        </is>
      </c>
    </row>
    <row r="410" ht="15" customHeight="1">
      <c r="A410" s="6" t="n">
        <v>9</v>
      </c>
      <c r="B410" s="7" t="inlineStr">
        <is>
          <t>G. SHOW MANAGEMENT</t>
        </is>
      </c>
      <c r="C410" s="7" t="inlineStr">
        <is>
          <t>G5. Race, Sport &amp; Court Management</t>
        </is>
      </c>
      <c r="D410" s="7" t="inlineStr">
        <is>
          <t>Technician / Mechanic on duty</t>
        </is>
      </c>
      <c r="E410" s="7" t="inlineStr">
        <is>
          <t>prsn</t>
        </is>
      </c>
      <c r="F410" s="7" t="inlineStr">
        <is>
          <t>event</t>
        </is>
      </c>
      <c r="G410" s="8" t="n">
        <v>750000</v>
      </c>
      <c r="H410" s="8" t="n">
        <v>1500000</v>
      </c>
      <c r="I410" s="9" t="inlineStr">
        <is>
          <t>per orang per event</t>
        </is>
      </c>
    </row>
    <row r="411" ht="15" customHeight="1">
      <c r="A411" s="10" t="n">
        <v>10</v>
      </c>
      <c r="B411" s="11" t="inlineStr">
        <is>
          <t>G. SHOW MANAGEMENT</t>
        </is>
      </c>
      <c r="C411" s="11" t="inlineStr">
        <is>
          <t>G5. Race, Sport &amp; Court Management</t>
        </is>
      </c>
      <c r="D411" s="11" t="inlineStr">
        <is>
          <t>PIC Court / Area</t>
        </is>
      </c>
      <c r="E411" s="11" t="inlineStr">
        <is>
          <t>prsn</t>
        </is>
      </c>
      <c r="F411" s="11" t="inlineStr">
        <is>
          <t>day</t>
        </is>
      </c>
      <c r="G411" s="8" t="n">
        <v>420000</v>
      </c>
      <c r="H411" s="8" t="n">
        <v>650000</v>
      </c>
      <c r="I411" s="12" t="inlineStr">
        <is>
          <t>per orang per hari — IBL/indoor sport</t>
        </is>
      </c>
    </row>
    <row r="412" ht="15" customHeight="1">
      <c r="A412" s="6" t="n">
        <v>11</v>
      </c>
      <c r="B412" s="7" t="inlineStr">
        <is>
          <t>G. SHOW MANAGEMENT</t>
        </is>
      </c>
      <c r="C412" s="7" t="inlineStr">
        <is>
          <t>G5. Race, Sport &amp; Court Management</t>
        </is>
      </c>
      <c r="D412" s="7" t="inlineStr">
        <is>
          <t>Ball Boy / Court Cleaner</t>
        </is>
      </c>
      <c r="E412" s="7" t="inlineStr">
        <is>
          <t>prsn</t>
        </is>
      </c>
      <c r="F412" s="7" t="inlineStr">
        <is>
          <t>day</t>
        </is>
      </c>
      <c r="G412" s="8" t="n">
        <v>210000</v>
      </c>
      <c r="H412" s="8" t="n">
        <v>350000</v>
      </c>
      <c r="I412" s="9" t="inlineStr">
        <is>
          <t>per orang per hari</t>
        </is>
      </c>
    </row>
    <row r="413" ht="15" customHeight="1">
      <c r="A413" s="10" t="n">
        <v>12</v>
      </c>
      <c r="B413" s="11" t="inlineStr">
        <is>
          <t>G. SHOW MANAGEMENT</t>
        </is>
      </c>
      <c r="C413" s="11" t="inlineStr">
        <is>
          <t>G5. Race, Sport &amp; Court Management</t>
        </is>
      </c>
      <c r="D413" s="11" t="inlineStr">
        <is>
          <t>Petugas Locker Room</t>
        </is>
      </c>
      <c r="E413" s="11" t="inlineStr">
        <is>
          <t>prsn</t>
        </is>
      </c>
      <c r="F413" s="11" t="inlineStr">
        <is>
          <t>day</t>
        </is>
      </c>
      <c r="G413" s="8" t="n">
        <v>210000</v>
      </c>
      <c r="H413" s="8" t="n">
        <v>350000</v>
      </c>
      <c r="I413" s="12" t="inlineStr">
        <is>
          <t>per orang per hari</t>
        </is>
      </c>
    </row>
    <row r="414" ht="15" customHeight="1">
      <c r="A414" s="6" t="n">
        <v>13</v>
      </c>
      <c r="B414" s="7" t="inlineStr">
        <is>
          <t>G. SHOW MANAGEMENT</t>
        </is>
      </c>
      <c r="C414" s="7" t="inlineStr">
        <is>
          <t>G5. Race, Sport &amp; Court Management</t>
        </is>
      </c>
      <c r="D414" s="7" t="inlineStr">
        <is>
          <t>Petugas Gate / Screening Gate</t>
        </is>
      </c>
      <c r="E414" s="7" t="inlineStr">
        <is>
          <t>prsn</t>
        </is>
      </c>
      <c r="F414" s="7" t="inlineStr">
        <is>
          <t>day</t>
        </is>
      </c>
      <c r="G414" s="8" t="n">
        <v>210000</v>
      </c>
      <c r="H414" s="8" t="n">
        <v>350000</v>
      </c>
      <c r="I414" s="9" t="inlineStr">
        <is>
          <t>per orang per hari</t>
        </is>
      </c>
    </row>
    <row r="415" ht="15" customHeight="1">
      <c r="A415" s="10" t="n">
        <v>14</v>
      </c>
      <c r="B415" s="11" t="inlineStr">
        <is>
          <t>G. SHOW MANAGEMENT</t>
        </is>
      </c>
      <c r="C415" s="11" t="inlineStr">
        <is>
          <t>G5. Race, Sport &amp; Court Management</t>
        </is>
      </c>
      <c r="D415" s="11" t="inlineStr">
        <is>
          <t>Petugas Akreditasi</t>
        </is>
      </c>
      <c r="E415" s="11" t="inlineStr">
        <is>
          <t>prsn</t>
        </is>
      </c>
      <c r="F415" s="11" t="inlineStr">
        <is>
          <t>day</t>
        </is>
      </c>
      <c r="G415" s="8" t="n">
        <v>210000</v>
      </c>
      <c r="H415" s="8" t="n">
        <v>350000</v>
      </c>
      <c r="I415" s="12" t="inlineStr">
        <is>
          <t>per orang per hari</t>
        </is>
      </c>
    </row>
    <row r="416" ht="15" customHeight="1">
      <c r="A416" s="6" t="n">
        <v>15</v>
      </c>
      <c r="B416" s="7" t="inlineStr">
        <is>
          <t>G. SHOW MANAGEMENT</t>
        </is>
      </c>
      <c r="C416" s="7" t="inlineStr">
        <is>
          <t>G5. Race, Sport &amp; Court Management</t>
        </is>
      </c>
      <c r="D416" s="7" t="inlineStr">
        <is>
          <t>Lounge Crew</t>
        </is>
      </c>
      <c r="E416" s="7" t="inlineStr">
        <is>
          <t>prsn</t>
        </is>
      </c>
      <c r="F416" s="7" t="inlineStr">
        <is>
          <t>day</t>
        </is>
      </c>
      <c r="G416" s="8" t="n">
        <v>210000</v>
      </c>
      <c r="H416" s="8" t="n">
        <v>350000</v>
      </c>
      <c r="I416" s="9" t="inlineStr">
        <is>
          <t>per orang per hari</t>
        </is>
      </c>
    </row>
    <row r="417" ht="15" customHeight="1">
      <c r="A417" s="10" t="n">
        <v>16</v>
      </c>
      <c r="B417" s="11" t="inlineStr">
        <is>
          <t>G. SHOW MANAGEMENT</t>
        </is>
      </c>
      <c r="C417" s="11" t="inlineStr">
        <is>
          <t>G5. Race, Sport &amp; Court Management</t>
        </is>
      </c>
      <c r="D417" s="11" t="inlineStr">
        <is>
          <t>F&amp;B Area Crew</t>
        </is>
      </c>
      <c r="E417" s="11" t="inlineStr">
        <is>
          <t>prsn</t>
        </is>
      </c>
      <c r="F417" s="11" t="inlineStr">
        <is>
          <t>day</t>
        </is>
      </c>
      <c r="G417" s="8" t="n">
        <v>210000</v>
      </c>
      <c r="H417" s="8" t="n">
        <v>350000</v>
      </c>
      <c r="I417" s="12" t="inlineStr">
        <is>
          <t>per orang per hari</t>
        </is>
      </c>
    </row>
    <row r="418" ht="15" customHeight="1">
      <c r="A418" s="6" t="n">
        <v>17</v>
      </c>
      <c r="B418" s="7" t="inlineStr">
        <is>
          <t>G. SHOW MANAGEMENT</t>
        </is>
      </c>
      <c r="C418" s="7" t="inlineStr">
        <is>
          <t>G5. Race, Sport &amp; Court Management</t>
        </is>
      </c>
      <c r="D418" s="7" t="inlineStr">
        <is>
          <t>LO Tim / LO Pemain</t>
        </is>
      </c>
      <c r="E418" s="7" t="inlineStr">
        <is>
          <t>prsn</t>
        </is>
      </c>
      <c r="F418" s="7" t="inlineStr">
        <is>
          <t>day</t>
        </is>
      </c>
      <c r="G418" s="8" t="n">
        <v>280000</v>
      </c>
      <c r="H418" s="8" t="n">
        <v>450000</v>
      </c>
      <c r="I418" s="9" t="inlineStr">
        <is>
          <t>per orang per hari (LO atlet/tim) — Sport event</t>
        </is>
      </c>
    </row>
    <row r="419" ht="15" customHeight="1">
      <c r="A419" s="10" t="n">
        <v>18</v>
      </c>
      <c r="B419" s="11" t="inlineStr">
        <is>
          <t>G. SHOW MANAGEMENT</t>
        </is>
      </c>
      <c r="C419" s="11" t="inlineStr">
        <is>
          <t>G5. Race, Sport &amp; Court Management</t>
        </is>
      </c>
      <c r="D419" s="11" t="inlineStr">
        <is>
          <t>LO Wasit / Driver Wasit</t>
        </is>
      </c>
      <c r="E419" s="11" t="inlineStr">
        <is>
          <t>prsn</t>
        </is>
      </c>
      <c r="F419" s="11" t="inlineStr">
        <is>
          <t>day</t>
        </is>
      </c>
      <c r="G419" s="8" t="n">
        <v>280000</v>
      </c>
      <c r="H419" s="8" t="n">
        <v>450000</v>
      </c>
      <c r="I419" s="12" t="inlineStr">
        <is>
          <t>per orang per hari</t>
        </is>
      </c>
    </row>
    <row r="420" ht="15" customHeight="1">
      <c r="A420" s="6" t="n">
        <v>19</v>
      </c>
      <c r="B420" s="7" t="inlineStr">
        <is>
          <t>G. SHOW MANAGEMENT</t>
        </is>
      </c>
      <c r="C420" s="7" t="inlineStr">
        <is>
          <t>G5. Race, Sport &amp; Court Management</t>
        </is>
      </c>
      <c r="D420" s="7" t="inlineStr">
        <is>
          <t>LO Media / Wartawan</t>
        </is>
      </c>
      <c r="E420" s="7" t="inlineStr">
        <is>
          <t>prsn</t>
        </is>
      </c>
      <c r="F420" s="7" t="inlineStr">
        <is>
          <t>day</t>
        </is>
      </c>
      <c r="G420" s="8" t="n">
        <v>280000</v>
      </c>
      <c r="H420" s="8" t="n">
        <v>450000</v>
      </c>
      <c r="I420" s="9" t="inlineStr">
        <is>
          <t>per orang per hari</t>
        </is>
      </c>
    </row>
    <row r="421" ht="15" customHeight="1">
      <c r="A421" s="10" t="n">
        <v>20</v>
      </c>
      <c r="B421" s="11" t="inlineStr">
        <is>
          <t>G. SHOW MANAGEMENT</t>
        </is>
      </c>
      <c r="C421" s="11" t="inlineStr">
        <is>
          <t>G5. Race, Sport &amp; Court Management</t>
        </is>
      </c>
      <c r="D421" s="11" t="inlineStr">
        <is>
          <t>Petugas Information Desk</t>
        </is>
      </c>
      <c r="E421" s="11" t="inlineStr">
        <is>
          <t>prsn</t>
        </is>
      </c>
      <c r="F421" s="11" t="inlineStr">
        <is>
          <t>day</t>
        </is>
      </c>
      <c r="G421" s="8" t="n">
        <v>280000</v>
      </c>
      <c r="H421" s="8" t="n">
        <v>450000</v>
      </c>
      <c r="I421" s="12" t="inlineStr">
        <is>
          <t>per orang per hari — Hotel/venue</t>
        </is>
      </c>
    </row>
    <row r="422" ht="15" customHeight="1">
      <c r="A422" s="6" t="n">
        <v>21</v>
      </c>
      <c r="B422" s="7" t="inlineStr">
        <is>
          <t>G. SHOW MANAGEMENT</t>
        </is>
      </c>
      <c r="C422" s="7" t="inlineStr">
        <is>
          <t>G5. Race, Sport &amp; Court Management</t>
        </is>
      </c>
      <c r="D422" s="7" t="inlineStr">
        <is>
          <t>Cleaning Service</t>
        </is>
      </c>
      <c r="E422" s="7" t="inlineStr">
        <is>
          <t>prsn</t>
        </is>
      </c>
      <c r="F422" s="7" t="inlineStr">
        <is>
          <t>day</t>
        </is>
      </c>
      <c r="G422" s="8" t="n">
        <v>210000</v>
      </c>
      <c r="H422" s="8" t="n">
        <v>350000</v>
      </c>
      <c r="I422" s="9" t="inlineStr">
        <is>
          <t>per orang per hari</t>
        </is>
      </c>
    </row>
    <row r="423" ht="15" customHeight="1">
      <c r="A423" s="10" t="n">
        <v>22</v>
      </c>
      <c r="B423" s="11" t="inlineStr">
        <is>
          <t>G. SHOW MANAGEMENT</t>
        </is>
      </c>
      <c r="C423" s="11" t="inlineStr">
        <is>
          <t>G5. Race, Sport &amp; Court Management</t>
        </is>
      </c>
      <c r="D423" s="11" t="inlineStr">
        <is>
          <t>Petugas Prokes / Health Protocol</t>
        </is>
      </c>
      <c r="E423" s="11" t="inlineStr">
        <is>
          <t>prsn</t>
        </is>
      </c>
      <c r="F423" s="11" t="inlineStr">
        <is>
          <t>day</t>
        </is>
      </c>
      <c r="G423" s="8" t="n">
        <v>210000</v>
      </c>
      <c r="H423" s="8" t="n">
        <v>350000</v>
      </c>
      <c r="I423" s="12" t="inlineStr">
        <is>
          <t>per orang per hari</t>
        </is>
      </c>
    </row>
    <row r="424" ht="15" customHeight="1">
      <c r="A424" s="6" t="n">
        <v>23</v>
      </c>
      <c r="B424" s="7" t="inlineStr">
        <is>
          <t>G. SHOW MANAGEMENT</t>
        </is>
      </c>
      <c r="C424" s="7" t="inlineStr">
        <is>
          <t>G5. Race, Sport &amp; Court Management</t>
        </is>
      </c>
      <c r="D424" s="7" t="inlineStr">
        <is>
          <t>Gather Staff / Check-in Crew</t>
        </is>
      </c>
      <c r="E424" s="7" t="inlineStr">
        <is>
          <t>prsn</t>
        </is>
      </c>
      <c r="F424" s="7" t="inlineStr">
        <is>
          <t>day</t>
        </is>
      </c>
      <c r="G424" s="8" t="n">
        <v>500000</v>
      </c>
      <c r="H424" s="8" t="n">
        <v>700000</v>
      </c>
      <c r="I424" s="9" t="inlineStr">
        <is>
          <t>per orang per hari</t>
        </is>
      </c>
    </row>
    <row r="425" ht="15" customHeight="1">
      <c r="A425" s="10" t="n">
        <v>24</v>
      </c>
      <c r="B425" s="11" t="inlineStr">
        <is>
          <t>G. SHOW MANAGEMENT</t>
        </is>
      </c>
      <c r="C425" s="11" t="inlineStr">
        <is>
          <t>G5. Race, Sport &amp; Court Management</t>
        </is>
      </c>
      <c r="D425" s="11" t="inlineStr">
        <is>
          <t>Operator Sound System</t>
        </is>
      </c>
      <c r="E425" s="11" t="inlineStr">
        <is>
          <t>prsn</t>
        </is>
      </c>
      <c r="F425" s="11" t="inlineStr">
        <is>
          <t>day</t>
        </is>
      </c>
      <c r="G425" s="8" t="n">
        <v>200000</v>
      </c>
      <c r="H425" s="8" t="n">
        <v>350000</v>
      </c>
      <c r="I425" s="12" t="inlineStr">
        <is>
          <t>per orang per hari</t>
        </is>
      </c>
    </row>
    <row r="426" ht="16" customHeight="1">
      <c r="A426" s="19" t="inlineStr">
        <is>
          <t>H. COMMITTEE &amp; MANPOWER</t>
        </is>
      </c>
    </row>
    <row r="427" ht="15" customHeight="1">
      <c r="A427" s="5" t="inlineStr">
        <is>
          <t xml:space="preserve">  H1. Project Team</t>
        </is>
      </c>
    </row>
    <row r="428" ht="15" customHeight="1">
      <c r="A428" s="6" t="n">
        <v>1</v>
      </c>
      <c r="B428" s="7" t="inlineStr">
        <is>
          <t>H. COMMITTEE &amp; MANPOWER</t>
        </is>
      </c>
      <c r="C428" s="7" t="inlineStr">
        <is>
          <t>H1. Project Team</t>
        </is>
      </c>
      <c r="D428" s="7" t="inlineStr">
        <is>
          <t>Project Director / Managing Dir</t>
        </is>
      </c>
      <c r="E428" s="7" t="inlineStr">
        <is>
          <t>prsn</t>
        </is>
      </c>
      <c r="F428" s="7" t="inlineStr">
        <is>
          <t>event</t>
        </is>
      </c>
      <c r="G428" s="8" t="n">
        <v>8000000</v>
      </c>
      <c r="H428" s="8" t="n">
        <v>15000000</v>
      </c>
      <c r="I428" s="9" t="inlineStr"/>
    </row>
    <row r="429" ht="15" customHeight="1">
      <c r="A429" s="10" t="n">
        <v>2</v>
      </c>
      <c r="B429" s="11" t="inlineStr">
        <is>
          <t>H. COMMITTEE &amp; MANPOWER</t>
        </is>
      </c>
      <c r="C429" s="11" t="inlineStr">
        <is>
          <t>H1. Project Team</t>
        </is>
      </c>
      <c r="D429" s="11" t="inlineStr">
        <is>
          <t>Project Manager</t>
        </is>
      </c>
      <c r="E429" s="11" t="inlineStr">
        <is>
          <t>prsn</t>
        </is>
      </c>
      <c r="F429" s="11" t="inlineStr">
        <is>
          <t>event</t>
        </is>
      </c>
      <c r="G429" s="8" t="n">
        <v>8000000</v>
      </c>
      <c r="H429" s="8" t="n">
        <v>12000000</v>
      </c>
      <c r="I429" s="12" t="inlineStr"/>
    </row>
    <row r="430" ht="15" customHeight="1">
      <c r="A430" s="6" t="n">
        <v>3</v>
      </c>
      <c r="B430" s="7" t="inlineStr">
        <is>
          <t>H. COMMITTEE &amp; MANPOWER</t>
        </is>
      </c>
      <c r="C430" s="7" t="inlineStr">
        <is>
          <t>H1. Project Team</t>
        </is>
      </c>
      <c r="D430" s="7" t="inlineStr">
        <is>
          <t>Project Officer</t>
        </is>
      </c>
      <c r="E430" s="7" t="inlineStr">
        <is>
          <t>prsn</t>
        </is>
      </c>
      <c r="F430" s="7" t="inlineStr">
        <is>
          <t>event</t>
        </is>
      </c>
      <c r="G430" s="8" t="n">
        <v>8000000</v>
      </c>
      <c r="H430" s="8" t="n">
        <v>15000000</v>
      </c>
      <c r="I430" s="9" t="inlineStr"/>
    </row>
    <row r="431" ht="15" customHeight="1">
      <c r="A431" s="10" t="n">
        <v>4</v>
      </c>
      <c r="B431" s="11" t="inlineStr">
        <is>
          <t>H. COMMITTEE &amp; MANPOWER</t>
        </is>
      </c>
      <c r="C431" s="11" t="inlineStr">
        <is>
          <t>H1. Project Team</t>
        </is>
      </c>
      <c r="D431" s="11" t="inlineStr">
        <is>
          <t>Traffic &amp; Administrator</t>
        </is>
      </c>
      <c r="E431" s="11" t="inlineStr">
        <is>
          <t>prsn</t>
        </is>
      </c>
      <c r="F431" s="11" t="inlineStr">
        <is>
          <t>event</t>
        </is>
      </c>
      <c r="G431" s="8" t="n">
        <v>3500000</v>
      </c>
      <c r="H431" s="8" t="n">
        <v>6000000</v>
      </c>
      <c r="I431" s="12" t="inlineStr"/>
    </row>
    <row r="432">
      <c r="A432" s="6" t="n">
        <v>5</v>
      </c>
      <c r="B432" s="7" t="inlineStr">
        <is>
          <t>H. COMMITTEE &amp; MANPOWER</t>
        </is>
      </c>
      <c r="C432" s="7" t="inlineStr">
        <is>
          <t>H1. Project Team</t>
        </is>
      </c>
      <c r="D432" s="7" t="inlineStr">
        <is>
          <t>Safety Security Officer (SSO)</t>
        </is>
      </c>
      <c r="E432" s="7" t="inlineStr">
        <is>
          <t>prsn</t>
        </is>
      </c>
      <c r="F432" s="7" t="inlineStr">
        <is>
          <t>event</t>
        </is>
      </c>
      <c r="G432" s="8" t="n">
        <v>3500000</v>
      </c>
      <c r="H432" s="8" t="n">
        <v>8000000</v>
      </c>
      <c r="I432" s="9" t="inlineStr"/>
    </row>
    <row r="433">
      <c r="A433" s="10" t="n">
        <v>6</v>
      </c>
      <c r="B433" s="23" t="n"/>
      <c r="C433" s="23" t="n"/>
      <c r="D433" s="23" t="n"/>
      <c r="E433" s="23" t="n"/>
      <c r="F433" s="23" t="n"/>
      <c r="G433" s="23" t="n"/>
      <c r="H433" s="23" t="n"/>
      <c r="I433" s="24" t="n"/>
    </row>
    <row r="434">
      <c r="A434" s="5" t="inlineStr">
        <is>
          <t xml:space="preserve">  H2. Production &amp; Logistics</t>
        </is>
      </c>
    </row>
    <row r="435">
      <c r="A435" s="6" t="n">
        <v>1</v>
      </c>
      <c r="B435" s="7" t="inlineStr">
        <is>
          <t>H. COMMITTEE &amp; MANPOWER</t>
        </is>
      </c>
      <c r="C435" s="7" t="inlineStr">
        <is>
          <t>H2. Production &amp; Logistics</t>
        </is>
      </c>
      <c r="D435" s="7" t="inlineStr">
        <is>
          <t>Production Manager</t>
        </is>
      </c>
      <c r="E435" s="7" t="inlineStr">
        <is>
          <t>prsn</t>
        </is>
      </c>
      <c r="F435" s="7" t="inlineStr">
        <is>
          <t>event</t>
        </is>
      </c>
      <c r="G435" s="8" t="n">
        <v>4000000</v>
      </c>
      <c r="H435" s="8" t="n">
        <v>6000000</v>
      </c>
      <c r="I435" s="9" t="inlineStr"/>
    </row>
    <row r="436">
      <c r="A436" s="10" t="n">
        <v>2</v>
      </c>
      <c r="B436" s="11" t="inlineStr">
        <is>
          <t>H. COMMITTEE &amp; MANPOWER</t>
        </is>
      </c>
      <c r="C436" s="11" t="inlineStr">
        <is>
          <t>H2. Production &amp; Logistics</t>
        </is>
      </c>
      <c r="D436" s="11" t="inlineStr">
        <is>
          <t>Production Staff</t>
        </is>
      </c>
      <c r="E436" s="11" t="inlineStr">
        <is>
          <t>prsn</t>
        </is>
      </c>
      <c r="F436" s="11" t="inlineStr">
        <is>
          <t>event</t>
        </is>
      </c>
      <c r="G436" s="8" t="n">
        <v>2000000</v>
      </c>
      <c r="H436" s="8" t="n">
        <v>3500000</v>
      </c>
      <c r="I436" s="12" t="inlineStr"/>
    </row>
    <row r="437">
      <c r="A437" s="6" t="n">
        <v>3</v>
      </c>
      <c r="B437" s="7" t="inlineStr">
        <is>
          <t>H. COMMITTEE &amp; MANPOWER</t>
        </is>
      </c>
      <c r="C437" s="7" t="inlineStr">
        <is>
          <t>H2. Production &amp; Logistics</t>
        </is>
      </c>
      <c r="D437" s="7" t="inlineStr">
        <is>
          <t>Production Crew</t>
        </is>
      </c>
      <c r="E437" s="7" t="inlineStr">
        <is>
          <t>prsn</t>
        </is>
      </c>
      <c r="F437" s="7" t="inlineStr">
        <is>
          <t>day</t>
        </is>
      </c>
      <c r="G437" s="8" t="n">
        <v>500000</v>
      </c>
      <c r="H437" s="8" t="n">
        <v>700000</v>
      </c>
      <c r="I437" s="9" t="inlineStr">
        <is>
          <t>loading in &amp; out</t>
        </is>
      </c>
    </row>
    <row r="438">
      <c r="A438" s="10" t="n">
        <v>4</v>
      </c>
      <c r="B438" s="11" t="inlineStr">
        <is>
          <t>H. COMMITTEE &amp; MANPOWER</t>
        </is>
      </c>
      <c r="C438" s="11" t="inlineStr">
        <is>
          <t>H2. Production &amp; Logistics</t>
        </is>
      </c>
      <c r="D438" s="11" t="inlineStr">
        <is>
          <t>Logistic Manager / PIC</t>
        </is>
      </c>
      <c r="E438" s="11" t="inlineStr">
        <is>
          <t>prsn</t>
        </is>
      </c>
      <c r="F438" s="11" t="inlineStr">
        <is>
          <t>event</t>
        </is>
      </c>
      <c r="G438" s="8" t="n">
        <v>3500000</v>
      </c>
      <c r="H438" s="8" t="n">
        <v>5000000</v>
      </c>
      <c r="I438" s="12" t="inlineStr"/>
    </row>
    <row r="439">
      <c r="A439" s="6" t="n">
        <v>5</v>
      </c>
      <c r="B439" s="7" t="inlineStr">
        <is>
          <t>H. COMMITTEE &amp; MANPOWER</t>
        </is>
      </c>
      <c r="C439" s="7" t="inlineStr">
        <is>
          <t>H2. Production &amp; Logistics</t>
        </is>
      </c>
      <c r="D439" s="7" t="inlineStr">
        <is>
          <t>Logistic Staff</t>
        </is>
      </c>
      <c r="E439" s="7" t="inlineStr">
        <is>
          <t>prsn</t>
        </is>
      </c>
      <c r="F439" s="7" t="inlineStr">
        <is>
          <t>event</t>
        </is>
      </c>
      <c r="G439" s="8" t="n">
        <v>2000000</v>
      </c>
      <c r="H439" s="8" t="n">
        <v>3000000</v>
      </c>
      <c r="I439" s="9" t="inlineStr"/>
    </row>
    <row r="440">
      <c r="A440" s="10" t="n">
        <v>6</v>
      </c>
      <c r="B440" s="23" t="n"/>
      <c r="C440" s="23" t="n"/>
      <c r="D440" s="23" t="n"/>
      <c r="E440" s="23" t="n"/>
      <c r="F440" s="23" t="n"/>
      <c r="G440" s="23" t="n"/>
      <c r="H440" s="23" t="n"/>
      <c r="I440" s="24" t="n"/>
    </row>
    <row r="441">
      <c r="A441" s="6" t="n">
        <v>7</v>
      </c>
      <c r="B441" s="23" t="n"/>
      <c r="C441" s="23" t="n"/>
      <c r="D441" s="23" t="n"/>
      <c r="E441" s="23" t="n"/>
      <c r="F441" s="23" t="n"/>
      <c r="G441" s="23" t="n"/>
      <c r="H441" s="23" t="n"/>
      <c r="I441" s="24" t="n"/>
    </row>
    <row r="442">
      <c r="A442" s="5" t="inlineStr">
        <is>
          <t xml:space="preserve">  H3. Crowd Control &amp; Security</t>
        </is>
      </c>
    </row>
    <row r="443">
      <c r="A443" s="6" t="n">
        <v>1</v>
      </c>
      <c r="B443" s="7" t="inlineStr">
        <is>
          <t>H. COMMITTEE &amp; MANPOWER</t>
        </is>
      </c>
      <c r="C443" s="7" t="inlineStr">
        <is>
          <t>H3. Crowd Control &amp; Security</t>
        </is>
      </c>
      <c r="D443" s="7" t="inlineStr">
        <is>
          <t>Safety &amp; Security Officer</t>
        </is>
      </c>
      <c r="E443" s="7" t="inlineStr">
        <is>
          <t>prsn</t>
        </is>
      </c>
      <c r="F443" s="7" t="inlineStr">
        <is>
          <t>event</t>
        </is>
      </c>
      <c r="G443" s="8" t="n">
        <v>5000000</v>
      </c>
      <c r="H443" s="8" t="n">
        <v>8000000</v>
      </c>
      <c r="I443" s="9" t="inlineStr"/>
    </row>
    <row r="444">
      <c r="A444" s="10" t="n">
        <v>2</v>
      </c>
      <c r="B444" s="11" t="inlineStr">
        <is>
          <t>H. COMMITTEE &amp; MANPOWER</t>
        </is>
      </c>
      <c r="C444" s="11" t="inlineStr">
        <is>
          <t>H3. Crowd Control &amp; Security</t>
        </is>
      </c>
      <c r="D444" s="11" t="inlineStr">
        <is>
          <t>Coordinator Internal Guard</t>
        </is>
      </c>
      <c r="E444" s="11" t="inlineStr">
        <is>
          <t>prsn</t>
        </is>
      </c>
      <c r="F444" s="11" t="inlineStr">
        <is>
          <t>day</t>
        </is>
      </c>
      <c r="G444" s="8" t="n">
        <v>700000</v>
      </c>
      <c r="H444" s="8" t="n">
        <v>1000000</v>
      </c>
      <c r="I444" s="12" t="inlineStr"/>
    </row>
    <row r="445">
      <c r="A445" s="6" t="n">
        <v>3</v>
      </c>
      <c r="B445" s="7" t="inlineStr">
        <is>
          <t>H. COMMITTEE &amp; MANPOWER</t>
        </is>
      </c>
      <c r="C445" s="7" t="inlineStr">
        <is>
          <t>H3. Crowd Control &amp; Security</t>
        </is>
      </c>
      <c r="D445" s="7" t="inlineStr">
        <is>
          <t>Head Crowd Control</t>
        </is>
      </c>
      <c r="E445" s="7" t="inlineStr">
        <is>
          <t>prsn</t>
        </is>
      </c>
      <c r="F445" s="7" t="inlineStr">
        <is>
          <t>event</t>
        </is>
      </c>
      <c r="G445" s="8" t="n">
        <v>750000</v>
      </c>
      <c r="H445" s="8" t="n">
        <v>1200000</v>
      </c>
      <c r="I445" s="9" t="inlineStr"/>
    </row>
    <row r="446">
      <c r="A446" s="10" t="n">
        <v>4</v>
      </c>
      <c r="B446" s="11" t="inlineStr">
        <is>
          <t>H. COMMITTEE &amp; MANPOWER</t>
        </is>
      </c>
      <c r="C446" s="11" t="inlineStr">
        <is>
          <t>H3. Crowd Control &amp; Security</t>
        </is>
      </c>
      <c r="D446" s="11" t="inlineStr">
        <is>
          <t>Crowd Control</t>
        </is>
      </c>
      <c r="E446" s="11" t="inlineStr">
        <is>
          <t>prsn</t>
        </is>
      </c>
      <c r="F446" s="11" t="inlineStr">
        <is>
          <t>day</t>
        </is>
      </c>
      <c r="G446" s="8" t="n">
        <v>500000</v>
      </c>
      <c r="H446" s="8" t="n">
        <v>700000</v>
      </c>
      <c r="I446" s="12" t="inlineStr">
        <is>
          <t>per orang per hari</t>
        </is>
      </c>
    </row>
    <row r="447">
      <c r="A447" s="6" t="n">
        <v>5</v>
      </c>
      <c r="B447" s="23" t="n"/>
      <c r="C447" s="23" t="n"/>
      <c r="D447" s="23" t="n"/>
      <c r="E447" s="23" t="n"/>
      <c r="F447" s="23" t="n"/>
      <c r="G447" s="23" t="n"/>
      <c r="H447" s="23" t="n"/>
      <c r="I447" s="24" t="n"/>
    </row>
    <row r="448">
      <c r="A448" s="10" t="n">
        <v>6</v>
      </c>
      <c r="B448" s="23" t="n"/>
      <c r="C448" s="23" t="n"/>
      <c r="D448" s="23" t="n"/>
      <c r="E448" s="23" t="n"/>
      <c r="F448" s="23" t="n"/>
      <c r="G448" s="23" t="n"/>
      <c r="H448" s="23" t="n"/>
      <c r="I448" s="24" t="n"/>
    </row>
    <row r="449">
      <c r="A449" s="5" t="inlineStr">
        <is>
          <t xml:space="preserve">  H4. Dokumentasi</t>
        </is>
      </c>
    </row>
    <row r="450">
      <c r="A450" s="6" t="n">
        <v>1</v>
      </c>
      <c r="B450" s="7" t="inlineStr">
        <is>
          <t>H. COMMITTEE &amp; MANPOWER</t>
        </is>
      </c>
      <c r="C450" s="7" t="inlineStr">
        <is>
          <t>H4. Dokumentasi</t>
        </is>
      </c>
      <c r="D450" s="7" t="inlineStr">
        <is>
          <t>Fotografer</t>
        </is>
      </c>
      <c r="E450" s="7" t="inlineStr">
        <is>
          <t>prsn</t>
        </is>
      </c>
      <c r="F450" s="7" t="inlineStr">
        <is>
          <t>day</t>
        </is>
      </c>
      <c r="G450" s="8" t="n">
        <v>1500000</v>
      </c>
      <c r="H450" s="8" t="n">
        <v>2500000</v>
      </c>
      <c r="I450" s="9" t="inlineStr"/>
    </row>
    <row r="451">
      <c r="A451" s="10" t="n">
        <v>2</v>
      </c>
      <c r="B451" s="11" t="inlineStr">
        <is>
          <t>H. COMMITTEE &amp; MANPOWER</t>
        </is>
      </c>
      <c r="C451" s="11" t="inlineStr">
        <is>
          <t>H4. Dokumentasi</t>
        </is>
      </c>
      <c r="D451" s="11" t="inlineStr">
        <is>
          <t>Videografer</t>
        </is>
      </c>
      <c r="E451" s="11" t="inlineStr">
        <is>
          <t>prsn</t>
        </is>
      </c>
      <c r="F451" s="11" t="inlineStr">
        <is>
          <t>day</t>
        </is>
      </c>
      <c r="G451" s="8" t="n">
        <v>1500000</v>
      </c>
      <c r="H451" s="8" t="n">
        <v>2500000</v>
      </c>
      <c r="I451" s="12" t="inlineStr"/>
    </row>
    <row r="452">
      <c r="A452" s="6" t="n">
        <v>3</v>
      </c>
      <c r="B452" s="7" t="inlineStr">
        <is>
          <t>H. COMMITTEE &amp; MANPOWER</t>
        </is>
      </c>
      <c r="C452" s="7" t="inlineStr">
        <is>
          <t>H4. Dokumentasi</t>
        </is>
      </c>
      <c r="D452" s="7" t="inlineStr">
        <is>
          <t>Foto &amp; Video (Drone)</t>
        </is>
      </c>
      <c r="E452" s="7" t="inlineStr">
        <is>
          <t>pckg</t>
        </is>
      </c>
      <c r="F452" s="7" t="inlineStr">
        <is>
          <t>day</t>
        </is>
      </c>
      <c r="G452" s="8" t="n">
        <v>2500000</v>
      </c>
      <c r="H452" s="8" t="n">
        <v>3500000</v>
      </c>
      <c r="I452" s="9" t="inlineStr">
        <is>
          <t>matt / drone</t>
        </is>
      </c>
    </row>
    <row r="453">
      <c r="A453" s="10" t="n">
        <v>4</v>
      </c>
      <c r="B453" s="11" t="inlineStr">
        <is>
          <t>H. COMMITTEE &amp; MANPOWER</t>
        </is>
      </c>
      <c r="C453" s="11" t="inlineStr">
        <is>
          <t>H4. Dokumentasi</t>
        </is>
      </c>
      <c r="D453" s="11" t="inlineStr">
        <is>
          <t>Highlight Video</t>
        </is>
      </c>
      <c r="E453" s="11" t="inlineStr">
        <is>
          <t>pckg</t>
        </is>
      </c>
      <c r="F453" s="11" t="inlineStr">
        <is>
          <t>event</t>
        </is>
      </c>
      <c r="G453" s="8" t="n">
        <v>4000000</v>
      </c>
      <c r="H453" s="8" t="n">
        <v>6000000</v>
      </c>
      <c r="I453" s="12" t="inlineStr">
        <is>
          <t>editing setelah event</t>
        </is>
      </c>
    </row>
    <row r="454"/>
    <row r="455" ht="16" customHeight="1">
      <c r="A455" s="5" t="inlineStr">
        <is>
          <t xml:space="preserve">  H5. Sport Operations Support</t>
        </is>
      </c>
    </row>
    <row r="456" ht="15" customHeight="1">
      <c r="A456" s="6" t="n">
        <v>1</v>
      </c>
      <c r="B456" s="7" t="inlineStr">
        <is>
          <t>H. COMMITTEE &amp; MANPOWER</t>
        </is>
      </c>
      <c r="C456" s="7" t="inlineStr">
        <is>
          <t>H5. Sport Operations Support</t>
        </is>
      </c>
      <c r="D456" s="7" t="inlineStr">
        <is>
          <t>Tenant &amp; Food Truck Coordinator</t>
        </is>
      </c>
      <c r="E456" s="7" t="inlineStr">
        <is>
          <t>prsn</t>
        </is>
      </c>
      <c r="F456" s="7" t="inlineStr">
        <is>
          <t>event</t>
        </is>
      </c>
      <c r="G456" s="8" t="n">
        <v>1000000</v>
      </c>
      <c r="H456" s="8" t="n">
        <v>2000000</v>
      </c>
      <c r="I456" s="9" t="inlineStr">
        <is>
          <t>per orang per event</t>
        </is>
      </c>
    </row>
    <row r="457" ht="15" customHeight="1">
      <c r="A457" s="10" t="n">
        <v>2</v>
      </c>
      <c r="B457" s="11" t="inlineStr">
        <is>
          <t>H. COMMITTEE &amp; MANPOWER</t>
        </is>
      </c>
      <c r="C457" s="11" t="inlineStr">
        <is>
          <t>H5. Sport Operations Support</t>
        </is>
      </c>
      <c r="D457" s="11" t="inlineStr">
        <is>
          <t>Ass. Project Officer</t>
        </is>
      </c>
      <c r="E457" s="11" t="inlineStr">
        <is>
          <t>prsn</t>
        </is>
      </c>
      <c r="F457" s="11" t="inlineStr">
        <is>
          <t>event</t>
        </is>
      </c>
      <c r="G457" s="8" t="n">
        <v>3000000</v>
      </c>
      <c r="H457" s="8" t="n">
        <v>5000000</v>
      </c>
      <c r="I457" s="12" t="inlineStr"/>
    </row>
    <row r="458" ht="15" customHeight="1">
      <c r="A458" s="6" t="n">
        <v>3</v>
      </c>
      <c r="B458" s="7" t="inlineStr">
        <is>
          <t>H. COMMITTEE &amp; MANPOWER</t>
        </is>
      </c>
      <c r="C458" s="7" t="inlineStr">
        <is>
          <t>H5. Sport Operations Support</t>
        </is>
      </c>
      <c r="D458" s="7" t="inlineStr">
        <is>
          <t>Program / Content / Activity Lead</t>
        </is>
      </c>
      <c r="E458" s="7" t="inlineStr">
        <is>
          <t>prsn</t>
        </is>
      </c>
      <c r="F458" s="7" t="inlineStr">
        <is>
          <t>event</t>
        </is>
      </c>
      <c r="G458" s="8" t="n">
        <v>2000000</v>
      </c>
      <c r="H458" s="8" t="n">
        <v>4000000</v>
      </c>
      <c r="I458" s="9" t="inlineStr"/>
    </row>
    <row r="459">
      <c r="A459" s="20" t="inlineStr">
        <is>
          <t>I. TRANSPORT &amp; AKOMODASI</t>
        </is>
      </c>
    </row>
    <row r="460">
      <c r="A460" s="5" t="inlineStr">
        <is>
          <t xml:space="preserve">  I1. Kendaraan Operasional</t>
        </is>
      </c>
    </row>
    <row r="461">
      <c r="A461" s="6" t="n">
        <v>1</v>
      </c>
      <c r="B461" s="23" t="n"/>
      <c r="C461" s="23" t="n"/>
      <c r="D461" s="23" t="n"/>
      <c r="E461" s="23" t="n"/>
      <c r="F461" s="23" t="n"/>
      <c r="G461" s="23" t="n"/>
      <c r="H461" s="23" t="n"/>
      <c r="I461" s="24" t="n"/>
    </row>
    <row r="462">
      <c r="A462" s="10" t="n">
        <v>2</v>
      </c>
      <c r="B462" s="11" t="inlineStr">
        <is>
          <t>I. TRANSPORT &amp; AKOMODASI</t>
        </is>
      </c>
      <c r="C462" s="11" t="inlineStr">
        <is>
          <t>I1. Kendaraan Operasional</t>
        </is>
      </c>
      <c r="D462" s="11" t="inlineStr">
        <is>
          <t>Innova + Driver (Talent)</t>
        </is>
      </c>
      <c r="E462" s="11" t="inlineStr">
        <is>
          <t>unit</t>
        </is>
      </c>
      <c r="F462" s="11" t="inlineStr">
        <is>
          <t>day</t>
        </is>
      </c>
      <c r="G462" s="8" t="n">
        <v>700000</v>
      </c>
      <c r="H462" s="8" t="n">
        <v>1000000</v>
      </c>
      <c r="I462" s="12" t="inlineStr">
        <is>
          <t>all in</t>
        </is>
      </c>
    </row>
    <row r="463">
      <c r="A463" s="6" t="n">
        <v>3</v>
      </c>
      <c r="B463" s="7" t="inlineStr">
        <is>
          <t>I. TRANSPORT &amp; AKOMODASI</t>
        </is>
      </c>
      <c r="C463" s="7" t="inlineStr">
        <is>
          <t>I1. Kendaraan Operasional</t>
        </is>
      </c>
      <c r="D463" s="7" t="inlineStr">
        <is>
          <t>Hi-Ace (incl. driver, meals, overtime)</t>
        </is>
      </c>
      <c r="E463" s="7" t="inlineStr">
        <is>
          <t>unit</t>
        </is>
      </c>
      <c r="F463" s="7" t="inlineStr">
        <is>
          <t>day</t>
        </is>
      </c>
      <c r="G463" s="8" t="n">
        <v>1800000</v>
      </c>
      <c r="H463" s="8" t="n">
        <v>2400000</v>
      </c>
      <c r="I463" s="9" t="inlineStr"/>
    </row>
    <row r="464">
      <c r="A464" s="10" t="n">
        <v>4</v>
      </c>
      <c r="B464" s="23" t="n"/>
      <c r="C464" s="23" t="n"/>
      <c r="D464" s="23" t="n"/>
      <c r="E464" s="23" t="n"/>
      <c r="F464" s="23" t="n"/>
      <c r="G464" s="23" t="n"/>
      <c r="H464" s="23" t="n"/>
      <c r="I464" s="24" t="n"/>
    </row>
    <row r="465">
      <c r="A465" s="6" t="n">
        <v>5</v>
      </c>
      <c r="B465" s="7" t="inlineStr">
        <is>
          <t>I. TRANSPORT &amp; AKOMODASI</t>
        </is>
      </c>
      <c r="C465" s="7" t="inlineStr">
        <is>
          <t>I1. Kendaraan Operasional</t>
        </is>
      </c>
      <c r="D465" s="7" t="inlineStr">
        <is>
          <t>Hiace Premio 14 Seat (12 jam + 6 OT)</t>
        </is>
      </c>
      <c r="E465" s="7" t="inlineStr">
        <is>
          <t>unit</t>
        </is>
      </c>
      <c r="F465" s="7" t="inlineStr">
        <is>
          <t>day</t>
        </is>
      </c>
      <c r="G465" s="8" t="n">
        <v>3200000</v>
      </c>
      <c r="H465" s="8" t="n">
        <v>4200000</v>
      </c>
      <c r="I465" s="9" t="inlineStr">
        <is>
          <t>incl. overtime 6 jam</t>
        </is>
      </c>
    </row>
    <row r="466">
      <c r="A466" s="10" t="n">
        <v>6</v>
      </c>
      <c r="B466" s="11" t="inlineStr">
        <is>
          <t>I. TRANSPORT &amp; AKOMODASI</t>
        </is>
      </c>
      <c r="C466" s="11" t="inlineStr">
        <is>
          <t>I1. Kendaraan Operasional</t>
        </is>
      </c>
      <c r="D466" s="11" t="inlineStr">
        <is>
          <t>Bus 30-seat (12 jam)</t>
        </is>
      </c>
      <c r="E466" s="11" t="inlineStr">
        <is>
          <t>unit</t>
        </is>
      </c>
      <c r="F466" s="11" t="inlineStr">
        <is>
          <t>day</t>
        </is>
      </c>
      <c r="G466" s="8" t="n">
        <v>8000000</v>
      </c>
      <c r="H466" s="8" t="n">
        <v>11000000</v>
      </c>
      <c r="I466" s="12" t="inlineStr">
        <is>
          <t>incl. driver</t>
        </is>
      </c>
    </row>
    <row r="467">
      <c r="A467" s="6" t="n">
        <v>7</v>
      </c>
      <c r="B467" s="7" t="inlineStr">
        <is>
          <t>I. TRANSPORT &amp; AKOMODASI</t>
        </is>
      </c>
      <c r="C467" s="7" t="inlineStr">
        <is>
          <t>I1. Kendaraan Operasional</t>
        </is>
      </c>
      <c r="D467" s="7" t="inlineStr">
        <is>
          <t>Colt Diesel (Toolbox area)</t>
        </is>
      </c>
      <c r="E467" s="7" t="inlineStr">
        <is>
          <t>unit</t>
        </is>
      </c>
      <c r="F467" s="7" t="inlineStr">
        <is>
          <t>day</t>
        </is>
      </c>
      <c r="G467" s="8" t="n">
        <v>1500000</v>
      </c>
      <c r="H467" s="8" t="n">
        <v>2200000</v>
      </c>
      <c r="I467" s="9" t="inlineStr">
        <is>
          <t>incl. install &amp; cabling</t>
        </is>
      </c>
    </row>
    <row r="468">
      <c r="A468" s="10" t="n">
        <v>8</v>
      </c>
      <c r="B468" s="11" t="inlineStr">
        <is>
          <t>I. TRANSPORT &amp; AKOMODASI</t>
        </is>
      </c>
      <c r="C468" s="11" t="inlineStr">
        <is>
          <t>I1. Kendaraan Operasional</t>
        </is>
      </c>
      <c r="D468" s="11" t="inlineStr">
        <is>
          <t>Blind Van</t>
        </is>
      </c>
      <c r="E468" s="11" t="inlineStr">
        <is>
          <t>unit</t>
        </is>
      </c>
      <c r="F468" s="11" t="inlineStr">
        <is>
          <t>day</t>
        </is>
      </c>
      <c r="G468" s="8" t="n">
        <v>650000</v>
      </c>
      <c r="H468" s="8" t="n">
        <v>900000</v>
      </c>
      <c r="I468" s="12" t="inlineStr">
        <is>
          <t>1 unit per hari</t>
        </is>
      </c>
    </row>
    <row r="469">
      <c r="A469" s="5" t="inlineStr">
        <is>
          <t xml:space="preserve">  I2. Akomodasi Tim</t>
        </is>
      </c>
    </row>
    <row r="470">
      <c r="A470" s="6" t="n">
        <v>1</v>
      </c>
      <c r="B470" s="23" t="n"/>
      <c r="C470" s="23" t="n"/>
      <c r="D470" s="23" t="n"/>
      <c r="E470" s="23" t="n"/>
      <c r="F470" s="23" t="n"/>
      <c r="G470" s="23" t="n"/>
      <c r="H470" s="23" t="n"/>
      <c r="I470" s="24" t="n"/>
    </row>
    <row r="471">
      <c r="A471" s="10" t="n">
        <v>2</v>
      </c>
      <c r="B471" s="11" t="inlineStr">
        <is>
          <t>I. TRANSPORT &amp; AKOMODASI</t>
        </is>
      </c>
      <c r="C471" s="11" t="inlineStr">
        <is>
          <t>I2. Akomodasi Tim</t>
        </is>
      </c>
      <c r="D471" s="11" t="inlineStr">
        <is>
          <t>Hotel Bintang 4 (Talent/Nasional)</t>
        </is>
      </c>
      <c r="E471" s="11" t="inlineStr">
        <is>
          <t>room</t>
        </is>
      </c>
      <c r="F471" s="11" t="inlineStr">
        <is>
          <t>night</t>
        </is>
      </c>
      <c r="G471" s="8" t="n">
        <v>750000</v>
      </c>
      <c r="H471" s="8" t="n">
        <v>1200000</v>
      </c>
      <c r="I471" s="12" t="inlineStr"/>
    </row>
    <row r="472">
      <c r="A472" s="5" t="inlineStr">
        <is>
          <t xml:space="preserve">  I3. Komunikasi</t>
        </is>
      </c>
    </row>
    <row r="473">
      <c r="A473" s="6" t="n">
        <v>1</v>
      </c>
      <c r="B473" s="7" t="inlineStr">
        <is>
          <t>I. TRANSPORT &amp; AKOMODASI</t>
        </is>
      </c>
      <c r="C473" s="7" t="inlineStr">
        <is>
          <t>I3. Komunikasi</t>
        </is>
      </c>
      <c r="D473" s="7" t="inlineStr">
        <is>
          <t>HT / Handy Talkie</t>
        </is>
      </c>
      <c r="E473" s="7" t="inlineStr">
        <is>
          <t>unit</t>
        </is>
      </c>
      <c r="F473" s="7" t="inlineStr">
        <is>
          <t>day</t>
        </is>
      </c>
      <c r="G473" s="8" t="n">
        <v>40000</v>
      </c>
      <c r="H473" s="8" t="n">
        <v>75000</v>
      </c>
      <c r="I473" s="9" t="inlineStr">
        <is>
          <t>per unit per hari</t>
        </is>
      </c>
    </row>
    <row r="474">
      <c r="A474" s="10" t="n">
        <v>2</v>
      </c>
      <c r="B474" s="11" t="inlineStr">
        <is>
          <t>I. TRANSPORT &amp; AKOMODASI</t>
        </is>
      </c>
      <c r="C474" s="11" t="inlineStr">
        <is>
          <t>I3. Komunikasi</t>
        </is>
      </c>
      <c r="D474" s="11" t="inlineStr">
        <is>
          <t>HT Satelit</t>
        </is>
      </c>
      <c r="E474" s="11" t="inlineStr">
        <is>
          <t>unit</t>
        </is>
      </c>
      <c r="F474" s="11" t="inlineStr">
        <is>
          <t>day</t>
        </is>
      </c>
      <c r="G474" s="8" t="n">
        <v>95000</v>
      </c>
      <c r="H474" s="8" t="n">
        <v>130000</v>
      </c>
      <c r="I474" s="12" t="inlineStr">
        <is>
          <t>per unit per hari</t>
        </is>
      </c>
    </row>
    <row r="475">
      <c r="A475" s="6" t="n">
        <v>3</v>
      </c>
      <c r="B475" s="7" t="inlineStr">
        <is>
          <t>I. TRANSPORT &amp; AKOMODASI</t>
        </is>
      </c>
      <c r="C475" s="7" t="inlineStr">
        <is>
          <t>I3. Komunikasi</t>
        </is>
      </c>
      <c r="D475" s="7" t="inlineStr">
        <is>
          <t>Clearcomm / Intercom</t>
        </is>
      </c>
      <c r="E475" s="7" t="inlineStr">
        <is>
          <t>unit</t>
        </is>
      </c>
      <c r="F475" s="7" t="inlineStr">
        <is>
          <t>day</t>
        </is>
      </c>
      <c r="G475" s="8" t="n">
        <v>200000</v>
      </c>
      <c r="H475" s="8" t="n">
        <v>300000</v>
      </c>
      <c r="I475" s="9" t="inlineStr">
        <is>
          <t>per unit per hari</t>
        </is>
      </c>
    </row>
    <row r="476"/>
    <row r="477" ht="16" customHeight="1">
      <c r="A477" s="5" t="inlineStr">
        <is>
          <t xml:space="preserve">  I4. Transport Khusus &amp; Logistik Multi-kota</t>
        </is>
      </c>
    </row>
    <row r="478" ht="15" customHeight="1">
      <c r="A478" s="6" t="n">
        <v>1</v>
      </c>
      <c r="B478" s="7" t="inlineStr">
        <is>
          <t>I. TRANSPORT &amp; AKOMODASI</t>
        </is>
      </c>
      <c r="C478" s="7" t="inlineStr">
        <is>
          <t>I4. Transport Khusus &amp; Logistik Multi-kota</t>
        </is>
      </c>
      <c r="D478" s="7" t="inlineStr">
        <is>
          <t>Mini Bus (incl. driver)</t>
        </is>
      </c>
      <c r="E478" s="7" t="inlineStr">
        <is>
          <t>unit</t>
        </is>
      </c>
      <c r="F478" s="7" t="inlineStr">
        <is>
          <t>day</t>
        </is>
      </c>
      <c r="G478" s="8" t="n">
        <v>850000</v>
      </c>
      <c r="H478" s="8" t="n">
        <v>1500000</v>
      </c>
      <c r="I478" s="9" t="inlineStr">
        <is>
          <t>per unit per hari — Artis/tim regional</t>
        </is>
      </c>
    </row>
    <row r="479" ht="15" customHeight="1">
      <c r="A479" s="10" t="n">
        <v>2</v>
      </c>
      <c r="B479" s="11" t="inlineStr">
        <is>
          <t>I. TRANSPORT &amp; AKOMODASI</t>
        </is>
      </c>
      <c r="C479" s="11" t="inlineStr">
        <is>
          <t>I4. Transport Khusus &amp; Logistik Multi-kota</t>
        </is>
      </c>
      <c r="D479" s="11" t="inlineStr">
        <is>
          <t>Motor Rent (operasional KOL/LO)</t>
        </is>
      </c>
      <c r="E479" s="11" t="inlineStr">
        <is>
          <t>unit</t>
        </is>
      </c>
      <c r="F479" s="11" t="inlineStr">
        <is>
          <t>day</t>
        </is>
      </c>
      <c r="G479" s="8" t="n">
        <v>1500000</v>
      </c>
      <c r="H479" s="8" t="n">
        <v>2500000</v>
      </c>
      <c r="I479" s="12" t="inlineStr">
        <is>
          <t>per unit per hari</t>
        </is>
      </c>
    </row>
    <row r="480" ht="15" customHeight="1">
      <c r="A480" s="6" t="n">
        <v>3</v>
      </c>
      <c r="B480" s="7" t="inlineStr">
        <is>
          <t>I. TRANSPORT &amp; AKOMODASI</t>
        </is>
      </c>
      <c r="C480" s="7" t="inlineStr">
        <is>
          <t>I4. Transport Khusus &amp; Logistik Multi-kota</t>
        </is>
      </c>
      <c r="D480" s="7" t="inlineStr">
        <is>
          <t>Logistic Transport (pickup/truk)</t>
        </is>
      </c>
      <c r="E480" s="7" t="inlineStr">
        <is>
          <t>trip</t>
        </is>
      </c>
      <c r="F480" s="7" t="inlineStr">
        <is>
          <t>event</t>
        </is>
      </c>
      <c r="G480" s="8" t="n">
        <v>5000000</v>
      </c>
      <c r="H480" s="8" t="n">
        <v>10000000</v>
      </c>
      <c r="I480" s="9" t="inlineStr">
        <is>
          <t>per trip</t>
        </is>
      </c>
    </row>
    <row r="481" ht="15" customHeight="1">
      <c r="A481" s="10" t="n">
        <v>4</v>
      </c>
      <c r="B481" s="11" t="inlineStr">
        <is>
          <t>I. TRANSPORT &amp; AKOMODASI</t>
        </is>
      </c>
      <c r="C481" s="11" t="inlineStr">
        <is>
          <t>I4. Transport Khusus &amp; Logistik Multi-kota</t>
        </is>
      </c>
      <c r="D481" s="11" t="inlineStr">
        <is>
          <t>Storing / Pengiriman Properti</t>
        </is>
      </c>
      <c r="E481" s="11" t="inlineStr">
        <is>
          <t>trip</t>
        </is>
      </c>
      <c r="F481" s="11" t="inlineStr">
        <is>
          <t>event</t>
        </is>
      </c>
      <c r="G481" s="8" t="n">
        <v>5000000</v>
      </c>
      <c r="H481" s="8" t="n">
        <v>20000000</v>
      </c>
      <c r="I481" s="12" t="inlineStr">
        <is>
          <t>per event multi-kota — Tergantung jarak</t>
        </is>
      </c>
    </row>
    <row r="482" ht="15" customHeight="1">
      <c r="A482" s="6" t="n">
        <v>5</v>
      </c>
      <c r="B482" s="7" t="inlineStr">
        <is>
          <t>I. TRANSPORT &amp; AKOMODASI</t>
        </is>
      </c>
      <c r="C482" s="7" t="inlineStr">
        <is>
          <t>I4. Transport Khusus &amp; Logistik Multi-kota</t>
        </is>
      </c>
      <c r="D482" s="7" t="inlineStr">
        <is>
          <t>Penyeberangan Kapal (Merak-Bkuheni)</t>
        </is>
      </c>
      <c r="E482" s="7" t="inlineStr">
        <is>
          <t>unit</t>
        </is>
      </c>
      <c r="F482" s="7" t="inlineStr">
        <is>
          <t>trip</t>
        </is>
      </c>
      <c r="G482" s="8" t="n">
        <v>1250000</v>
      </c>
      <c r="H482" s="8" t="n">
        <v>2000000</v>
      </c>
      <c r="I482" s="9" t="inlineStr">
        <is>
          <t>per unit per crossing</t>
        </is>
      </c>
    </row>
    <row r="483" ht="15" customHeight="1">
      <c r="A483" s="10" t="n">
        <v>6</v>
      </c>
      <c r="B483" s="11" t="inlineStr">
        <is>
          <t>I. TRANSPORT &amp; AKOMODASI</t>
        </is>
      </c>
      <c r="C483" s="11" t="inlineStr">
        <is>
          <t>I4. Transport Khusus &amp; Logistik Multi-kota</t>
        </is>
      </c>
      <c r="D483" s="11" t="inlineStr">
        <is>
          <t>Penyeberangan Jawa-Kalimantan</t>
        </is>
      </c>
      <c r="E483" s="11" t="inlineStr">
        <is>
          <t>unit</t>
        </is>
      </c>
      <c r="F483" s="11" t="inlineStr">
        <is>
          <t>trip</t>
        </is>
      </c>
      <c r="G483" s="8" t="n">
        <v>16500000</v>
      </c>
      <c r="H483" s="8" t="n">
        <v>25000000</v>
      </c>
      <c r="I483" s="12" t="inlineStr">
        <is>
          <t>per unit per crossing</t>
        </is>
      </c>
    </row>
    <row r="484" ht="15" customHeight="1">
      <c r="A484" s="6" t="n">
        <v>7</v>
      </c>
      <c r="B484" s="7" t="inlineStr">
        <is>
          <t>I. TRANSPORT &amp; AKOMODASI</t>
        </is>
      </c>
      <c r="C484" s="7" t="inlineStr">
        <is>
          <t>I4. Transport Khusus &amp; Logistik Multi-kota</t>
        </is>
      </c>
      <c r="D484" s="7" t="inlineStr">
        <is>
          <t>Tiket Pesawat PP</t>
        </is>
      </c>
      <c r="E484" s="7" t="inlineStr">
        <is>
          <t>prsn</t>
        </is>
      </c>
      <c r="F484" s="7" t="inlineStr">
        <is>
          <t>trip</t>
        </is>
      </c>
      <c r="G484" s="8" t="n">
        <v>1000000</v>
      </c>
      <c r="H484" s="8" t="n">
        <v>3000000</v>
      </c>
      <c r="I484" s="9" t="inlineStr">
        <is>
          <t>per orang, estimasi domestik — Tergantung rute</t>
        </is>
      </c>
    </row>
    <row r="485" ht="15" customHeight="1">
      <c r="A485" s="10" t="n">
        <v>8</v>
      </c>
      <c r="B485" s="11" t="inlineStr">
        <is>
          <t>I. TRANSPORT &amp; AKOMODASI</t>
        </is>
      </c>
      <c r="C485" s="11" t="inlineStr">
        <is>
          <t>I4. Transport Khusus &amp; Logistik Multi-kota</t>
        </is>
      </c>
      <c r="D485" s="11" t="inlineStr">
        <is>
          <t>Ground Transport (incl. BBM, Tol, Parkir)</t>
        </is>
      </c>
      <c r="E485" s="11" t="inlineStr">
        <is>
          <t>unit</t>
        </is>
      </c>
      <c r="F485" s="11" t="inlineStr">
        <is>
          <t>day</t>
        </is>
      </c>
      <c r="G485" s="8" t="n">
        <v>750000</v>
      </c>
      <c r="H485" s="8" t="n">
        <v>1200000</v>
      </c>
      <c r="I485" s="12" t="inlineStr">
        <is>
          <t>per unit per hari</t>
        </is>
      </c>
    </row>
    <row r="486">
      <c r="A486" s="21" t="inlineStr">
        <is>
          <t>J. F&amp;B &amp; KONSUMSI</t>
        </is>
      </c>
    </row>
    <row r="487">
      <c r="A487" s="5" t="inlineStr">
        <is>
          <t xml:space="preserve">  J1. Meals Tim</t>
        </is>
      </c>
    </row>
    <row r="488">
      <c r="A488" s="6" t="n">
        <v>1</v>
      </c>
      <c r="B488" s="7" t="inlineStr">
        <is>
          <t>J. F&amp;B &amp; KONSUMSI</t>
        </is>
      </c>
      <c r="C488" s="7" t="inlineStr">
        <is>
          <t>J1. Meals Tim</t>
        </is>
      </c>
      <c r="D488" s="7" t="inlineStr">
        <is>
          <t>Makan Siang/Malam Crew</t>
        </is>
      </c>
      <c r="E488" s="7" t="inlineStr">
        <is>
          <t>prsn</t>
        </is>
      </c>
      <c r="F488" s="7" t="inlineStr">
        <is>
          <t>time</t>
        </is>
      </c>
      <c r="G488" s="8" t="n">
        <v>28000</v>
      </c>
      <c r="H488" s="8" t="n">
        <v>45000</v>
      </c>
      <c r="I488" s="9" t="inlineStr">
        <is>
          <t>per pax</t>
        </is>
      </c>
    </row>
    <row r="489">
      <c r="A489" s="10" t="n">
        <v>2</v>
      </c>
      <c r="B489" s="11" t="inlineStr">
        <is>
          <t>J. F&amp;B &amp; KONSUMSI</t>
        </is>
      </c>
      <c r="C489" s="11" t="inlineStr">
        <is>
          <t>J1. Meals Tim</t>
        </is>
      </c>
      <c r="D489" s="11" t="inlineStr">
        <is>
          <t>Nasi Box Standard Pegawai</t>
        </is>
      </c>
      <c r="E489" s="11" t="inlineStr">
        <is>
          <t>prsn</t>
        </is>
      </c>
      <c r="F489" s="11" t="inlineStr">
        <is>
          <t>time</t>
        </is>
      </c>
      <c r="G489" s="8" t="n">
        <v>65000</v>
      </c>
      <c r="H489" s="8" t="n">
        <v>85000</v>
      </c>
      <c r="I489" s="12" t="inlineStr">
        <is>
          <t>per pax</t>
        </is>
      </c>
    </row>
    <row r="490">
      <c r="A490" s="6" t="n">
        <v>3</v>
      </c>
      <c r="B490" s="7" t="inlineStr">
        <is>
          <t>J. F&amp;B &amp; KONSUMSI</t>
        </is>
      </c>
      <c r="C490" s="7" t="inlineStr">
        <is>
          <t>J1. Meals Tim</t>
        </is>
      </c>
      <c r="D490" s="7" t="inlineStr">
        <is>
          <t>Meals Box / Nasi Box Team</t>
        </is>
      </c>
      <c r="E490" s="7" t="inlineStr">
        <is>
          <t>prsn</t>
        </is>
      </c>
      <c r="F490" s="7" t="inlineStr">
        <is>
          <t>time</t>
        </is>
      </c>
      <c r="G490" s="8" t="n">
        <v>30000</v>
      </c>
      <c r="H490" s="8" t="n">
        <v>50000</v>
      </c>
      <c r="I490" s="9" t="inlineStr"/>
    </row>
    <row r="491">
      <c r="A491" s="10" t="n">
        <v>4</v>
      </c>
      <c r="B491" s="11" t="inlineStr">
        <is>
          <t>J. F&amp;B &amp; KONSUMSI</t>
        </is>
      </c>
      <c r="C491" s="11" t="inlineStr">
        <is>
          <t>J1. Meals Tim</t>
        </is>
      </c>
      <c r="D491" s="11" t="inlineStr">
        <is>
          <t>Coffee Break</t>
        </is>
      </c>
      <c r="E491" s="11" t="inlineStr">
        <is>
          <t>prsn</t>
        </is>
      </c>
      <c r="F491" s="11" t="inlineStr">
        <is>
          <t>time</t>
        </is>
      </c>
      <c r="G491" s="8" t="n">
        <v>65000</v>
      </c>
      <c r="H491" s="8" t="n">
        <v>80000</v>
      </c>
      <c r="I491" s="12" t="inlineStr">
        <is>
          <t>coffee, tea, snack</t>
        </is>
      </c>
    </row>
    <row r="492">
      <c r="A492" s="6" t="n">
        <v>5</v>
      </c>
      <c r="B492" s="7" t="inlineStr">
        <is>
          <t>J. F&amp;B &amp; KONSUMSI</t>
        </is>
      </c>
      <c r="C492" s="7" t="inlineStr">
        <is>
          <t>J1. Meals Tim</t>
        </is>
      </c>
      <c r="D492" s="7" t="inlineStr">
        <is>
          <t>Snack Box / Coffee Break</t>
        </is>
      </c>
      <c r="E492" s="7" t="inlineStr">
        <is>
          <t>prsn</t>
        </is>
      </c>
      <c r="F492" s="7" t="inlineStr">
        <is>
          <t>time</t>
        </is>
      </c>
      <c r="G492" s="8" t="n">
        <v>50000</v>
      </c>
      <c r="H492" s="8" t="n">
        <v>80000</v>
      </c>
      <c r="I492" s="9" t="inlineStr"/>
    </row>
    <row r="493">
      <c r="A493" s="10" t="n">
        <v>6</v>
      </c>
      <c r="B493" s="11" t="inlineStr">
        <is>
          <t>J. F&amp;B &amp; KONSUMSI</t>
        </is>
      </c>
      <c r="C493" s="11" t="inlineStr">
        <is>
          <t>J1. Meals Tim</t>
        </is>
      </c>
      <c r="D493" s="11" t="inlineStr">
        <is>
          <t>AMDK (Air Mineral)</t>
        </is>
      </c>
      <c r="E493" s="11" t="inlineStr">
        <is>
          <t>krtn</t>
        </is>
      </c>
      <c r="F493" s="11" t="inlineStr">
        <is>
          <t>event</t>
        </is>
      </c>
      <c r="G493" s="8" t="n">
        <v>40000</v>
      </c>
      <c r="H493" s="8" t="n">
        <v>55000</v>
      </c>
      <c r="I493" s="12" t="inlineStr">
        <is>
          <t>per karton / dus</t>
        </is>
      </c>
    </row>
    <row r="494">
      <c r="A494" s="6" t="n">
        <v>7</v>
      </c>
      <c r="B494" s="7" t="inlineStr">
        <is>
          <t>J. F&amp;B &amp; KONSUMSI</t>
        </is>
      </c>
      <c r="C494" s="7" t="inlineStr">
        <is>
          <t>J1. Meals Tim</t>
        </is>
      </c>
      <c r="D494" s="7" t="inlineStr">
        <is>
          <t>AMDK Gelas</t>
        </is>
      </c>
      <c r="E494" s="7" t="inlineStr">
        <is>
          <t>dus</t>
        </is>
      </c>
      <c r="F494" s="7" t="inlineStr">
        <is>
          <t>event</t>
        </is>
      </c>
      <c r="G494" s="8" t="n">
        <v>50000</v>
      </c>
      <c r="H494" s="8" t="n">
        <v>65000</v>
      </c>
      <c r="I494" s="9" t="inlineStr">
        <is>
          <t>per dus</t>
        </is>
      </c>
    </row>
    <row r="495">
      <c r="A495" s="5" t="inlineStr">
        <is>
          <t xml:space="preserve">  J2. Catering Peserta / VIP</t>
        </is>
      </c>
    </row>
    <row r="496">
      <c r="A496" s="6" t="n">
        <v>1</v>
      </c>
      <c r="B496" s="7" t="inlineStr">
        <is>
          <t>J. F&amp;B &amp; KONSUMSI</t>
        </is>
      </c>
      <c r="C496" s="7" t="inlineStr">
        <is>
          <t>J2. Catering Peserta / VIP</t>
        </is>
      </c>
      <c r="D496" s="7" t="inlineStr">
        <is>
          <t>Buffet Dinner (Hotel)</t>
        </is>
      </c>
      <c r="E496" s="7" t="inlineStr">
        <is>
          <t>prsn</t>
        </is>
      </c>
      <c r="F496" s="7" t="inlineStr">
        <is>
          <t>time</t>
        </is>
      </c>
      <c r="G496" s="8" t="n">
        <v>250000</v>
      </c>
      <c r="H496" s="8" t="n">
        <v>350000</v>
      </c>
      <c r="I496" s="9" t="inlineStr"/>
    </row>
    <row r="497">
      <c r="A497" s="10" t="n">
        <v>2</v>
      </c>
      <c r="B497" s="11" t="inlineStr">
        <is>
          <t>J. F&amp;B &amp; KONSUMSI</t>
        </is>
      </c>
      <c r="C497" s="11" t="inlineStr">
        <is>
          <t>J2. Catering Peserta / VIP</t>
        </is>
      </c>
      <c r="D497" s="11" t="inlineStr">
        <is>
          <t>Buffet VIP</t>
        </is>
      </c>
      <c r="E497" s="11" t="inlineStr">
        <is>
          <t>prsn</t>
        </is>
      </c>
      <c r="F497" s="11" t="inlineStr">
        <is>
          <t>time</t>
        </is>
      </c>
      <c r="G497" s="8" t="n">
        <v>200000</v>
      </c>
      <c r="H497" s="8" t="n">
        <v>300000</v>
      </c>
      <c r="I497" s="12" t="inlineStr"/>
    </row>
    <row r="498">
      <c r="A498" s="6" t="n">
        <v>3</v>
      </c>
      <c r="B498" s="7" t="inlineStr">
        <is>
          <t>J. F&amp;B &amp; KONSUMSI</t>
        </is>
      </c>
      <c r="C498" s="7" t="inlineStr">
        <is>
          <t>J2. Catering Peserta / VIP</t>
        </is>
      </c>
      <c r="D498" s="7" t="inlineStr">
        <is>
          <t>Buffet VVIP</t>
        </is>
      </c>
      <c r="E498" s="7" t="inlineStr">
        <is>
          <t>prsn</t>
        </is>
      </c>
      <c r="F498" s="7" t="inlineStr">
        <is>
          <t>time</t>
        </is>
      </c>
      <c r="G498" s="8" t="n">
        <v>250000</v>
      </c>
      <c r="H498" s="8" t="n">
        <v>400000</v>
      </c>
      <c r="I498" s="9" t="inlineStr">
        <is>
          <t>min. 50 pax</t>
        </is>
      </c>
    </row>
    <row r="499">
      <c r="A499" s="10" t="n">
        <v>4</v>
      </c>
      <c r="B499" s="11" t="inlineStr">
        <is>
          <t>J. F&amp;B &amp; KONSUMSI</t>
        </is>
      </c>
      <c r="C499" s="11" t="inlineStr">
        <is>
          <t>J2. Catering Peserta / VIP</t>
        </is>
      </c>
      <c r="D499" s="11" t="inlineStr">
        <is>
          <t>Makan Malam Peserta</t>
        </is>
      </c>
      <c r="E499" s="11" t="inlineStr">
        <is>
          <t>prsn</t>
        </is>
      </c>
      <c r="F499" s="11" t="inlineStr">
        <is>
          <t>time</t>
        </is>
      </c>
      <c r="G499" s="8" t="n">
        <v>85000</v>
      </c>
      <c r="H499" s="8" t="n">
        <v>120000</v>
      </c>
      <c r="I499" s="12" t="inlineStr">
        <is>
          <t>per pax</t>
        </is>
      </c>
    </row>
    <row r="500">
      <c r="A500" s="6" t="n">
        <v>5</v>
      </c>
      <c r="B500" s="7" t="inlineStr">
        <is>
          <t>J. F&amp;B &amp; KONSUMSI</t>
        </is>
      </c>
      <c r="C500" s="7" t="inlineStr">
        <is>
          <t>J2. Catering Peserta / VIP</t>
        </is>
      </c>
      <c r="D500" s="7" t="inlineStr">
        <is>
          <t>Paket Buffet per pax (Additional)</t>
        </is>
      </c>
      <c r="E500" s="7" t="inlineStr">
        <is>
          <t>prsn</t>
        </is>
      </c>
      <c r="F500" s="7" t="inlineStr">
        <is>
          <t>time</t>
        </is>
      </c>
      <c r="G500" s="8" t="n">
        <v>198000</v>
      </c>
      <c r="H500" s="8" t="n">
        <v>250000</v>
      </c>
      <c r="I500" s="9" t="inlineStr"/>
    </row>
    <row r="501">
      <c r="A501" s="10" t="n">
        <v>6</v>
      </c>
      <c r="B501" s="11" t="inlineStr">
        <is>
          <t>J. F&amp;B &amp; KONSUMSI</t>
        </is>
      </c>
      <c r="C501" s="11" t="inlineStr">
        <is>
          <t>J2. Catering Peserta / VIP</t>
        </is>
      </c>
      <c r="D501" s="11" t="inlineStr">
        <is>
          <t>Lunch Box / Nasi Box</t>
        </is>
      </c>
      <c r="E501" s="11" t="inlineStr">
        <is>
          <t>prsn</t>
        </is>
      </c>
      <c r="F501" s="11" t="inlineStr">
        <is>
          <t>time</t>
        </is>
      </c>
      <c r="G501" s="8" t="n">
        <v>30000</v>
      </c>
      <c r="H501" s="8" t="n">
        <v>50000</v>
      </c>
      <c r="I501" s="12" t="inlineStr"/>
    </row>
    <row r="502">
      <c r="A502" s="6" t="n">
        <v>7</v>
      </c>
      <c r="B502" s="23" t="n"/>
      <c r="C502" s="23" t="n"/>
      <c r="D502" s="23" t="n"/>
      <c r="E502" s="23" t="n"/>
      <c r="F502" s="23" t="n"/>
      <c r="G502" s="23" t="n"/>
      <c r="H502" s="23" t="n"/>
      <c r="I502" s="24" t="n"/>
    </row>
    <row r="503">
      <c r="A503" s="5" t="inlineStr">
        <is>
          <t xml:space="preserve">  J3. Amenities &amp; Supplies</t>
        </is>
      </c>
    </row>
    <row r="504">
      <c r="A504" s="6" t="n">
        <v>1</v>
      </c>
      <c r="B504" s="7" t="inlineStr">
        <is>
          <t>J. F&amp;B &amp; KONSUMSI</t>
        </is>
      </c>
      <c r="C504" s="7" t="inlineStr">
        <is>
          <t>J3. Amenities &amp; Supplies</t>
        </is>
      </c>
      <c r="D504" s="7" t="inlineStr">
        <is>
          <t>Amenities (paket)</t>
        </is>
      </c>
      <c r="E504" s="7" t="inlineStr">
        <is>
          <t>pckg</t>
        </is>
      </c>
      <c r="F504" s="7" t="inlineStr">
        <is>
          <t>event</t>
        </is>
      </c>
      <c r="G504" s="8" t="n"/>
      <c r="H504" s="8" t="n"/>
      <c r="I504" s="9" t="inlineStr"/>
    </row>
    <row r="505">
      <c r="A505" s="10" t="n">
        <v>2</v>
      </c>
      <c r="B505" s="11" t="inlineStr">
        <is>
          <t>J. F&amp;B &amp; KONSUMSI</t>
        </is>
      </c>
      <c r="C505" s="11" t="inlineStr">
        <is>
          <t>J3. Amenities &amp; Supplies</t>
        </is>
      </c>
      <c r="D505" s="11" t="inlineStr">
        <is>
          <t>Tissue Kering / Basah</t>
        </is>
      </c>
      <c r="E505" s="11" t="inlineStr">
        <is>
          <t>pcs</t>
        </is>
      </c>
      <c r="F505" s="11" t="inlineStr">
        <is>
          <t>event</t>
        </is>
      </c>
      <c r="G505" s="8" t="n"/>
      <c r="H505" s="8" t="n"/>
      <c r="I505" s="12" t="inlineStr"/>
    </row>
    <row r="506">
      <c r="A506" s="6" t="n">
        <v>3</v>
      </c>
      <c r="B506" s="7" t="inlineStr">
        <is>
          <t>J. F&amp;B &amp; KONSUMSI</t>
        </is>
      </c>
      <c r="C506" s="7" t="inlineStr">
        <is>
          <t>J3. Amenities &amp; Supplies</t>
        </is>
      </c>
      <c r="D506" s="7" t="inlineStr">
        <is>
          <t>Sabun Cuci Tangan</t>
        </is>
      </c>
      <c r="E506" s="7" t="inlineStr">
        <is>
          <t>pcs</t>
        </is>
      </c>
      <c r="F506" s="7" t="inlineStr">
        <is>
          <t>event</t>
        </is>
      </c>
      <c r="G506" s="8" t="n"/>
      <c r="H506" s="8" t="n"/>
      <c r="I506" s="9" t="inlineStr"/>
    </row>
    <row r="507">
      <c r="A507" s="10" t="n">
        <v>4</v>
      </c>
      <c r="B507" s="11" t="inlineStr">
        <is>
          <t>J. F&amp;B &amp; KONSUMSI</t>
        </is>
      </c>
      <c r="C507" s="11" t="inlineStr">
        <is>
          <t>J3. Amenities &amp; Supplies</t>
        </is>
      </c>
      <c r="D507" s="11" t="inlineStr">
        <is>
          <t>Jas Hujan</t>
        </is>
      </c>
      <c r="E507" s="11" t="inlineStr">
        <is>
          <t>pcs</t>
        </is>
      </c>
      <c r="F507" s="11" t="inlineStr">
        <is>
          <t>event</t>
        </is>
      </c>
      <c r="G507" s="8" t="n">
        <v>12000</v>
      </c>
      <c r="H507" s="8" t="n">
        <v>20000</v>
      </c>
      <c r="I507" s="12" t="inlineStr">
        <is>
          <t>Outdoor</t>
        </is>
      </c>
    </row>
    <row r="508">
      <c r="A508" s="6" t="n">
        <v>5</v>
      </c>
      <c r="B508" s="7" t="inlineStr">
        <is>
          <t>J. F&amp;B &amp; KONSUMSI</t>
        </is>
      </c>
      <c r="C508" s="7" t="inlineStr">
        <is>
          <t>J3. Amenities &amp; Supplies</t>
        </is>
      </c>
      <c r="D508" s="7" t="inlineStr">
        <is>
          <t>Trashbag</t>
        </is>
      </c>
      <c r="E508" s="7" t="inlineStr">
        <is>
          <t>krtn</t>
        </is>
      </c>
      <c r="F508" s="7" t="inlineStr">
        <is>
          <t>event</t>
        </is>
      </c>
      <c r="G508" s="8" t="n">
        <v>85000</v>
      </c>
      <c r="H508" s="8" t="n">
        <v>120000</v>
      </c>
      <c r="I508" s="9" t="inlineStr">
        <is>
          <t>per karton</t>
        </is>
      </c>
    </row>
    <row r="509"/>
    <row r="510" ht="16" customHeight="1">
      <c r="A510" s="5" t="inlineStr">
        <is>
          <t xml:space="preserve">  J4. F&amp;B Khusus &amp; Catering Event</t>
        </is>
      </c>
    </row>
    <row r="511" ht="15" customHeight="1">
      <c r="A511" s="6" t="n">
        <v>1</v>
      </c>
      <c r="B511" s="7" t="inlineStr">
        <is>
          <t>J. F&amp;B &amp; KONSUMSI</t>
        </is>
      </c>
      <c r="C511" s="7" t="inlineStr">
        <is>
          <t>J4. F&amp;B Khusus &amp; Catering Event</t>
        </is>
      </c>
      <c r="D511" s="7" t="inlineStr">
        <is>
          <t>Barbeque / Bakar-bakaran</t>
        </is>
      </c>
      <c r="E511" s="7" t="inlineStr">
        <is>
          <t>prsn</t>
        </is>
      </c>
      <c r="F511" s="7" t="inlineStr">
        <is>
          <t>time</t>
        </is>
      </c>
      <c r="G511" s="8" t="n">
        <v>50000</v>
      </c>
      <c r="H511" s="8" t="n">
        <v>85000</v>
      </c>
      <c r="I511" s="9" t="inlineStr">
        <is>
          <t>per pax — Camping/outdoor event</t>
        </is>
      </c>
    </row>
    <row r="512" ht="15" customHeight="1">
      <c r="A512" s="10" t="n">
        <v>2</v>
      </c>
      <c r="B512" s="11" t="inlineStr">
        <is>
          <t>J. F&amp;B &amp; KONSUMSI</t>
        </is>
      </c>
      <c r="C512" s="11" t="inlineStr">
        <is>
          <t>J4. F&amp;B Khusus &amp; Catering Event</t>
        </is>
      </c>
      <c r="D512" s="11" t="inlineStr">
        <is>
          <t>Breakfast</t>
        </is>
      </c>
      <c r="E512" s="11" t="inlineStr">
        <is>
          <t>prsn</t>
        </is>
      </c>
      <c r="F512" s="11" t="inlineStr">
        <is>
          <t>time</t>
        </is>
      </c>
      <c r="G512" s="8" t="n">
        <v>35000</v>
      </c>
      <c r="H512" s="8" t="n">
        <v>65000</v>
      </c>
      <c r="I512" s="12" t="inlineStr">
        <is>
          <t>per pax</t>
        </is>
      </c>
    </row>
    <row r="513" ht="15" customHeight="1">
      <c r="A513" s="6" t="n">
        <v>3</v>
      </c>
      <c r="B513" s="7" t="inlineStr">
        <is>
          <t>J. F&amp;B &amp; KONSUMSI</t>
        </is>
      </c>
      <c r="C513" s="7" t="inlineStr">
        <is>
          <t>J4. F&amp;B Khusus &amp; Catering Event</t>
        </is>
      </c>
      <c r="D513" s="7" t="inlineStr">
        <is>
          <t>Dinner (full)</t>
        </is>
      </c>
      <c r="E513" s="7" t="inlineStr">
        <is>
          <t>prsn</t>
        </is>
      </c>
      <c r="F513" s="7" t="inlineStr">
        <is>
          <t>time</t>
        </is>
      </c>
      <c r="G513" s="8" t="n">
        <v>40000</v>
      </c>
      <c r="H513" s="8" t="n">
        <v>75000</v>
      </c>
      <c r="I513" s="9" t="inlineStr">
        <is>
          <t>per pax</t>
        </is>
      </c>
    </row>
    <row r="514" ht="15" customHeight="1">
      <c r="A514" s="10" t="n">
        <v>4</v>
      </c>
      <c r="B514" s="11" t="inlineStr">
        <is>
          <t>J. F&amp;B &amp; KONSUMSI</t>
        </is>
      </c>
      <c r="C514" s="11" t="inlineStr">
        <is>
          <t>J4. F&amp;B Khusus &amp; Catering Event</t>
        </is>
      </c>
      <c r="D514" s="11" t="inlineStr">
        <is>
          <t>Bensin / BBM Operasional</t>
        </is>
      </c>
      <c r="E514" s="11" t="inlineStr">
        <is>
          <t>ltr</t>
        </is>
      </c>
      <c r="F514" s="11" t="inlineStr">
        <is>
          <t>event</t>
        </is>
      </c>
      <c r="G514" s="8" t="n">
        <v>9650</v>
      </c>
      <c r="H514" s="8" t="n">
        <v>12000</v>
      </c>
      <c r="I514" s="12" t="inlineStr">
        <is>
          <t>per liter — Race/motor event</t>
        </is>
      </c>
    </row>
    <row r="515" ht="15" customHeight="1">
      <c r="A515" s="6" t="n">
        <v>5</v>
      </c>
      <c r="B515" s="7" t="inlineStr">
        <is>
          <t>J. F&amp;B &amp; KONSUMSI</t>
        </is>
      </c>
      <c r="C515" s="7" t="inlineStr">
        <is>
          <t>J4. F&amp;B Khusus &amp; Catering Event</t>
        </is>
      </c>
      <c r="D515" s="7" t="inlineStr">
        <is>
          <t>Food Truck Sewa</t>
        </is>
      </c>
      <c r="E515" s="7" t="inlineStr">
        <is>
          <t>unit</t>
        </is>
      </c>
      <c r="F515" s="7" t="inlineStr">
        <is>
          <t>day</t>
        </is>
      </c>
      <c r="G515" s="8" t="n">
        <v>3000000</v>
      </c>
      <c r="H515" s="8" t="n">
        <v>5000000</v>
      </c>
      <c r="I515" s="9" t="inlineStr">
        <is>
          <t>per unit per hari, incl. operator</t>
        </is>
      </c>
    </row>
    <row r="516" ht="15" customHeight="1">
      <c r="A516" s="10" t="n">
        <v>6</v>
      </c>
      <c r="B516" s="11" t="inlineStr">
        <is>
          <t>J. F&amp;B &amp; KONSUMSI</t>
        </is>
      </c>
      <c r="C516" s="11" t="inlineStr">
        <is>
          <t>J4. F&amp;B Khusus &amp; Catering Event</t>
        </is>
      </c>
      <c r="D516" s="11" t="inlineStr">
        <is>
          <t>Tenant F&amp;B External</t>
        </is>
      </c>
      <c r="E516" s="11" t="inlineStr">
        <is>
          <t>unit</t>
        </is>
      </c>
      <c r="F516" s="11" t="inlineStr">
        <is>
          <t>day</t>
        </is>
      </c>
      <c r="G516" s="8" t="n">
        <v>1500000</v>
      </c>
      <c r="H516" s="8" t="n">
        <v>2500000</v>
      </c>
      <c r="I516" s="12" t="inlineStr">
        <is>
          <t>per booth per hari, revenue share/flat</t>
        </is>
      </c>
    </row>
    <row r="517">
      <c r="A517" s="22" t="inlineStr">
        <is>
          <t>K. OPERATIONAL &amp; MISCELLANEOUS</t>
        </is>
      </c>
    </row>
    <row r="518">
      <c r="A518" s="5" t="inlineStr">
        <is>
          <t xml:space="preserve">  K1. ATK &amp; Operasional</t>
        </is>
      </c>
    </row>
    <row r="519">
      <c r="A519" s="6" t="n">
        <v>1</v>
      </c>
      <c r="B519" s="7" t="inlineStr">
        <is>
          <t>K. OPERATIONAL &amp; MISCELLANEOUS</t>
        </is>
      </c>
      <c r="C519" s="7" t="inlineStr">
        <is>
          <t>K1. ATK &amp; Operasional</t>
        </is>
      </c>
      <c r="D519" s="7" t="inlineStr">
        <is>
          <t>ATK &amp; Stationeries</t>
        </is>
      </c>
      <c r="E519" s="7" t="inlineStr">
        <is>
          <t>pckg</t>
        </is>
      </c>
      <c r="F519" s="7" t="inlineStr">
        <is>
          <t>event</t>
        </is>
      </c>
      <c r="G519" s="8" t="n">
        <v>1500000</v>
      </c>
      <c r="H519" s="8" t="n">
        <v>2500000</v>
      </c>
      <c r="I519" s="9" t="inlineStr">
        <is>
          <t>paket</t>
        </is>
      </c>
    </row>
    <row r="520">
      <c r="A520" s="10" t="n">
        <v>2</v>
      </c>
      <c r="B520" s="11" t="inlineStr">
        <is>
          <t>K. OPERATIONAL &amp; MISCELLANEOUS</t>
        </is>
      </c>
      <c r="C520" s="11" t="inlineStr">
        <is>
          <t>K1. ATK &amp; Operasional</t>
        </is>
      </c>
      <c r="D520" s="11" t="inlineStr">
        <is>
          <t>Laptop</t>
        </is>
      </c>
      <c r="E520" s="11" t="inlineStr">
        <is>
          <t>unit</t>
        </is>
      </c>
      <c r="F520" s="11" t="inlineStr">
        <is>
          <t>day</t>
        </is>
      </c>
      <c r="G520" s="8" t="n">
        <v>550000</v>
      </c>
      <c r="H520" s="8" t="n">
        <v>700000</v>
      </c>
      <c r="I520" s="12" t="inlineStr">
        <is>
          <t>per unit per hari</t>
        </is>
      </c>
    </row>
    <row r="521">
      <c r="A521" s="6" t="n">
        <v>3</v>
      </c>
      <c r="B521" s="7" t="inlineStr">
        <is>
          <t>K. OPERATIONAL &amp; MISCELLANEOUS</t>
        </is>
      </c>
      <c r="C521" s="7" t="inlineStr">
        <is>
          <t>K1. ATK &amp; Operasional</t>
        </is>
      </c>
      <c r="D521" s="7" t="inlineStr">
        <is>
          <t>Printer</t>
        </is>
      </c>
      <c r="E521" s="7" t="inlineStr">
        <is>
          <t>unit</t>
        </is>
      </c>
      <c r="F521" s="7" t="inlineStr">
        <is>
          <t>day</t>
        </is>
      </c>
      <c r="G521" s="8" t="n">
        <v>650000</v>
      </c>
      <c r="H521" s="8" t="n">
        <v>800000</v>
      </c>
      <c r="I521" s="9" t="inlineStr">
        <is>
          <t>per unit per hari</t>
        </is>
      </c>
    </row>
    <row r="522">
      <c r="A522" s="10" t="n">
        <v>4</v>
      </c>
      <c r="B522" s="11" t="inlineStr">
        <is>
          <t>K. OPERATIONAL &amp; MISCELLANEOUS</t>
        </is>
      </c>
      <c r="C522" s="11" t="inlineStr">
        <is>
          <t>K1. ATK &amp; Operasional</t>
        </is>
      </c>
      <c r="D522" s="11" t="inlineStr">
        <is>
          <t>Per Diem Tim</t>
        </is>
      </c>
      <c r="E522" s="11" t="inlineStr">
        <is>
          <t>prsn</t>
        </is>
      </c>
      <c r="F522" s="11" t="inlineStr">
        <is>
          <t>day</t>
        </is>
      </c>
      <c r="G522" s="8" t="n">
        <v>150000</v>
      </c>
      <c r="H522" s="8" t="n">
        <v>250000</v>
      </c>
      <c r="I522" s="12" t="inlineStr">
        <is>
          <t>per orang per hari</t>
        </is>
      </c>
    </row>
    <row r="523">
      <c r="A523" s="6" t="n">
        <v>5</v>
      </c>
      <c r="B523" s="7" t="inlineStr">
        <is>
          <t>K. OPERATIONAL &amp; MISCELLANEOUS</t>
        </is>
      </c>
      <c r="C523" s="7" t="inlineStr">
        <is>
          <t>K1. ATK &amp; Operasional</t>
        </is>
      </c>
      <c r="D523" s="7" t="inlineStr">
        <is>
          <t>Cover Cue Card</t>
        </is>
      </c>
      <c r="E523" s="7" t="inlineStr">
        <is>
          <t>pcs</t>
        </is>
      </c>
      <c r="F523" s="7" t="inlineStr">
        <is>
          <t>event</t>
        </is>
      </c>
      <c r="G523" s="8" t="n">
        <v>27000</v>
      </c>
      <c r="H523" s="8" t="n">
        <v>35000</v>
      </c>
      <c r="I523" s="9" t="inlineStr"/>
    </row>
    <row r="524">
      <c r="A524" s="10" t="n">
        <v>6</v>
      </c>
      <c r="B524" s="11" t="inlineStr">
        <is>
          <t>K. OPERATIONAL &amp; MISCELLANEOUS</t>
        </is>
      </c>
      <c r="C524" s="11" t="inlineStr">
        <is>
          <t>K1. ATK &amp; Operasional</t>
        </is>
      </c>
      <c r="D524" s="11" t="inlineStr">
        <is>
          <t>Standing Signage A3</t>
        </is>
      </c>
      <c r="E524" s="11" t="inlineStr">
        <is>
          <t>unit</t>
        </is>
      </c>
      <c r="F524" s="11" t="inlineStr">
        <is>
          <t>day</t>
        </is>
      </c>
      <c r="G524" s="8" t="n">
        <v>350000</v>
      </c>
      <c r="H524" s="8" t="n">
        <v>500000</v>
      </c>
      <c r="I524" s="12" t="inlineStr">
        <is>
          <t>rental</t>
        </is>
      </c>
    </row>
    <row r="525">
      <c r="A525" s="5" t="inlineStr">
        <is>
          <t xml:space="preserve">  K2. ASF &amp; Fee Manajemen</t>
        </is>
      </c>
    </row>
    <row r="526">
      <c r="A526" s="6" t="n">
        <v>1</v>
      </c>
      <c r="B526" s="7" t="inlineStr">
        <is>
          <t>K. OPERATIONAL &amp; MISCELLANEOUS</t>
        </is>
      </c>
      <c r="C526" s="7" t="inlineStr">
        <is>
          <t>K2. ASF &amp; Fee Manajemen</t>
        </is>
      </c>
      <c r="D526" s="7" t="inlineStr">
        <is>
          <t>Agency Service Fee (ASF) EO</t>
        </is>
      </c>
      <c r="E526" s="7" t="inlineStr">
        <is>
          <t>%</t>
        </is>
      </c>
      <c r="F526" s="7" t="inlineStr">
        <is>
          <t>event</t>
        </is>
      </c>
      <c r="G526" s="8" t="n">
        <v>10</v>
      </c>
      <c r="H526" s="8" t="n">
        <v>10</v>
      </c>
      <c r="I526" s="9" t="inlineStr">
        <is>
          <t>10% dari subtotal</t>
        </is>
      </c>
    </row>
    <row r="527">
      <c r="A527" s="10" t="n">
        <v>2</v>
      </c>
      <c r="B527" s="11" t="inlineStr">
        <is>
          <t>K. OPERATIONAL &amp; MISCELLANEOUS</t>
        </is>
      </c>
      <c r="C527" s="11" t="inlineStr">
        <is>
          <t>K2. ASF &amp; Fee Manajemen</t>
        </is>
      </c>
      <c r="D527" s="11" t="inlineStr">
        <is>
          <t>Agency Service Fee (ASF) AFM</t>
        </is>
      </c>
      <c r="E527" s="11" t="inlineStr">
        <is>
          <t>%</t>
        </is>
      </c>
      <c r="F527" s="11" t="inlineStr">
        <is>
          <t>event</t>
        </is>
      </c>
      <c r="G527" s="8" t="n">
        <v>5</v>
      </c>
      <c r="H527" s="8" t="n">
        <v>5</v>
      </c>
      <c r="I527" s="12" t="inlineStr">
        <is>
          <t>5% dari subtotal</t>
        </is>
      </c>
    </row>
    <row r="528">
      <c r="A528" s="6" t="n">
        <v>3</v>
      </c>
      <c r="B528" s="7" t="inlineStr">
        <is>
          <t>K. OPERATIONAL &amp; MISCELLANEOUS</t>
        </is>
      </c>
      <c r="C528" s="7" t="inlineStr">
        <is>
          <t>K2. ASF &amp; Fee Manajemen</t>
        </is>
      </c>
      <c r="D528" s="7" t="inlineStr">
        <is>
          <t>Management Fee Vendor</t>
        </is>
      </c>
      <c r="E528" s="7" t="inlineStr">
        <is>
          <t>%</t>
        </is>
      </c>
      <c r="F528" s="7" t="inlineStr">
        <is>
          <t>event</t>
        </is>
      </c>
      <c r="G528" s="8" t="n">
        <v>10</v>
      </c>
      <c r="H528" s="8" t="n">
        <v>10</v>
      </c>
      <c r="I528" s="9" t="inlineStr">
        <is>
          <t>10% dari sub total vendor</t>
        </is>
      </c>
    </row>
    <row r="529">
      <c r="A529" s="10" t="n">
        <v>4</v>
      </c>
      <c r="B529" s="11" t="inlineStr">
        <is>
          <t>K. OPERATIONAL &amp; MISCELLANEOUS</t>
        </is>
      </c>
      <c r="C529" s="11" t="inlineStr">
        <is>
          <t>K2. ASF &amp; Fee Manajemen</t>
        </is>
      </c>
      <c r="D529" s="11" t="inlineStr">
        <is>
          <t>PPN 12%</t>
        </is>
      </c>
      <c r="E529" s="11" t="inlineStr">
        <is>
          <t xml:space="preserve">% </t>
        </is>
      </c>
      <c r="F529" s="11" t="inlineStr">
        <is>
          <t>event</t>
        </is>
      </c>
      <c r="G529" s="8" t="n">
        <v>12</v>
      </c>
      <c r="H529" s="8" t="n">
        <v>12</v>
      </c>
      <c r="I529" s="12" t="inlineStr">
        <is>
          <t>tarif berlaku Apr 2022+</t>
        </is>
      </c>
    </row>
    <row r="530">
      <c r="A530" s="5" t="inlineStr">
        <is>
          <t xml:space="preserve">  K3. Festival &amp; Activation Ops</t>
        </is>
      </c>
    </row>
    <row r="531">
      <c r="A531" s="6" t="n">
        <v>1</v>
      </c>
      <c r="B531" s="7" t="inlineStr">
        <is>
          <t>K. OPERATIONAL &amp; MISCELLANEOUS</t>
        </is>
      </c>
      <c r="C531" s="7" t="inlineStr">
        <is>
          <t>K3. Festival &amp; Activation Ops</t>
        </is>
      </c>
      <c r="D531" s="7" t="inlineStr">
        <is>
          <t>Sampling Produk</t>
        </is>
      </c>
      <c r="E531" s="7" t="inlineStr">
        <is>
          <t>pckg</t>
        </is>
      </c>
      <c r="F531" s="7" t="inlineStr">
        <is>
          <t>event</t>
        </is>
      </c>
      <c r="G531" s="8" t="n"/>
      <c r="H531" s="8" t="n"/>
      <c r="I531" s="9" t="inlineStr">
        <is>
          <t>per paket, isi sesuai brief klien — By client/sponsor</t>
        </is>
      </c>
    </row>
    <row r="532">
      <c r="A532" s="10" t="n">
        <v>2</v>
      </c>
      <c r="B532" s="11" t="inlineStr">
        <is>
          <t>K. OPERATIONAL &amp; MISCELLANEOUS</t>
        </is>
      </c>
      <c r="C532" s="11" t="inlineStr">
        <is>
          <t>K3. Festival &amp; Activation Ops</t>
        </is>
      </c>
      <c r="D532" s="11" t="inlineStr">
        <is>
          <t>POSM / Props Activation</t>
        </is>
      </c>
      <c r="E532" s="11" t="inlineStr">
        <is>
          <t>pckg</t>
        </is>
      </c>
      <c r="F532" s="11" t="inlineStr">
        <is>
          <t>event</t>
        </is>
      </c>
      <c r="G532" s="8" t="n"/>
      <c r="H532" s="8" t="n"/>
      <c r="I532" s="12" t="inlineStr">
        <is>
          <t>per paket, isi sesuai brief klien — By client/sponsor</t>
        </is>
      </c>
    </row>
    <row r="533">
      <c r="A533" s="6" t="n">
        <v>3</v>
      </c>
      <c r="B533" s="7" t="inlineStr">
        <is>
          <t>K. OPERATIONAL &amp; MISCELLANEOUS</t>
        </is>
      </c>
      <c r="C533" s="7" t="inlineStr">
        <is>
          <t>K3. Festival &amp; Activation Ops</t>
        </is>
      </c>
      <c r="D533" s="7" t="inlineStr">
        <is>
          <t>Goodie Bag Sponsor</t>
        </is>
      </c>
      <c r="E533" s="7" t="inlineStr">
        <is>
          <t>pcs</t>
        </is>
      </c>
      <c r="F533" s="7" t="inlineStr">
        <is>
          <t>event</t>
        </is>
      </c>
      <c r="G533" s="8" t="n">
        <v>40000</v>
      </c>
      <c r="H533" s="8" t="n">
        <v>80000</v>
      </c>
      <c r="I533" s="9" t="inlineStr">
        <is>
          <t>per pcs, isi oleh sponsor</t>
        </is>
      </c>
    </row>
    <row r="534">
      <c r="A534" s="10" t="n">
        <v>4</v>
      </c>
      <c r="B534" s="11" t="inlineStr">
        <is>
          <t>K. OPERATIONAL &amp; MISCELLANEOUS</t>
        </is>
      </c>
      <c r="C534" s="11" t="inlineStr">
        <is>
          <t>K3. Festival &amp; Activation Ops</t>
        </is>
      </c>
      <c r="D534" s="11" t="inlineStr">
        <is>
          <t>Kantong Plastik Branding</t>
        </is>
      </c>
      <c r="E534" s="11" t="inlineStr">
        <is>
          <t>pack</t>
        </is>
      </c>
      <c r="F534" s="11" t="inlineStr">
        <is>
          <t>event</t>
        </is>
      </c>
      <c r="G534" s="8" t="n">
        <v>17500</v>
      </c>
      <c r="H534" s="8" t="n">
        <v>30000</v>
      </c>
      <c r="I534" s="12" t="inlineStr">
        <is>
          <t>per pack isi ±100pcs</t>
        </is>
      </c>
    </row>
    <row r="535">
      <c r="A535" s="6" t="n">
        <v>5</v>
      </c>
      <c r="B535" s="7" t="inlineStr">
        <is>
          <t>K. OPERATIONAL &amp; MISCELLANEOUS</t>
        </is>
      </c>
      <c r="C535" s="7" t="inlineStr">
        <is>
          <t>K3. Festival &amp; Activation Ops</t>
        </is>
      </c>
      <c r="D535" s="7" t="inlineStr">
        <is>
          <t>Stiker / Voucher Event</t>
        </is>
      </c>
      <c r="E535" s="7" t="inlineStr">
        <is>
          <t>pack</t>
        </is>
      </c>
      <c r="F535" s="7" t="inlineStr">
        <is>
          <t>event</t>
        </is>
      </c>
      <c r="G535" s="8" t="n">
        <v>50000</v>
      </c>
      <c r="H535" s="8" t="n">
        <v>100000</v>
      </c>
      <c r="I535" s="9" t="inlineStr">
        <is>
          <t>per pack cetak</t>
        </is>
      </c>
    </row>
    <row r="536" ht="16" customHeight="1">
      <c r="A536" s="5" t="inlineStr">
        <is>
          <t xml:space="preserve">  K4. Event Olahraga &amp; Multi-kota Ops</t>
        </is>
      </c>
    </row>
    <row r="537" ht="15" customHeight="1">
      <c r="A537" s="6" t="n">
        <v>1</v>
      </c>
      <c r="B537" s="7" t="inlineStr">
        <is>
          <t>K. OPERATIONAL &amp; MISCELLANEOUS</t>
        </is>
      </c>
      <c r="C537" s="7" t="inlineStr">
        <is>
          <t>K4. Event Olahraga &amp; Multi-kota Ops</t>
        </is>
      </c>
      <c r="D537" s="7" t="inlineStr">
        <is>
          <t>Certificate of Honour</t>
        </is>
      </c>
      <c r="E537" s="7" t="inlineStr">
        <is>
          <t>pcs</t>
        </is>
      </c>
      <c r="F537" s="7" t="inlineStr">
        <is>
          <t>event</t>
        </is>
      </c>
      <c r="G537" s="8" t="n">
        <v>15000</v>
      </c>
      <c r="H537" s="8" t="n">
        <v>25000</v>
      </c>
      <c r="I537" s="9" t="inlineStr">
        <is>
          <t>artcarton laminasi, per pcs</t>
        </is>
      </c>
    </row>
    <row r="538" ht="15" customHeight="1">
      <c r="A538" s="10" t="n">
        <v>2</v>
      </c>
      <c r="B538" s="11" t="inlineStr">
        <is>
          <t>K. OPERATIONAL &amp; MISCELLANEOUS</t>
        </is>
      </c>
      <c r="C538" s="11" t="inlineStr">
        <is>
          <t>K4. Event Olahraga &amp; Multi-kota Ops</t>
        </is>
      </c>
      <c r="D538" s="11" t="inlineStr">
        <is>
          <t>Golden Ticket / Special Pass</t>
        </is>
      </c>
      <c r="E538" s="11" t="inlineStr">
        <is>
          <t>pcs</t>
        </is>
      </c>
      <c r="F538" s="11" t="inlineStr">
        <is>
          <t>event</t>
        </is>
      </c>
      <c r="G538" s="8" t="n">
        <v>250000</v>
      </c>
      <c r="H538" s="8" t="n">
        <v>500000</v>
      </c>
      <c r="I538" s="12" t="inlineStr">
        <is>
          <t>per pcs cetak premium</t>
        </is>
      </c>
    </row>
    <row r="539" ht="15" customHeight="1">
      <c r="A539" s="6" t="n">
        <v>3</v>
      </c>
      <c r="B539" s="7" t="inlineStr">
        <is>
          <t>K. OPERATIONAL &amp; MISCELLANEOUS</t>
        </is>
      </c>
      <c r="C539" s="7" t="inlineStr">
        <is>
          <t>K4. Event Olahraga &amp; Multi-kota Ops</t>
        </is>
      </c>
      <c r="D539" s="7" t="inlineStr">
        <is>
          <t>Ijin IMI / Federasi Olahraga</t>
        </is>
      </c>
      <c r="E539" s="7" t="inlineStr">
        <is>
          <t>pckg</t>
        </is>
      </c>
      <c r="F539" s="7" t="inlineStr">
        <is>
          <t>event</t>
        </is>
      </c>
      <c r="G539" s="8" t="n">
        <v>25000000</v>
      </c>
      <c r="H539" s="8" t="n">
        <v>40000000</v>
      </c>
      <c r="I539" s="9" t="inlineStr">
        <is>
          <t>per event — Motorsport/extreme sport</t>
        </is>
      </c>
    </row>
    <row r="540" ht="15" customHeight="1">
      <c r="A540" s="10" t="n">
        <v>4</v>
      </c>
      <c r="B540" s="11" t="inlineStr">
        <is>
          <t>K. OPERATIONAL &amp; MISCELLANEOUS</t>
        </is>
      </c>
      <c r="C540" s="11" t="inlineStr">
        <is>
          <t>K4. Event Olahraga &amp; Multi-kota Ops</t>
        </is>
      </c>
      <c r="D540" s="11" t="inlineStr">
        <is>
          <t>Ijin Konvoi / Parade Jalan</t>
        </is>
      </c>
      <c r="E540" s="11" t="inlineStr">
        <is>
          <t>pckg</t>
        </is>
      </c>
      <c r="F540" s="11" t="inlineStr">
        <is>
          <t>event</t>
        </is>
      </c>
      <c r="G540" s="8" t="n">
        <v>5000000</v>
      </c>
      <c r="H540" s="8" t="n">
        <v>8000000</v>
      </c>
      <c r="I540" s="12" t="inlineStr">
        <is>
          <t>per event per kota</t>
        </is>
      </c>
    </row>
    <row r="541" ht="15" customHeight="1">
      <c r="A541" s="6" t="n">
        <v>5</v>
      </c>
      <c r="B541" s="7" t="inlineStr">
        <is>
          <t>K. OPERATIONAL &amp; MISCELLANEOUS</t>
        </is>
      </c>
      <c r="C541" s="7" t="inlineStr">
        <is>
          <t>K4. Event Olahraga &amp; Multi-kota Ops</t>
        </is>
      </c>
      <c r="D541" s="7" t="inlineStr">
        <is>
          <t>Survei Venue Multi-kota</t>
        </is>
      </c>
      <c r="E541" s="7" t="inlineStr">
        <is>
          <t>pckg</t>
        </is>
      </c>
      <c r="F541" s="7" t="inlineStr">
        <is>
          <t>event</t>
        </is>
      </c>
      <c r="G541" s="8" t="n">
        <v>5000000</v>
      </c>
      <c r="H541" s="8" t="n">
        <v>10000000</v>
      </c>
      <c r="I541" s="9" t="inlineStr">
        <is>
          <t>per paket, incl. transport + meals</t>
        </is>
      </c>
    </row>
    <row r="542" ht="15" customHeight="1">
      <c r="A542" s="10" t="n">
        <v>6</v>
      </c>
      <c r="B542" s="11" t="inlineStr">
        <is>
          <t>K. OPERATIONAL &amp; MISCELLANEOUS</t>
        </is>
      </c>
      <c r="C542" s="11" t="inlineStr">
        <is>
          <t>K4. Event Olahraga &amp; Multi-kota Ops</t>
        </is>
      </c>
      <c r="D542" s="11" t="inlineStr">
        <is>
          <t>Video After Movie</t>
        </is>
      </c>
      <c r="E542" s="11" t="inlineStr">
        <is>
          <t>pckg</t>
        </is>
      </c>
      <c r="F542" s="11" t="inlineStr">
        <is>
          <t>event</t>
        </is>
      </c>
      <c r="G542" s="8" t="n">
        <v>12500000</v>
      </c>
      <c r="H542" s="8" t="n">
        <v>25000000</v>
      </c>
      <c r="I542" s="12" t="inlineStr">
        <is>
          <t>editing + distribusi</t>
        </is>
      </c>
    </row>
    <row r="543" ht="15" customHeight="1">
      <c r="A543" s="6" t="n">
        <v>7</v>
      </c>
      <c r="B543" s="7" t="inlineStr">
        <is>
          <t>K. OPERATIONAL &amp; MISCELLANEOUS</t>
        </is>
      </c>
      <c r="C543" s="7" t="inlineStr">
        <is>
          <t>K4. Event Olahraga &amp; Multi-kota Ops</t>
        </is>
      </c>
      <c r="D543" s="7" t="inlineStr">
        <is>
          <t>After Movie / Highlight Reel</t>
        </is>
      </c>
      <c r="E543" s="7" t="inlineStr">
        <is>
          <t>pckg</t>
        </is>
      </c>
      <c r="F543" s="7" t="inlineStr">
        <is>
          <t>event</t>
        </is>
      </c>
      <c r="G543" s="8" t="n">
        <v>12500000</v>
      </c>
      <c r="H543" s="8" t="n">
        <v>25000000</v>
      </c>
      <c r="I543" s="9" t="inlineStr">
        <is>
          <t>per event — Sama dengan above, alias</t>
        </is>
      </c>
    </row>
  </sheetData>
  <mergeCells count="66">
    <mergeCell ref="A227:I227"/>
    <mergeCell ref="A196:I196"/>
    <mergeCell ref="A174:I174"/>
    <mergeCell ref="A252:I252"/>
    <mergeCell ref="A426:I426"/>
    <mergeCell ref="A364:I364"/>
    <mergeCell ref="A46:I46"/>
    <mergeCell ref="A286:I286"/>
    <mergeCell ref="A153:I153"/>
    <mergeCell ref="A273:I273"/>
    <mergeCell ref="A356:I356"/>
    <mergeCell ref="A267:I267"/>
    <mergeCell ref="A285:I285"/>
    <mergeCell ref="A341:I341"/>
    <mergeCell ref="A301:I301"/>
    <mergeCell ref="A195:I195"/>
    <mergeCell ref="A213:I213"/>
    <mergeCell ref="A57:I57"/>
    <mergeCell ref="A2:I2"/>
    <mergeCell ref="A242:I242"/>
    <mergeCell ref="A160:I160"/>
    <mergeCell ref="A5:I5"/>
    <mergeCell ref="A203:I203"/>
    <mergeCell ref="A17:I17"/>
    <mergeCell ref="A259:I259"/>
    <mergeCell ref="A22:I22"/>
    <mergeCell ref="A4:I4"/>
    <mergeCell ref="A333:I333"/>
    <mergeCell ref="A327:I327"/>
    <mergeCell ref="A96:I96"/>
    <mergeCell ref="A38:I38"/>
    <mergeCell ref="A125:I125"/>
    <mergeCell ref="A29:I29"/>
    <mergeCell ref="A52:I52"/>
    <mergeCell ref="A147:I147"/>
    <mergeCell ref="A209:I209"/>
    <mergeCell ref="A324:I324"/>
    <mergeCell ref="A332:I332"/>
    <mergeCell ref="A28:I28"/>
    <mergeCell ref="A293:I293"/>
    <mergeCell ref="A308:I308"/>
    <mergeCell ref="A111:I111"/>
    <mergeCell ref="A357:I357"/>
    <mergeCell ref="A258:I258"/>
    <mergeCell ref="A353:I353"/>
    <mergeCell ref="A401:I401"/>
    <mergeCell ref="A249:I249"/>
    <mergeCell ref="A510:I510"/>
    <mergeCell ref="A67:I67"/>
    <mergeCell ref="A314:I314"/>
    <mergeCell ref="A77:I77"/>
    <mergeCell ref="A455:I455"/>
    <mergeCell ref="A477:I477"/>
    <mergeCell ref="A11:I11"/>
    <mergeCell ref="A349:I349"/>
    <mergeCell ref="A300:I300"/>
    <mergeCell ref="A138:I138"/>
    <mergeCell ref="A536:I536"/>
    <mergeCell ref="A1:I1"/>
    <mergeCell ref="A45:I45"/>
    <mergeCell ref="A237:I237"/>
    <mergeCell ref="A315:I315"/>
    <mergeCell ref="A228:I228"/>
    <mergeCell ref="A78:I78"/>
    <mergeCell ref="A218:I218"/>
    <mergeCell ref="A187:I1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nant</t>
        </is>
      </c>
    </row>
    <row r="2">
      <c r="A2" t="inlineStr">
        <is>
          <t>Last update:</t>
        </is>
      </c>
    </row>
    <row r="3">
      <c r="A3" t="inlineStr">
        <is>
          <t>INDEX</t>
        </is>
      </c>
      <c r="B3" t="inlineStr">
        <is>
          <t>ITEM</t>
        </is>
      </c>
      <c r="C3" t="inlineStr">
        <is>
          <t>DESCRPITION</t>
        </is>
      </c>
      <c r="D3" t="inlineStr">
        <is>
          <t>QTY</t>
        </is>
      </c>
      <c r="F3" t="inlineStr">
        <is>
          <t>FREQ/DURATION</t>
        </is>
      </c>
      <c r="H3" t="inlineStr">
        <is>
          <t>HARGA SATUAN</t>
        </is>
      </c>
      <c r="I3" t="inlineStr">
        <is>
          <t>AKUN</t>
        </is>
      </c>
    </row>
    <row r="4">
      <c r="A4" t="inlineStr">
        <is>
          <t>A</t>
        </is>
      </c>
      <c r="B4" t="inlineStr">
        <is>
          <t>PERMIT</t>
        </is>
      </c>
    </row>
    <row r="5">
      <c r="B5" t="inlineStr">
        <is>
          <t>Permit</t>
        </is>
      </c>
    </row>
    <row r="6">
      <c r="B6" t="inlineStr">
        <is>
          <t>BENDESA Adat</t>
        </is>
      </c>
    </row>
    <row r="7">
      <c r="B7" t="inlineStr">
        <is>
          <t>ORMAS</t>
        </is>
      </c>
    </row>
    <row r="8">
      <c r="B8" t="inlineStr">
        <is>
          <t>POLSEK</t>
        </is>
      </c>
    </row>
    <row r="9">
      <c r="B9" t="inlineStr">
        <is>
          <t>POLRES</t>
        </is>
      </c>
    </row>
    <row r="10">
      <c r="B10" t="inlineStr">
        <is>
          <t>POLDA</t>
        </is>
      </c>
    </row>
    <row r="11">
      <c r="B11" t="inlineStr">
        <is>
          <t>Pemadam Kebakaran</t>
        </is>
      </c>
      <c r="C11" t="inlineStr">
        <is>
          <t>Team pemadam Incld Mobil Pemadam Kebakaran</t>
        </is>
      </c>
      <c r="D11" t="n">
        <v>1</v>
      </c>
      <c r="E11" t="inlineStr">
        <is>
          <t>team</t>
        </is>
      </c>
      <c r="F11" t="n">
        <v>1</v>
      </c>
      <c r="G11" t="inlineStr">
        <is>
          <t>day</t>
        </is>
      </c>
      <c r="H11" t="n">
        <v>3500000</v>
      </c>
    </row>
    <row r="12">
      <c r="B12" t="inlineStr">
        <is>
          <t>Team Medis</t>
        </is>
      </c>
      <c r="C12" t="inlineStr">
        <is>
          <t>Team Medis Incld Mobil Ambulance &amp; Peralatan Keselamatan / 8jam</t>
        </is>
      </c>
      <c r="D12" t="n">
        <v>1</v>
      </c>
      <c r="E12" t="inlineStr">
        <is>
          <t>team</t>
        </is>
      </c>
      <c r="F12" t="n">
        <v>1</v>
      </c>
      <c r="G12" t="inlineStr">
        <is>
          <t>day</t>
        </is>
      </c>
      <c r="H12" t="n">
        <v>1650000</v>
      </c>
    </row>
    <row r="14">
      <c r="A14" t="inlineStr">
        <is>
          <t>B</t>
        </is>
      </c>
      <c r="B14" t="inlineStr">
        <is>
          <t>VENUE SET UP -  SYSTEM</t>
        </is>
      </c>
    </row>
    <row r="15">
      <c r="B15" t="inlineStr">
        <is>
          <t>Perimeter</t>
        </is>
      </c>
    </row>
    <row r="16">
      <c r="B16" t="inlineStr">
        <is>
          <t>Standard Baricade</t>
        </is>
      </c>
      <c r="C16" t="inlineStr">
        <is>
          <t>Barikade Hitam tinggi 1,2 m</t>
        </is>
      </c>
      <c r="D16" t="n">
        <v>1</v>
      </c>
      <c r="E16" t="inlineStr">
        <is>
          <t>unit</t>
        </is>
      </c>
      <c r="F16" t="n">
        <v>1</v>
      </c>
      <c r="G16" t="inlineStr">
        <is>
          <t>day</t>
        </is>
      </c>
      <c r="H16" t="n">
        <v>40000</v>
      </c>
    </row>
    <row r="17">
      <c r="B17" t="inlineStr">
        <is>
          <t xml:space="preserve">Gubeng </t>
        </is>
      </c>
      <c r="C17" t="inlineStr">
        <is>
          <t>Modul besi</t>
        </is>
      </c>
      <c r="D17" t="n">
        <v>1</v>
      </c>
      <c r="E17" t="inlineStr">
        <is>
          <t>unit</t>
        </is>
      </c>
      <c r="F17" t="n">
        <v>1</v>
      </c>
      <c r="G17" t="inlineStr">
        <is>
          <t>day</t>
        </is>
      </c>
      <c r="H17" t="n">
        <v>100000</v>
      </c>
    </row>
    <row r="18">
      <c r="B18" t="inlineStr">
        <is>
          <t>Baricade Mojo</t>
        </is>
      </c>
      <c r="C18" t="inlineStr">
        <is>
          <t>dim.1x1</t>
        </is>
      </c>
      <c r="D18" t="n">
        <v>1</v>
      </c>
      <c r="E18" t="inlineStr">
        <is>
          <t>unit</t>
        </is>
      </c>
      <c r="F18" t="n">
        <v>1</v>
      </c>
      <c r="G18" t="inlineStr">
        <is>
          <t>day</t>
        </is>
      </c>
      <c r="H18" t="n">
        <v>150000</v>
      </c>
    </row>
    <row r="19">
      <c r="B19" t="inlineStr">
        <is>
          <t>Ropestand Tarik Tali Biru, Hitam, Merah</t>
        </is>
      </c>
      <c r="C19" t="inlineStr">
        <is>
          <t>T : 92 x P. Tali : 200</t>
        </is>
      </c>
      <c r="H19" t="n">
        <v>75000</v>
      </c>
    </row>
    <row r="20">
      <c r="B20" t="inlineStr">
        <is>
          <t>Ropestand Bludru Merah/ Biru Tiang Silver</t>
        </is>
      </c>
      <c r="C20" t="inlineStr">
        <is>
          <t>T : 92 x P. Tali : 150</t>
        </is>
      </c>
      <c r="H20" t="n">
        <v>125000</v>
      </c>
    </row>
    <row r="21">
      <c r="B21" t="inlineStr">
        <is>
          <t>Ropestand Bludru Merah / Biru Tiang Gold</t>
        </is>
      </c>
      <c r="C21" t="inlineStr">
        <is>
          <t>T : 92 x P. Tali : 150</t>
        </is>
      </c>
      <c r="H21" t="n">
        <v>150000</v>
      </c>
    </row>
    <row r="23">
      <c r="B23" t="inlineStr">
        <is>
          <t>Tenda</t>
        </is>
      </c>
    </row>
    <row r="24">
      <c r="B24" t="inlineStr">
        <is>
          <t>Sarnavil 3x3</t>
        </is>
      </c>
      <c r="C24" t="inlineStr">
        <is>
          <t>tanpa flooring</t>
        </is>
      </c>
      <c r="D24" t="n">
        <v>1</v>
      </c>
      <c r="E24" t="inlineStr">
        <is>
          <t>unit</t>
        </is>
      </c>
      <c r="F24" t="n">
        <v>1</v>
      </c>
      <c r="G24" t="inlineStr">
        <is>
          <t>day</t>
        </is>
      </c>
      <c r="H24" t="n">
        <v>500000</v>
      </c>
    </row>
    <row r="25">
      <c r="B25" t="inlineStr">
        <is>
          <t>Sarnavil 5x5</t>
        </is>
      </c>
      <c r="C25" t="inlineStr">
        <is>
          <t>tanpa flooring</t>
        </is>
      </c>
      <c r="D25" t="n">
        <v>1</v>
      </c>
      <c r="E25" t="inlineStr">
        <is>
          <t>unit</t>
        </is>
      </c>
      <c r="F25" t="n">
        <v>1</v>
      </c>
      <c r="G25" t="inlineStr">
        <is>
          <t>day</t>
        </is>
      </c>
      <c r="H25" t="n">
        <v>750000</v>
      </c>
    </row>
    <row r="26">
      <c r="B26" t="inlineStr">
        <is>
          <t>Roders</t>
        </is>
      </c>
      <c r="C26" t="inlineStr">
        <is>
          <t>per m2</t>
        </is>
      </c>
      <c r="D26" t="n">
        <v>1</v>
      </c>
      <c r="E26" t="inlineStr">
        <is>
          <t>m2</t>
        </is>
      </c>
      <c r="F26" t="n">
        <v>1</v>
      </c>
      <c r="G26" t="inlineStr">
        <is>
          <t>day</t>
        </is>
      </c>
      <c r="H26" t="n">
        <v>100000</v>
      </c>
    </row>
    <row r="27">
      <c r="B27" t="inlineStr">
        <is>
          <t>Tratak</t>
        </is>
      </c>
      <c r="C27" t="inlineStr">
        <is>
          <t>per m2</t>
        </is>
      </c>
      <c r="D27" t="n">
        <v>1</v>
      </c>
      <c r="E27" t="inlineStr">
        <is>
          <t>m2</t>
        </is>
      </c>
      <c r="F27" t="n">
        <v>1</v>
      </c>
      <c r="G27" t="inlineStr">
        <is>
          <t>day</t>
        </is>
      </c>
      <c r="H27" t="n">
        <v>50000</v>
      </c>
    </row>
    <row r="28">
      <c r="B28" t="inlineStr">
        <is>
          <t>Flooring Karpet</t>
        </is>
      </c>
      <c r="C28" t="inlineStr">
        <is>
          <t>H: 10 cm, per m2</t>
        </is>
      </c>
      <c r="D28" t="n">
        <v>1</v>
      </c>
      <c r="E28" t="inlineStr">
        <is>
          <t>m2</t>
        </is>
      </c>
      <c r="F28" t="n">
        <v>1</v>
      </c>
      <c r="G28" t="inlineStr">
        <is>
          <t>day</t>
        </is>
      </c>
      <c r="H28" t="n">
        <v>40000</v>
      </c>
    </row>
    <row r="29">
      <c r="B29" t="inlineStr">
        <is>
          <t>Sarnavil 3x3 incl. flooring</t>
        </is>
      </c>
      <c r="C29" t="inlineStr">
        <is>
          <t>H: 10 cm, karpet</t>
        </is>
      </c>
      <c r="D29" t="n">
        <v>1</v>
      </c>
      <c r="E29" t="inlineStr">
        <is>
          <t>unit</t>
        </is>
      </c>
      <c r="F29" t="n">
        <v>1</v>
      </c>
      <c r="G29" t="inlineStr">
        <is>
          <t>day</t>
        </is>
      </c>
      <c r="H29" t="n">
        <v>900000</v>
      </c>
    </row>
    <row r="30">
      <c r="B30" t="inlineStr">
        <is>
          <t>Sarnavil 5x5 incl. flooring</t>
        </is>
      </c>
      <c r="C30" t="inlineStr">
        <is>
          <t>H: 10 cm, karpet</t>
        </is>
      </c>
      <c r="D30" t="n">
        <v>1</v>
      </c>
      <c r="E30" t="inlineStr">
        <is>
          <t>unit</t>
        </is>
      </c>
      <c r="F30" t="n">
        <v>1</v>
      </c>
      <c r="G30" t="inlineStr">
        <is>
          <t>day</t>
        </is>
      </c>
      <c r="H30" t="n">
        <v>1750000</v>
      </c>
    </row>
    <row r="32">
      <c r="B32" t="inlineStr">
        <is>
          <t>Electrical</t>
        </is>
      </c>
    </row>
    <row r="33">
      <c r="B33" t="inlineStr">
        <is>
          <t>Instalasi listrik tenda</t>
        </is>
      </c>
      <c r="C33" t="inlineStr">
        <is>
          <t>2A</t>
        </is>
      </c>
      <c r="D33" t="n">
        <v>1</v>
      </c>
      <c r="E33" t="inlineStr">
        <is>
          <t>titik</t>
        </is>
      </c>
      <c r="F33" t="n">
        <v>1</v>
      </c>
      <c r="G33" t="inlineStr">
        <is>
          <t>project</t>
        </is>
      </c>
      <c r="H33" t="n">
        <v>150000</v>
      </c>
    </row>
    <row r="34">
      <c r="B34" t="inlineStr">
        <is>
          <t>Cable canal</t>
        </is>
      </c>
      <c r="C34" t="inlineStr">
        <is>
          <t>per meter, 2 day event + loading day</t>
        </is>
      </c>
      <c r="D34" t="n">
        <v>1</v>
      </c>
      <c r="E34" t="inlineStr">
        <is>
          <t>meter</t>
        </is>
      </c>
      <c r="F34" t="n">
        <v>1</v>
      </c>
      <c r="G34" t="inlineStr">
        <is>
          <t>project</t>
        </is>
      </c>
      <c r="H34" t="n">
        <v>75000</v>
      </c>
    </row>
    <row r="35">
      <c r="B35" t="inlineStr">
        <is>
          <t>Genset 40 kVA</t>
        </is>
      </c>
      <c r="C35" t="inlineStr">
        <is>
          <t>12 hours, silent type, incl. panel</t>
        </is>
      </c>
      <c r="D35" t="n">
        <v>1</v>
      </c>
      <c r="E35" t="inlineStr">
        <is>
          <t>unit</t>
        </is>
      </c>
      <c r="F35" t="n">
        <v>1</v>
      </c>
      <c r="G35" t="inlineStr">
        <is>
          <t>day</t>
        </is>
      </c>
      <c r="H35" t="n">
        <v>3000000</v>
      </c>
    </row>
    <row r="36">
      <c r="B36" t="inlineStr">
        <is>
          <t>Genset 60 kVA</t>
        </is>
      </c>
      <c r="C36" t="inlineStr">
        <is>
          <t>12 hours, silent type, incl. panel</t>
        </is>
      </c>
      <c r="D36" t="n">
        <v>1</v>
      </c>
      <c r="E36" t="inlineStr">
        <is>
          <t>unit</t>
        </is>
      </c>
      <c r="F36" t="n">
        <v>1</v>
      </c>
      <c r="G36" t="inlineStr">
        <is>
          <t>day</t>
        </is>
      </c>
      <c r="H36" t="n">
        <v>3500000</v>
      </c>
    </row>
    <row r="37">
      <c r="B37" t="inlineStr">
        <is>
          <t>Genset 80 kVA</t>
        </is>
      </c>
      <c r="C37" t="inlineStr">
        <is>
          <t>12 hours, silent type, incl. panel</t>
        </is>
      </c>
      <c r="D37" t="n">
        <v>1</v>
      </c>
      <c r="E37" t="inlineStr">
        <is>
          <t>unit</t>
        </is>
      </c>
      <c r="F37" t="n">
        <v>1</v>
      </c>
      <c r="G37" t="inlineStr">
        <is>
          <t>day</t>
        </is>
      </c>
      <c r="H37" t="n">
        <v>4000000</v>
      </c>
    </row>
    <row r="38">
      <c r="B38" t="inlineStr">
        <is>
          <t>Genset 100 kVA</t>
        </is>
      </c>
      <c r="C38" t="inlineStr">
        <is>
          <t>12 hours, silent type, incl. panel</t>
        </is>
      </c>
      <c r="D38" t="n">
        <v>1</v>
      </c>
      <c r="E38" t="inlineStr">
        <is>
          <t>unit</t>
        </is>
      </c>
      <c r="F38" t="n">
        <v>1</v>
      </c>
      <c r="G38" t="inlineStr">
        <is>
          <t>day</t>
        </is>
      </c>
      <c r="H38" t="n">
        <v>4500000</v>
      </c>
    </row>
    <row r="39">
      <c r="B39" t="inlineStr">
        <is>
          <t>Genset 150 kVA</t>
        </is>
      </c>
      <c r="C39" t="inlineStr">
        <is>
          <t>12 hours, silent type, incl. panel</t>
        </is>
      </c>
      <c r="D39" t="n">
        <v>1</v>
      </c>
      <c r="E39" t="inlineStr">
        <is>
          <t>unit</t>
        </is>
      </c>
      <c r="F39" t="n">
        <v>1</v>
      </c>
      <c r="G39" t="inlineStr">
        <is>
          <t>day</t>
        </is>
      </c>
      <c r="H39" t="n">
        <v>5000000</v>
      </c>
    </row>
    <row r="40">
      <c r="B40" t="inlineStr">
        <is>
          <t>Genset 250 kVA</t>
        </is>
      </c>
      <c r="C40" t="inlineStr">
        <is>
          <t>12 hours, silent type, incl. panel</t>
        </is>
      </c>
      <c r="D40" t="n">
        <v>1</v>
      </c>
      <c r="E40" t="inlineStr">
        <is>
          <t>unit</t>
        </is>
      </c>
      <c r="F40" t="n">
        <v>1</v>
      </c>
      <c r="G40" t="inlineStr">
        <is>
          <t>day</t>
        </is>
      </c>
      <c r="H40" t="n">
        <v>6500000</v>
      </c>
    </row>
    <row r="42">
      <c r="B42" t="inlineStr">
        <is>
          <t>Stage</t>
        </is>
      </c>
    </row>
    <row r="43">
      <c r="B43" t="inlineStr">
        <is>
          <t>Stage fin.Carpet</t>
        </is>
      </c>
      <c r="C43" t="inlineStr">
        <is>
          <t>per m2, 2 day event + loading day fin. karpet</t>
        </is>
      </c>
      <c r="D43" t="n">
        <v>1</v>
      </c>
      <c r="E43" t="inlineStr">
        <is>
          <t>m2</t>
        </is>
      </c>
      <c r="F43" t="n">
        <v>1</v>
      </c>
      <c r="G43" t="inlineStr">
        <is>
          <t>project</t>
        </is>
      </c>
      <c r="H43" t="n">
        <v>200000</v>
      </c>
    </row>
    <row r="44">
      <c r="B44" t="inlineStr">
        <is>
          <t>Stage fin.Mellaminto</t>
        </is>
      </c>
      <c r="C44" t="inlineStr">
        <is>
          <t>per m2, 2 day event + loading day fin.mellaminto</t>
        </is>
      </c>
      <c r="D44" t="n">
        <v>1</v>
      </c>
      <c r="E44" t="inlineStr">
        <is>
          <t>m2</t>
        </is>
      </c>
      <c r="F44" t="n">
        <v>1</v>
      </c>
      <c r="G44" t="inlineStr">
        <is>
          <t>project</t>
        </is>
      </c>
      <c r="H44" t="n">
        <v>400000</v>
      </c>
    </row>
    <row r="45">
      <c r="B45" t="inlineStr">
        <is>
          <t>Rigging</t>
        </is>
      </c>
      <c r="D45" t="n">
        <v>1</v>
      </c>
      <c r="E45" t="inlineStr">
        <is>
          <t>m</t>
        </is>
      </c>
      <c r="F45" t="n">
        <v>1</v>
      </c>
      <c r="G45" t="inlineStr">
        <is>
          <t>project</t>
        </is>
      </c>
      <c r="H45" t="n">
        <v>200000</v>
      </c>
    </row>
    <row r="47">
      <c r="B47" t="inlineStr">
        <is>
          <t>Sound System</t>
        </is>
      </c>
    </row>
    <row r="48">
      <c r="B48" t="inlineStr">
        <is>
          <t>Sound System 5000 Watt</t>
        </is>
      </c>
      <c r="D48" t="n">
        <v>1</v>
      </c>
      <c r="E48" t="inlineStr">
        <is>
          <t>set</t>
        </is>
      </c>
      <c r="F48" t="n">
        <v>1</v>
      </c>
      <c r="G48" t="inlineStr">
        <is>
          <t>day</t>
        </is>
      </c>
      <c r="H48" t="n">
        <v>3500000</v>
      </c>
    </row>
    <row r="49">
      <c r="B49" t="inlineStr">
        <is>
          <t>Sound System 10000 Watt</t>
        </is>
      </c>
      <c r="D49" t="n">
        <v>1</v>
      </c>
      <c r="E49" t="inlineStr">
        <is>
          <t>set</t>
        </is>
      </c>
      <c r="F49" t="n">
        <v>1</v>
      </c>
      <c r="G49" t="inlineStr">
        <is>
          <t>day</t>
        </is>
      </c>
      <c r="H49" t="n">
        <v>7500000</v>
      </c>
    </row>
    <row r="50">
      <c r="B50" t="inlineStr">
        <is>
          <t>Sound System 15000 Watt</t>
        </is>
      </c>
      <c r="D50" t="n">
        <v>1</v>
      </c>
      <c r="E50" t="inlineStr">
        <is>
          <t>set</t>
        </is>
      </c>
      <c r="F50" t="n">
        <v>1</v>
      </c>
      <c r="G50" t="inlineStr">
        <is>
          <t>day</t>
        </is>
      </c>
      <c r="H50" t="n">
        <v>12500000</v>
      </c>
    </row>
    <row r="51">
      <c r="B51" t="inlineStr">
        <is>
          <t>Sound System 20000 Watt</t>
        </is>
      </c>
      <c r="D51" t="n">
        <v>1</v>
      </c>
      <c r="E51" t="inlineStr">
        <is>
          <t>set</t>
        </is>
      </c>
      <c r="F51" t="n">
        <v>1</v>
      </c>
      <c r="G51" t="inlineStr">
        <is>
          <t>day</t>
        </is>
      </c>
      <c r="H51" t="n">
        <v>18000000</v>
      </c>
    </row>
    <row r="52">
      <c r="B52" t="inlineStr">
        <is>
          <t>Sound System 25000 Watt</t>
        </is>
      </c>
      <c r="D52" t="n">
        <v>1</v>
      </c>
      <c r="E52" t="inlineStr">
        <is>
          <t>set</t>
        </is>
      </c>
      <c r="F52" t="n">
        <v>1</v>
      </c>
      <c r="G52" t="inlineStr">
        <is>
          <t>day</t>
        </is>
      </c>
      <c r="H52" t="n">
        <v>20000000</v>
      </c>
    </row>
    <row r="53">
      <c r="B53" t="inlineStr">
        <is>
          <t>Mic Drum Set</t>
        </is>
      </c>
      <c r="D53" t="n">
        <v>1</v>
      </c>
      <c r="E53" t="inlineStr">
        <is>
          <t>set</t>
        </is>
      </c>
      <c r="F53" t="n">
        <v>1</v>
      </c>
      <c r="G53" t="inlineStr">
        <is>
          <t>day</t>
        </is>
      </c>
      <c r="H53" t="n">
        <v>1500000</v>
      </c>
    </row>
    <row r="54">
      <c r="B54" t="inlineStr">
        <is>
          <t>In Ear Monitor</t>
        </is>
      </c>
      <c r="D54" t="n">
        <v>1</v>
      </c>
      <c r="E54" t="inlineStr">
        <is>
          <t>unit</t>
        </is>
      </c>
      <c r="F54" t="n">
        <v>1</v>
      </c>
      <c r="G54" t="inlineStr">
        <is>
          <t>day</t>
        </is>
      </c>
      <c r="H54" t="n">
        <v>1100000</v>
      </c>
    </row>
    <row r="56">
      <c r="B56" t="inlineStr">
        <is>
          <t xml:space="preserve">LED Screen  </t>
        </is>
      </c>
    </row>
    <row r="57">
      <c r="B57" t="inlineStr">
        <is>
          <t>LED Screen P4.9</t>
        </is>
      </c>
      <c r="C57" t="inlineStr">
        <is>
          <t>incl. MTRX &amp; procesor</t>
        </is>
      </c>
      <c r="D57" t="n">
        <v>1</v>
      </c>
      <c r="E57" t="inlineStr">
        <is>
          <t>meter</t>
        </is>
      </c>
      <c r="F57" t="n">
        <v>1</v>
      </c>
      <c r="G57" t="inlineStr">
        <is>
          <t>project</t>
        </is>
      </c>
      <c r="H57" t="n">
        <v>400000</v>
      </c>
    </row>
    <row r="58">
      <c r="B58" t="inlineStr">
        <is>
          <t>LED Screen P3.9</t>
        </is>
      </c>
      <c r="C58" t="inlineStr">
        <is>
          <t>incl. MTRX &amp; procesor</t>
        </is>
      </c>
      <c r="D58" t="n">
        <v>1</v>
      </c>
      <c r="E58" t="inlineStr">
        <is>
          <t>meter</t>
        </is>
      </c>
      <c r="F58" t="n">
        <v>1</v>
      </c>
      <c r="G58" t="inlineStr">
        <is>
          <t>project</t>
        </is>
      </c>
      <c r="H58" t="n">
        <v>450000</v>
      </c>
    </row>
    <row r="59">
      <c r="B59" t="inlineStr">
        <is>
          <t>LED Screen P2.9</t>
        </is>
      </c>
      <c r="C59" t="inlineStr">
        <is>
          <t>incl. MTRX &amp; procesor</t>
        </is>
      </c>
      <c r="D59" t="n">
        <v>1</v>
      </c>
      <c r="E59" t="inlineStr">
        <is>
          <t>meter</t>
        </is>
      </c>
      <c r="F59" t="n">
        <v>1</v>
      </c>
      <c r="G59" t="inlineStr">
        <is>
          <t>project</t>
        </is>
      </c>
      <c r="H59" t="n">
        <v>550000</v>
      </c>
    </row>
    <row r="60">
      <c r="B60" t="inlineStr">
        <is>
          <t>LED Screen P2.6</t>
        </is>
      </c>
      <c r="C60" t="inlineStr">
        <is>
          <t>incl. MTRX &amp; procesor</t>
        </is>
      </c>
      <c r="D60" t="n">
        <v>1</v>
      </c>
      <c r="E60" t="inlineStr">
        <is>
          <t>meter</t>
        </is>
      </c>
      <c r="F60" t="n">
        <v>1</v>
      </c>
      <c r="G60" t="inlineStr">
        <is>
          <t>project</t>
        </is>
      </c>
      <c r="H60" t="n">
        <v>600000</v>
      </c>
    </row>
    <row r="62">
      <c r="B62" t="inlineStr">
        <is>
          <t>LED TV</t>
        </is>
      </c>
    </row>
    <row r="63">
      <c r="B63" t="inlineStr">
        <is>
          <t>LED TV 55"</t>
        </is>
      </c>
      <c r="D63" t="n">
        <v>1</v>
      </c>
      <c r="E63" t="inlineStr">
        <is>
          <t>unit</t>
        </is>
      </c>
      <c r="F63" t="n">
        <v>1</v>
      </c>
      <c r="G63" t="inlineStr">
        <is>
          <t>project</t>
        </is>
      </c>
      <c r="H63" t="n">
        <v>900000</v>
      </c>
    </row>
    <row r="65">
      <c r="B65" t="inlineStr">
        <is>
          <t xml:space="preserve">Projector </t>
        </is>
      </c>
    </row>
    <row r="66">
      <c r="B66" t="inlineStr">
        <is>
          <t xml:space="preserve">Projector 5000 lumens </t>
        </is>
      </c>
      <c r="D66" t="n">
        <v>1</v>
      </c>
      <c r="E66" t="inlineStr">
        <is>
          <t>unit</t>
        </is>
      </c>
      <c r="F66" t="n">
        <v>1</v>
      </c>
      <c r="G66" t="inlineStr">
        <is>
          <t>project</t>
        </is>
      </c>
      <c r="H66" t="n">
        <v>1000000</v>
      </c>
    </row>
    <row r="67">
      <c r="B67" t="inlineStr">
        <is>
          <t xml:space="preserve">Projector 7000 lumens </t>
        </is>
      </c>
      <c r="D67" t="n">
        <v>1</v>
      </c>
      <c r="E67" t="inlineStr">
        <is>
          <t>unit</t>
        </is>
      </c>
      <c r="F67" t="n">
        <v>1</v>
      </c>
      <c r="G67" t="inlineStr">
        <is>
          <t>project</t>
        </is>
      </c>
      <c r="H67" t="n">
        <v>2000000</v>
      </c>
    </row>
    <row r="68">
      <c r="B68" t="inlineStr">
        <is>
          <t xml:space="preserve">Projector 10.000 lumens </t>
        </is>
      </c>
      <c r="D68" t="n">
        <v>1</v>
      </c>
      <c r="E68" t="inlineStr">
        <is>
          <t>unit</t>
        </is>
      </c>
      <c r="F68" t="n">
        <v>1</v>
      </c>
      <c r="G68" t="inlineStr">
        <is>
          <t>project</t>
        </is>
      </c>
      <c r="H68" t="n">
        <v>3500000</v>
      </c>
    </row>
    <row r="69">
      <c r="B69" t="inlineStr">
        <is>
          <t>Projector 15.000 lumens</t>
        </is>
      </c>
      <c r="D69" t="n">
        <v>1</v>
      </c>
      <c r="E69" t="inlineStr">
        <is>
          <t>unit</t>
        </is>
      </c>
      <c r="F69" t="n">
        <v>1</v>
      </c>
      <c r="G69" t="inlineStr">
        <is>
          <t>project</t>
        </is>
      </c>
      <c r="H69" t="n">
        <v>6000000</v>
      </c>
    </row>
    <row r="71">
      <c r="B71" t="inlineStr">
        <is>
          <t xml:space="preserve">Lighting Support </t>
        </is>
      </c>
    </row>
    <row r="72">
      <c r="B72" t="inlineStr">
        <is>
          <t>Par LED</t>
        </is>
      </c>
      <c r="D72" t="n">
        <v>1</v>
      </c>
      <c r="E72" t="inlineStr">
        <is>
          <t>unit</t>
        </is>
      </c>
      <c r="F72" t="n">
        <v>1</v>
      </c>
      <c r="G72" t="inlineStr">
        <is>
          <t>project</t>
        </is>
      </c>
      <c r="H72" t="n">
        <v>150000</v>
      </c>
    </row>
    <row r="73">
      <c r="B73" t="inlineStr">
        <is>
          <t>Par Can</t>
        </is>
      </c>
      <c r="D73" t="n">
        <v>1</v>
      </c>
      <c r="E73" t="inlineStr">
        <is>
          <t>unit</t>
        </is>
      </c>
      <c r="F73" t="n">
        <v>1</v>
      </c>
      <c r="G73" t="inlineStr">
        <is>
          <t>project</t>
        </is>
      </c>
      <c r="H73" t="n">
        <v>400000</v>
      </c>
    </row>
    <row r="74">
      <c r="B74" t="inlineStr">
        <is>
          <t>Single Par Can</t>
        </is>
      </c>
      <c r="D74" t="n">
        <v>1</v>
      </c>
      <c r="E74" t="inlineStr">
        <is>
          <t>unit</t>
        </is>
      </c>
      <c r="F74" t="n">
        <v>1</v>
      </c>
      <c r="G74" t="inlineStr">
        <is>
          <t>project</t>
        </is>
      </c>
      <c r="H74" t="n">
        <v>250000</v>
      </c>
    </row>
    <row r="75">
      <c r="B75" t="inlineStr">
        <is>
          <t>Mini Brute</t>
        </is>
      </c>
      <c r="C75" t="inlineStr">
        <is>
          <t>4 Cell</t>
        </is>
      </c>
      <c r="D75" t="n">
        <v>1</v>
      </c>
      <c r="E75" t="inlineStr">
        <is>
          <t>unit</t>
        </is>
      </c>
      <c r="F75" t="n">
        <v>1</v>
      </c>
      <c r="G75" t="inlineStr">
        <is>
          <t>project</t>
        </is>
      </c>
      <c r="H75" t="n">
        <v>350000</v>
      </c>
    </row>
    <row r="76">
      <c r="B76" t="inlineStr">
        <is>
          <t>ACL</t>
        </is>
      </c>
      <c r="D76" t="n">
        <v>1</v>
      </c>
      <c r="E76" t="inlineStr">
        <is>
          <t>unit</t>
        </is>
      </c>
      <c r="F76" t="n">
        <v>1</v>
      </c>
      <c r="G76" t="inlineStr">
        <is>
          <t>project</t>
        </is>
      </c>
      <c r="H76" t="n">
        <v>400000</v>
      </c>
    </row>
    <row r="77">
      <c r="B77" t="inlineStr">
        <is>
          <t>Follow Spot</t>
        </is>
      </c>
      <c r="C77" t="inlineStr">
        <is>
          <t>1500 watt</t>
        </is>
      </c>
      <c r="D77" t="n">
        <v>1</v>
      </c>
      <c r="E77" t="inlineStr">
        <is>
          <t>unit</t>
        </is>
      </c>
      <c r="F77" t="n">
        <v>1</v>
      </c>
      <c r="G77" t="inlineStr">
        <is>
          <t>project</t>
        </is>
      </c>
      <c r="H77" t="n">
        <v>600000</v>
      </c>
    </row>
    <row r="78">
      <c r="B78" t="inlineStr">
        <is>
          <t>Follow Spot</t>
        </is>
      </c>
      <c r="C78" t="inlineStr">
        <is>
          <t>2500 watt</t>
        </is>
      </c>
      <c r="D78" t="n">
        <v>1</v>
      </c>
      <c r="E78" t="inlineStr">
        <is>
          <t>unit</t>
        </is>
      </c>
      <c r="F78" t="n">
        <v>1</v>
      </c>
      <c r="G78" t="inlineStr">
        <is>
          <t>project</t>
        </is>
      </c>
      <c r="H78" t="n">
        <v>1000000</v>
      </c>
    </row>
    <row r="79">
      <c r="B79" t="inlineStr">
        <is>
          <t>Fresnell</t>
        </is>
      </c>
      <c r="D79" t="n">
        <v>1</v>
      </c>
      <c r="E79" t="inlineStr">
        <is>
          <t>unit</t>
        </is>
      </c>
      <c r="F79" t="n">
        <v>1</v>
      </c>
      <c r="G79" t="inlineStr">
        <is>
          <t>project</t>
        </is>
      </c>
      <c r="H79" t="n">
        <v>250000</v>
      </c>
    </row>
    <row r="80">
      <c r="B80" t="inlineStr">
        <is>
          <t>Strobo / Blitz</t>
        </is>
      </c>
      <c r="D80" t="n">
        <v>1</v>
      </c>
      <c r="E80" t="inlineStr">
        <is>
          <t>unit</t>
        </is>
      </c>
      <c r="F80" t="n">
        <v>1</v>
      </c>
      <c r="G80" t="inlineStr">
        <is>
          <t>project</t>
        </is>
      </c>
      <c r="H80" t="n">
        <v>200000</v>
      </c>
    </row>
    <row r="81">
      <c r="B81" t="inlineStr">
        <is>
          <t>Smoke Gun Standard</t>
        </is>
      </c>
      <c r="D81" t="n">
        <v>1</v>
      </c>
      <c r="E81" t="inlineStr">
        <is>
          <t>unit</t>
        </is>
      </c>
      <c r="F81" t="n">
        <v>1</v>
      </c>
      <c r="G81" t="inlineStr">
        <is>
          <t>project</t>
        </is>
      </c>
      <c r="H81" t="n">
        <v>250000</v>
      </c>
    </row>
    <row r="82">
      <c r="B82" t="inlineStr">
        <is>
          <t>Moving Head *Wash</t>
        </is>
      </c>
      <c r="C82" t="inlineStr">
        <is>
          <t>400 watt</t>
        </is>
      </c>
      <c r="D82" t="n">
        <v>1</v>
      </c>
      <c r="E82" t="inlineStr">
        <is>
          <t>unit</t>
        </is>
      </c>
      <c r="F82" t="n">
        <v>1</v>
      </c>
      <c r="G82" t="inlineStr">
        <is>
          <t>project</t>
        </is>
      </c>
      <c r="H82" t="n">
        <v>500000</v>
      </c>
    </row>
    <row r="83">
      <c r="B83" t="inlineStr">
        <is>
          <t>Beam</t>
        </is>
      </c>
      <c r="C83" t="inlineStr">
        <is>
          <t xml:space="preserve"> BEAM 470</t>
        </is>
      </c>
      <c r="D83" t="n">
        <v>1</v>
      </c>
      <c r="E83" t="inlineStr">
        <is>
          <t>unit</t>
        </is>
      </c>
      <c r="F83" t="n">
        <v>1</v>
      </c>
      <c r="G83" t="inlineStr">
        <is>
          <t>project</t>
        </is>
      </c>
      <c r="H83" t="n">
        <v>600000</v>
      </c>
    </row>
    <row r="84">
      <c r="B84" t="inlineStr">
        <is>
          <t>Sky Tracker- 1 color</t>
        </is>
      </c>
      <c r="C84" t="inlineStr">
        <is>
          <t>2500 watt</t>
        </is>
      </c>
      <c r="D84" t="n">
        <v>1</v>
      </c>
      <c r="E84" t="inlineStr">
        <is>
          <t>unit</t>
        </is>
      </c>
      <c r="F84" t="n">
        <v>1</v>
      </c>
      <c r="G84" t="inlineStr">
        <is>
          <t>project</t>
        </is>
      </c>
      <c r="H84" t="n">
        <v>1000000</v>
      </c>
    </row>
    <row r="85">
      <c r="B85" t="inlineStr">
        <is>
          <t>Sky Tracker - 1 color</t>
        </is>
      </c>
      <c r="C85" t="inlineStr">
        <is>
          <t>4000 watt</t>
        </is>
      </c>
      <c r="D85" t="n">
        <v>1</v>
      </c>
      <c r="E85" t="inlineStr">
        <is>
          <t>unit</t>
        </is>
      </c>
      <c r="F85" t="n">
        <v>1</v>
      </c>
      <c r="G85" t="inlineStr">
        <is>
          <t>project</t>
        </is>
      </c>
      <c r="H85" t="n">
        <v>1500000</v>
      </c>
    </row>
    <row r="86">
      <c r="B86" t="inlineStr">
        <is>
          <t>Avolite Pearl 2010</t>
        </is>
      </c>
      <c r="C86" t="inlineStr">
        <is>
          <t>Lighting Controler</t>
        </is>
      </c>
      <c r="D86" t="n">
        <v>1</v>
      </c>
      <c r="E86" t="inlineStr">
        <is>
          <t>unit</t>
        </is>
      </c>
      <c r="F86" t="n">
        <v>1</v>
      </c>
      <c r="G86" t="inlineStr">
        <is>
          <t>project</t>
        </is>
      </c>
      <c r="H86" t="n">
        <v>1000000</v>
      </c>
    </row>
    <row r="87">
      <c r="B87" t="inlineStr">
        <is>
          <t>Hollogen - area venue (satuan )</t>
        </is>
      </c>
      <c r="C87" t="inlineStr">
        <is>
          <t xml:space="preserve"> @1000.watt (Tanpa Tower)</t>
        </is>
      </c>
      <c r="D87" t="n">
        <v>1</v>
      </c>
      <c r="E87" t="inlineStr">
        <is>
          <t>unit</t>
        </is>
      </c>
      <c r="F87" t="n">
        <v>1</v>
      </c>
      <c r="G87" t="inlineStr">
        <is>
          <t>project</t>
        </is>
      </c>
      <c r="H87" t="n">
        <v>100000</v>
      </c>
    </row>
    <row r="88">
      <c r="B88" t="inlineStr">
        <is>
          <t>Tower Lampu Penerangan Area</t>
        </is>
      </c>
      <c r="C88" t="inlineStr">
        <is>
          <t xml:space="preserve"> @1000.watt (1 Tower 4 Lampu)</t>
        </is>
      </c>
      <c r="D88" t="n">
        <v>1</v>
      </c>
      <c r="E88" t="inlineStr">
        <is>
          <t>package</t>
        </is>
      </c>
      <c r="F88" t="n">
        <v>1</v>
      </c>
      <c r="G88" t="inlineStr">
        <is>
          <t>project</t>
        </is>
      </c>
      <c r="H88" t="n">
        <v>1500000</v>
      </c>
    </row>
    <row r="89">
      <c r="B89" t="inlineStr">
        <is>
          <t>Lampu Penerangan Tend Support + Cabling</t>
        </is>
      </c>
      <c r="D89" t="n">
        <v>1</v>
      </c>
      <c r="E89" t="inlineStr">
        <is>
          <t>unit</t>
        </is>
      </c>
      <c r="F89" t="n">
        <v>1</v>
      </c>
      <c r="G89" t="inlineStr">
        <is>
          <t>project</t>
        </is>
      </c>
      <c r="H89" t="n">
        <v>150000</v>
      </c>
    </row>
    <row r="91">
      <c r="B91" t="inlineStr">
        <is>
          <t>Multimedia Support</t>
        </is>
      </c>
    </row>
    <row r="92">
      <c r="B92" t="inlineStr">
        <is>
          <t xml:space="preserve">Switcher + monitor </t>
        </is>
      </c>
      <c r="C92" t="inlineStr">
        <is>
          <t>Ediroll v8</t>
        </is>
      </c>
      <c r="D92" t="n">
        <v>1</v>
      </c>
      <c r="E92" t="inlineStr">
        <is>
          <t>package</t>
        </is>
      </c>
      <c r="F92" t="n">
        <v>1</v>
      </c>
      <c r="G92" t="inlineStr">
        <is>
          <t>project</t>
        </is>
      </c>
      <c r="H92" t="n">
        <v>1000000</v>
      </c>
    </row>
    <row r="93">
      <c r="B93" t="inlineStr">
        <is>
          <t>Rent Video Camera + Triport</t>
        </is>
      </c>
      <c r="C93" t="inlineStr">
        <is>
          <t>DV Cam incld editing</t>
        </is>
      </c>
      <c r="D93" t="n">
        <v>1</v>
      </c>
      <c r="E93" t="inlineStr">
        <is>
          <t>unit</t>
        </is>
      </c>
      <c r="F93" t="n">
        <v>1</v>
      </c>
      <c r="G93" t="inlineStr">
        <is>
          <t>project</t>
        </is>
      </c>
      <c r="H93" t="n">
        <v>1500000</v>
      </c>
    </row>
    <row r="95">
      <c r="B95" t="inlineStr">
        <is>
          <t>Special FX</t>
        </is>
      </c>
    </row>
    <row r="96">
      <c r="B96" t="inlineStr">
        <is>
          <t>Giant Canon Convety</t>
        </is>
      </c>
      <c r="D96" t="n">
        <v>1</v>
      </c>
      <c r="E96" t="inlineStr">
        <is>
          <t>unit</t>
        </is>
      </c>
      <c r="F96" t="n">
        <v>1</v>
      </c>
      <c r="G96" t="inlineStr">
        <is>
          <t>project</t>
        </is>
      </c>
      <c r="H96" t="n">
        <v>750000</v>
      </c>
    </row>
    <row r="97">
      <c r="B97" t="inlineStr">
        <is>
          <t>Co2</t>
        </is>
      </c>
      <c r="C97" t="inlineStr">
        <is>
          <t>incl. tabung cadangan</t>
        </is>
      </c>
      <c r="D97" t="n">
        <v>1</v>
      </c>
      <c r="E97" t="inlineStr">
        <is>
          <t>unit</t>
        </is>
      </c>
      <c r="F97" t="n">
        <v>1</v>
      </c>
      <c r="G97" t="inlineStr">
        <is>
          <t>project</t>
        </is>
      </c>
      <c r="H97" t="n">
        <v>800000</v>
      </c>
    </row>
    <row r="98">
      <c r="B98" t="inlineStr">
        <is>
          <t>Napalm</t>
        </is>
      </c>
      <c r="D98" t="n">
        <v>1</v>
      </c>
      <c r="E98" t="inlineStr">
        <is>
          <t>unit</t>
        </is>
      </c>
      <c r="F98" t="n">
        <v>1</v>
      </c>
      <c r="G98" t="inlineStr">
        <is>
          <t>project</t>
        </is>
      </c>
      <c r="H98" t="n">
        <v>1500000</v>
      </c>
    </row>
    <row r="99">
      <c r="B99" t="inlineStr">
        <is>
          <t>Blower</t>
        </is>
      </c>
      <c r="D99" t="n">
        <v>1</v>
      </c>
      <c r="E99" t="inlineStr">
        <is>
          <t>unit</t>
        </is>
      </c>
      <c r="F99" t="n">
        <v>1</v>
      </c>
      <c r="G99" t="inlineStr">
        <is>
          <t>project</t>
        </is>
      </c>
      <c r="H99" t="n">
        <v>300000</v>
      </c>
    </row>
    <row r="100">
      <c r="B100" t="inlineStr">
        <is>
          <t>Miror Ball 60 inc</t>
        </is>
      </c>
      <c r="D100" t="n">
        <v>1</v>
      </c>
      <c r="E100" t="inlineStr">
        <is>
          <t>unit</t>
        </is>
      </c>
      <c r="F100" t="n">
        <v>1</v>
      </c>
      <c r="G100" t="inlineStr">
        <is>
          <t>project</t>
        </is>
      </c>
      <c r="H100" t="n">
        <v>500000</v>
      </c>
    </row>
    <row r="101">
      <c r="B101" t="inlineStr">
        <is>
          <t xml:space="preserve">Sirine Red </t>
        </is>
      </c>
      <c r="D101" t="n">
        <v>1</v>
      </c>
      <c r="E101" t="inlineStr">
        <is>
          <t>unit</t>
        </is>
      </c>
      <c r="F101" t="n">
        <v>1</v>
      </c>
      <c r="G101" t="inlineStr">
        <is>
          <t>project</t>
        </is>
      </c>
      <c r="H101" t="n">
        <v>200000</v>
      </c>
    </row>
    <row r="102">
      <c r="B102" t="inlineStr">
        <is>
          <t>Pyro</t>
        </is>
      </c>
      <c r="C102" t="inlineStr">
        <is>
          <t>Standard</t>
        </is>
      </c>
      <c r="D102" t="n">
        <v>1</v>
      </c>
      <c r="E102" t="inlineStr">
        <is>
          <t>unit</t>
        </is>
      </c>
      <c r="F102" t="n">
        <v>1</v>
      </c>
      <c r="G102" t="inlineStr">
        <is>
          <t>project</t>
        </is>
      </c>
      <c r="H102" t="n">
        <v>300000</v>
      </c>
    </row>
    <row r="103">
      <c r="B103" t="inlineStr">
        <is>
          <t>Fireworks</t>
        </is>
      </c>
      <c r="C103" t="inlineStr">
        <is>
          <t>incl. Izin peledakan</t>
        </is>
      </c>
      <c r="D103" t="n">
        <v>1</v>
      </c>
      <c r="E103" t="inlineStr">
        <is>
          <t>package</t>
        </is>
      </c>
      <c r="F103" t="n">
        <v>1</v>
      </c>
      <c r="G103" t="inlineStr">
        <is>
          <t>project</t>
        </is>
      </c>
      <c r="H103" t="n">
        <v>15000000</v>
      </c>
    </row>
    <row r="105">
      <c r="B105" t="inlineStr">
        <is>
          <t>Others Equipment</t>
        </is>
      </c>
    </row>
    <row r="106">
      <c r="B106" t="inlineStr">
        <is>
          <t>Kursi Futura Biru / Merah</t>
        </is>
      </c>
      <c r="C106" t="inlineStr">
        <is>
          <t>P : 40 x L : 40 x T : 85</t>
        </is>
      </c>
      <c r="D106" t="n">
        <v>1</v>
      </c>
      <c r="E106" t="inlineStr">
        <is>
          <t>unit</t>
        </is>
      </c>
      <c r="F106" t="n">
        <v>1</v>
      </c>
      <c r="G106" t="inlineStr">
        <is>
          <t>day</t>
        </is>
      </c>
      <c r="H106" t="n">
        <v>12000</v>
      </c>
    </row>
    <row r="107">
      <c r="B107" t="inlineStr">
        <is>
          <t>Kursi Futura Cover Putih</t>
        </is>
      </c>
      <c r="C107" t="inlineStr">
        <is>
          <t>P : 40 x L : 40 x T : 85</t>
        </is>
      </c>
      <c r="D107" t="n">
        <v>1</v>
      </c>
      <c r="E107" t="inlineStr">
        <is>
          <t>unit</t>
        </is>
      </c>
      <c r="F107" t="n">
        <v>1</v>
      </c>
      <c r="G107" t="inlineStr">
        <is>
          <t>day</t>
        </is>
      </c>
      <c r="H107" t="n">
        <v>17500</v>
      </c>
    </row>
    <row r="108">
      <c r="B108" t="inlineStr">
        <is>
          <t>Kursi Futura Cover Hitam</t>
        </is>
      </c>
      <c r="C108" t="inlineStr">
        <is>
          <t>P : 40 x L : 40 x T : 85</t>
        </is>
      </c>
      <c r="D108" t="n">
        <v>1</v>
      </c>
      <c r="E108" t="inlineStr">
        <is>
          <t>unit</t>
        </is>
      </c>
      <c r="F108" t="n">
        <v>1</v>
      </c>
      <c r="G108" t="inlineStr">
        <is>
          <t>day</t>
        </is>
      </c>
      <c r="H108" t="n">
        <v>17500</v>
      </c>
    </row>
    <row r="109">
      <c r="B109" t="inlineStr">
        <is>
          <t>Kursi Futura Cover Putih + Pita Organdy</t>
        </is>
      </c>
      <c r="C109" t="inlineStr">
        <is>
          <t>P : 40 x L : 40 x T : 85</t>
        </is>
      </c>
      <c r="D109" t="n">
        <v>1</v>
      </c>
      <c r="E109" t="inlineStr">
        <is>
          <t>unit</t>
        </is>
      </c>
      <c r="F109" t="n">
        <v>1</v>
      </c>
      <c r="G109" t="inlineStr">
        <is>
          <t>day</t>
        </is>
      </c>
      <c r="H109" t="n">
        <v>20000</v>
      </c>
    </row>
    <row r="110">
      <c r="B110" t="inlineStr">
        <is>
          <t>Kursi Futura Cover Putih + Pita Organdy</t>
        </is>
      </c>
      <c r="C110" t="inlineStr">
        <is>
          <t>P : 40 x L : 40 x T : 85</t>
        </is>
      </c>
      <c r="D110" t="n">
        <v>1</v>
      </c>
      <c r="E110" t="inlineStr">
        <is>
          <t>unit</t>
        </is>
      </c>
      <c r="F110" t="n">
        <v>1</v>
      </c>
      <c r="G110" t="inlineStr">
        <is>
          <t>day</t>
        </is>
      </c>
      <c r="H110" t="n">
        <v>20000</v>
      </c>
    </row>
    <row r="111">
      <c r="B111" t="inlineStr">
        <is>
          <t>Kursi Futura Cover Putih + Pita Selongsong</t>
        </is>
      </c>
      <c r="C111" t="inlineStr">
        <is>
          <t>P : 40 x L : 40 x T : 85</t>
        </is>
      </c>
      <c r="D111" t="n">
        <v>1</v>
      </c>
      <c r="E111" t="inlineStr">
        <is>
          <t>unit</t>
        </is>
      </c>
      <c r="F111" t="n">
        <v>1</v>
      </c>
      <c r="G111" t="inlineStr">
        <is>
          <t>day</t>
        </is>
      </c>
      <c r="H111" t="n">
        <v>20000</v>
      </c>
    </row>
    <row r="112">
      <c r="B112" t="inlineStr">
        <is>
          <t>Kursi Futura Cover Hitam + Pita Organdy</t>
        </is>
      </c>
      <c r="C112" t="inlineStr">
        <is>
          <t>P : 40 x L : 40 x T : 85</t>
        </is>
      </c>
      <c r="D112" t="n">
        <v>1</v>
      </c>
      <c r="E112" t="inlineStr">
        <is>
          <t>unit</t>
        </is>
      </c>
      <c r="F112" t="n">
        <v>1</v>
      </c>
      <c r="G112" t="inlineStr">
        <is>
          <t>day</t>
        </is>
      </c>
      <c r="H112" t="n">
        <v>20000</v>
      </c>
    </row>
    <row r="113">
      <c r="B113" t="inlineStr">
        <is>
          <t>Kursi Futura Cover Hitam + Pita Organdy</t>
        </is>
      </c>
      <c r="C113" t="inlineStr">
        <is>
          <t>P : 40 x L : 40 x T : 85</t>
        </is>
      </c>
      <c r="D113" t="n">
        <v>1</v>
      </c>
      <c r="E113" t="inlineStr">
        <is>
          <t>unit</t>
        </is>
      </c>
      <c r="F113" t="n">
        <v>1</v>
      </c>
      <c r="G113" t="inlineStr">
        <is>
          <t>day</t>
        </is>
      </c>
      <c r="H113" t="n">
        <v>20000</v>
      </c>
    </row>
    <row r="114">
      <c r="B114" t="inlineStr">
        <is>
          <t>Kursi Futura Cover Hitam + Pita Selongsong</t>
        </is>
      </c>
      <c r="C114" t="inlineStr">
        <is>
          <t>P : 40 x L : 40 x T : 85</t>
        </is>
      </c>
      <c r="D114" t="n">
        <v>1</v>
      </c>
      <c r="E114" t="inlineStr">
        <is>
          <t>unit</t>
        </is>
      </c>
      <c r="F114" t="n">
        <v>1</v>
      </c>
      <c r="G114" t="inlineStr">
        <is>
          <t>day</t>
        </is>
      </c>
      <c r="H114" t="n">
        <v>20000</v>
      </c>
    </row>
    <row r="115">
      <c r="B115" t="inlineStr">
        <is>
          <t>Kursi Tiffany Putih</t>
        </is>
      </c>
      <c r="C115" t="inlineStr">
        <is>
          <t>P : 46 x L : 43 x T : 100</t>
        </is>
      </c>
      <c r="H115" t="n">
        <v>30000</v>
      </c>
    </row>
    <row r="116">
      <c r="B116" t="inlineStr">
        <is>
          <t>Kursi Tiffany Gold</t>
        </is>
      </c>
      <c r="C116" t="inlineStr">
        <is>
          <t>P : 46 x L : 43 x T : 100</t>
        </is>
      </c>
      <c r="H116" t="n">
        <v>30000</v>
      </c>
    </row>
    <row r="117">
      <c r="B117" t="inlineStr">
        <is>
          <t>Kursi Tiffany Putih + Pita</t>
        </is>
      </c>
      <c r="C117" t="inlineStr">
        <is>
          <t>P : 46 x L : 43 x T : 100</t>
        </is>
      </c>
      <c r="H117" t="n">
        <v>35000</v>
      </c>
    </row>
    <row r="118">
      <c r="B118" t="inlineStr">
        <is>
          <t>Kursi Tiffany Gold + Pita</t>
        </is>
      </c>
      <c r="C118" t="inlineStr">
        <is>
          <t>P : 46 x L : 43 x T : 100</t>
        </is>
      </c>
      <c r="H118" t="n">
        <v>35000</v>
      </c>
    </row>
    <row r="119">
      <c r="B119" t="inlineStr">
        <is>
          <t>Kursi Crossback</t>
        </is>
      </c>
      <c r="C119" t="inlineStr">
        <is>
          <t>P : 45 x L : 43 x T : 92</t>
        </is>
      </c>
      <c r="D119" t="n">
        <v>1</v>
      </c>
      <c r="E119" t="inlineStr">
        <is>
          <t>unit</t>
        </is>
      </c>
      <c r="F119" t="n">
        <v>1</v>
      </c>
      <c r="G119" t="inlineStr">
        <is>
          <t>day</t>
        </is>
      </c>
      <c r="H119" t="n">
        <v>45000</v>
      </c>
    </row>
    <row r="120">
      <c r="B120" t="inlineStr">
        <is>
          <t>Kursi Kuliah</t>
        </is>
      </c>
      <c r="C120" t="inlineStr">
        <is>
          <t>P : 75 x L : 45 x T : 83</t>
        </is>
      </c>
      <c r="D120" t="n">
        <v>1</v>
      </c>
      <c r="E120" t="inlineStr">
        <is>
          <t>unit</t>
        </is>
      </c>
      <c r="F120" t="n">
        <v>1</v>
      </c>
      <c r="G120" t="inlineStr">
        <is>
          <t>day</t>
        </is>
      </c>
      <c r="H120" t="n">
        <v>20000</v>
      </c>
    </row>
    <row r="121">
      <c r="B121" t="inlineStr">
        <is>
          <t>Kursi Staff</t>
        </is>
      </c>
      <c r="C121" t="inlineStr">
        <is>
          <t>P : 50 x L : 47 x T : 94</t>
        </is>
      </c>
      <c r="D121" t="n">
        <v>1</v>
      </c>
      <c r="E121" t="inlineStr">
        <is>
          <t>unit</t>
        </is>
      </c>
      <c r="F121" t="n">
        <v>1</v>
      </c>
      <c r="G121" t="inlineStr">
        <is>
          <t>day</t>
        </is>
      </c>
      <c r="H121" t="n">
        <v>150000</v>
      </c>
    </row>
    <row r="122">
      <c r="B122" t="inlineStr">
        <is>
          <t>Kursi Direktur</t>
        </is>
      </c>
      <c r="C122" t="inlineStr">
        <is>
          <t>P : 58 x L : 80 x T : 95-107</t>
        </is>
      </c>
      <c r="D122" t="n">
        <v>1</v>
      </c>
      <c r="E122" t="inlineStr">
        <is>
          <t>unit</t>
        </is>
      </c>
      <c r="F122" t="n">
        <v>1</v>
      </c>
      <c r="G122" t="inlineStr">
        <is>
          <t>day</t>
        </is>
      </c>
      <c r="H122" t="n">
        <v>250000</v>
      </c>
    </row>
    <row r="123">
      <c r="B123" t="inlineStr">
        <is>
          <t>Kursi Baso Hitam, Putih, Merah.</t>
        </is>
      </c>
      <c r="C123" t="inlineStr">
        <is>
          <t>D : 30 x T : 48</t>
        </is>
      </c>
      <c r="D123" t="n">
        <v>1</v>
      </c>
      <c r="E123" t="inlineStr">
        <is>
          <t>unit</t>
        </is>
      </c>
      <c r="F123" t="n">
        <v>1</v>
      </c>
      <c r="G123" t="inlineStr">
        <is>
          <t>day</t>
        </is>
      </c>
      <c r="H123" t="n">
        <v>20000</v>
      </c>
    </row>
    <row r="124">
      <c r="B124" t="inlineStr">
        <is>
          <t>Kursi Ragna Putih / Merah / Hitam</t>
        </is>
      </c>
      <c r="C124" t="inlineStr">
        <is>
          <t>-</t>
        </is>
      </c>
      <c r="D124" t="n">
        <v>1</v>
      </c>
      <c r="E124" t="inlineStr">
        <is>
          <t>unit</t>
        </is>
      </c>
      <c r="F124" t="n">
        <v>1</v>
      </c>
      <c r="G124" t="inlineStr">
        <is>
          <t>day</t>
        </is>
      </c>
      <c r="H124" t="n">
        <v>60000</v>
      </c>
    </row>
    <row r="125">
      <c r="B125" t="inlineStr">
        <is>
          <t>Kursi Dealing S Hitam &amp; Putih</t>
        </is>
      </c>
      <c r="C125" t="inlineStr">
        <is>
          <t>-</t>
        </is>
      </c>
      <c r="H125" t="n">
        <v>100000</v>
      </c>
    </row>
    <row r="126">
      <c r="B126" t="inlineStr">
        <is>
          <t>Kursi Dealing Putar Hitam &amp; Putih</t>
        </is>
      </c>
      <c r="C126" t="inlineStr">
        <is>
          <t>P : 57 x L : 55 x T : 68-80</t>
        </is>
      </c>
      <c r="D126" t="n">
        <v>1</v>
      </c>
      <c r="E126" t="inlineStr">
        <is>
          <t>set</t>
        </is>
      </c>
      <c r="F126" t="n">
        <v>1</v>
      </c>
      <c r="G126" t="inlineStr">
        <is>
          <t>day</t>
        </is>
      </c>
      <c r="H126" t="n">
        <v>150000</v>
      </c>
    </row>
    <row r="127">
      <c r="B127" t="inlineStr">
        <is>
          <t>Kursi Dealing Bebek</t>
        </is>
      </c>
      <c r="C127" t="inlineStr">
        <is>
          <t>P : 70 x L : 85</t>
        </is>
      </c>
      <c r="D127" t="n">
        <v>1</v>
      </c>
      <c r="E127" t="inlineStr">
        <is>
          <t>set</t>
        </is>
      </c>
      <c r="F127" t="n">
        <v>1</v>
      </c>
      <c r="G127" t="inlineStr">
        <is>
          <t>day</t>
        </is>
      </c>
      <c r="H127" t="n">
        <v>40000</v>
      </c>
    </row>
    <row r="128">
      <c r="B128" t="inlineStr">
        <is>
          <t>Kursi Nora Carver Biru</t>
        </is>
      </c>
      <c r="C128" t="inlineStr">
        <is>
          <t>P : 58 x L : 58 x T : 84</t>
        </is>
      </c>
      <c r="H128" t="n">
        <v>150000</v>
      </c>
    </row>
    <row r="129">
      <c r="B129" t="inlineStr">
        <is>
          <t>Kursi Jati Landa</t>
        </is>
      </c>
      <c r="C129" t="inlineStr">
        <is>
          <t>P : 45 x L : 45</t>
        </is>
      </c>
      <c r="D129" t="n">
        <v>1</v>
      </c>
      <c r="E129" t="inlineStr">
        <is>
          <t>unit</t>
        </is>
      </c>
      <c r="F129" t="n">
        <v>1</v>
      </c>
      <c r="G129" t="inlineStr">
        <is>
          <t>day</t>
        </is>
      </c>
      <c r="H129" t="n">
        <v>50000</v>
      </c>
    </row>
    <row r="130">
      <c r="B130" t="inlineStr">
        <is>
          <t>Kursi Tunggu 4 Seater Hitam</t>
        </is>
      </c>
      <c r="C130" t="inlineStr">
        <is>
          <t>P : 210 x L : 48 x T : 68 x TD : 40</t>
        </is>
      </c>
      <c r="D130" t="n">
        <v>1</v>
      </c>
      <c r="E130" t="inlineStr">
        <is>
          <t>unit</t>
        </is>
      </c>
      <c r="F130" t="n">
        <v>1</v>
      </c>
      <c r="G130" t="inlineStr">
        <is>
          <t>day</t>
        </is>
      </c>
      <c r="H130" t="n">
        <v>500000</v>
      </c>
    </row>
    <row r="131">
      <c r="B131" t="inlineStr">
        <is>
          <t>Kursi Taman Besi</t>
        </is>
      </c>
      <c r="C131" t="inlineStr">
        <is>
          <t>P : 46 x L : 117 x T : 60</t>
        </is>
      </c>
      <c r="D131" t="n">
        <v>1</v>
      </c>
      <c r="E131" t="inlineStr">
        <is>
          <t>unit</t>
        </is>
      </c>
      <c r="F131" t="n">
        <v>1</v>
      </c>
      <c r="G131" t="inlineStr">
        <is>
          <t>day</t>
        </is>
      </c>
      <c r="H131" t="n">
        <v>250000</v>
      </c>
    </row>
    <row r="132">
      <c r="B132" t="inlineStr">
        <is>
          <t>Set Kursi Meja Taman Kayu</t>
        </is>
      </c>
      <c r="C132" t="inlineStr">
        <is>
          <t>Meja : P : 160 x L : 70, Kursi : P : 160 x L : 35</t>
        </is>
      </c>
      <c r="D132" t="n">
        <v>1</v>
      </c>
      <c r="E132" t="inlineStr">
        <is>
          <t>unit</t>
        </is>
      </c>
      <c r="F132" t="n">
        <v>1</v>
      </c>
      <c r="G132" t="inlineStr">
        <is>
          <t>day</t>
        </is>
      </c>
      <c r="H132" t="n">
        <v>350000</v>
      </c>
    </row>
    <row r="133">
      <c r="B133" t="inlineStr">
        <is>
          <t>Set Kursi Meja Taman IBM</t>
        </is>
      </c>
      <c r="C133" t="inlineStr">
        <is>
          <t>Meja : P : 120 x L : 60, Kursi : P : 120 x L : 30</t>
        </is>
      </c>
      <c r="H133" t="n">
        <v>200000</v>
      </c>
    </row>
    <row r="134">
      <c r="B134" t="inlineStr">
        <is>
          <t>Kursi Betawi Set</t>
        </is>
      </c>
      <c r="C134" t="inlineStr">
        <is>
          <t>-</t>
        </is>
      </c>
      <c r="H134" t="n">
        <v>500000</v>
      </c>
    </row>
    <row r="135">
      <c r="B135" t="inlineStr">
        <is>
          <t>Kursi Betawi Pcs</t>
        </is>
      </c>
      <c r="C135" t="inlineStr">
        <is>
          <t>-</t>
        </is>
      </c>
      <c r="H135" t="n">
        <v>100000</v>
      </c>
    </row>
    <row r="136">
      <c r="B136" t="inlineStr">
        <is>
          <t>Kursi Arm Chair Classic</t>
        </is>
      </c>
      <c r="C136" t="inlineStr">
        <is>
          <t>P : 50 x L : 58 x T : 94</t>
        </is>
      </c>
      <c r="H136" t="n">
        <v>250000</v>
      </c>
    </row>
    <row r="137">
      <c r="B137" t="inlineStr">
        <is>
          <t>Kursi Arm Chair Kotak</t>
        </is>
      </c>
      <c r="C137" t="inlineStr">
        <is>
          <t>P : 50 x L : 58 x T : 94</t>
        </is>
      </c>
      <c r="H137" t="n">
        <v>200000</v>
      </c>
    </row>
    <row r="138">
      <c r="B138" t="inlineStr">
        <is>
          <t>Kursi Louis</t>
        </is>
      </c>
      <c r="C138" t="inlineStr">
        <is>
          <t>P : 46 x L : 54 x T : 105</t>
        </is>
      </c>
      <c r="H138" t="n">
        <v>100000</v>
      </c>
    </row>
    <row r="139">
      <c r="B139" t="inlineStr">
        <is>
          <t>Kursi Penganten Set</t>
        </is>
      </c>
      <c r="C139" t="inlineStr">
        <is>
          <t>1 Set (2 Besar, 4 Kecil)</t>
        </is>
      </c>
      <c r="H139" t="n">
        <v>1500000</v>
      </c>
    </row>
    <row r="140">
      <c r="B140" t="inlineStr">
        <is>
          <t>Kursi Penganten Besar</t>
        </is>
      </c>
      <c r="C140" t="inlineStr">
        <is>
          <t>-</t>
        </is>
      </c>
      <c r="H140" t="n">
        <v>500000</v>
      </c>
    </row>
    <row r="141">
      <c r="B141" t="inlineStr">
        <is>
          <t>Kursi Penganten Kecil</t>
        </is>
      </c>
      <c r="C141" t="inlineStr">
        <is>
          <t>-</t>
        </is>
      </c>
      <c r="H141" t="n">
        <v>250000</v>
      </c>
    </row>
    <row r="142">
      <c r="B142" t="inlineStr">
        <is>
          <t>Set Meja Parasol Merah</t>
        </is>
      </c>
      <c r="C142" t="inlineStr">
        <is>
          <t>T : 255 x D Meja : 120 x D Payung : 293</t>
        </is>
      </c>
      <c r="H142" t="n">
        <v>600000</v>
      </c>
    </row>
    <row r="143">
      <c r="B143" t="inlineStr">
        <is>
          <t>Set Meja Parasol Putih</t>
        </is>
      </c>
      <c r="C143" t="inlineStr">
        <is>
          <t>T : 255 x D Meja : 120 x D Payung : 293</t>
        </is>
      </c>
      <c r="H143" t="n">
        <v>600000</v>
      </c>
    </row>
    <row r="144">
      <c r="B144" t="inlineStr">
        <is>
          <t>Set Meja Parasol Hijau</t>
        </is>
      </c>
      <c r="C144" t="inlineStr">
        <is>
          <t>T : 255 x D Meja : 120 x D Payung : 293</t>
        </is>
      </c>
      <c r="H144" t="n">
        <v>600000</v>
      </c>
    </row>
    <row r="145">
      <c r="B145" t="inlineStr">
        <is>
          <t>Sofa Single Hitam / Putih</t>
        </is>
      </c>
      <c r="C145" t="inlineStr">
        <is>
          <t>P : 80 x L : 80 x T : 77</t>
        </is>
      </c>
      <c r="H145" t="n">
        <v>150000</v>
      </c>
    </row>
    <row r="146">
      <c r="B146" t="inlineStr">
        <is>
          <t>Sofa Double Putih / Hitam</t>
        </is>
      </c>
      <c r="C146" t="inlineStr">
        <is>
          <t>P : 150 x L : 80 x T : 77</t>
        </is>
      </c>
      <c r="H146" t="n">
        <v>300000</v>
      </c>
    </row>
    <row r="147">
      <c r="B147" t="inlineStr">
        <is>
          <t>Sofa Triple Hitam/ Putih</t>
        </is>
      </c>
      <c r="C147" t="inlineStr">
        <is>
          <t>P : 210 x L : 80 x T : 77</t>
        </is>
      </c>
      <c r="H147" t="n">
        <v>450000</v>
      </c>
    </row>
    <row r="148">
      <c r="B148" t="inlineStr">
        <is>
          <t>Sofa Scandiv Putih</t>
        </is>
      </c>
      <c r="C148" t="inlineStr">
        <is>
          <t>P : 80 x L : 80 x T : 88</t>
        </is>
      </c>
      <c r="H148" t="n">
        <v>200000</v>
      </c>
    </row>
    <row r="149">
      <c r="B149" t="inlineStr">
        <is>
          <t>Sofa Oval Putih / Hitam</t>
        </is>
      </c>
      <c r="C149" t="inlineStr">
        <is>
          <t>P : 81 x L : 71 x T : 63</t>
        </is>
      </c>
      <c r="H149" t="n">
        <v>150000</v>
      </c>
    </row>
    <row r="150">
      <c r="B150" t="inlineStr">
        <is>
          <t>Sofa Queen</t>
        </is>
      </c>
      <c r="C150" t="inlineStr">
        <is>
          <t>-</t>
        </is>
      </c>
      <c r="H150" t="n">
        <v>150000</v>
      </c>
    </row>
    <row r="151">
      <c r="B151" t="inlineStr">
        <is>
          <t>Sofa Arab</t>
        </is>
      </c>
      <c r="C151" t="inlineStr">
        <is>
          <t>P : 72 x L : 60 x T : 20/60</t>
        </is>
      </c>
      <c r="H151" t="n">
        <v>200000</v>
      </c>
    </row>
    <row r="152">
      <c r="B152" t="inlineStr">
        <is>
          <t>Sofa Lesehan Coklat</t>
        </is>
      </c>
      <c r="C152" t="inlineStr">
        <is>
          <t>P : 64 x L : 50 x T : 50</t>
        </is>
      </c>
      <c r="H152" t="n">
        <v>150000</v>
      </c>
    </row>
    <row r="153">
      <c r="B153" t="inlineStr">
        <is>
          <t>Sofa Bench</t>
        </is>
      </c>
      <c r="C153" t="inlineStr">
        <is>
          <t>P : 100 x L : 50 x T : 43</t>
        </is>
      </c>
      <c r="H153" t="n">
        <v>150000</v>
      </c>
    </row>
    <row r="154">
      <c r="B154" t="inlineStr">
        <is>
          <t>Puff Bulat</t>
        </is>
      </c>
      <c r="C154" t="inlineStr">
        <is>
          <t>P : 50 x L : 50 x T : 43</t>
        </is>
      </c>
      <c r="H154" t="n">
        <v>75000</v>
      </c>
    </row>
    <row r="155">
      <c r="B155" t="inlineStr">
        <is>
          <t>Puff Bulat Kancing</t>
        </is>
      </c>
      <c r="C155" t="inlineStr">
        <is>
          <t>P : 50 x L : 50 x T : 43</t>
        </is>
      </c>
      <c r="H155" t="n">
        <v>75000</v>
      </c>
    </row>
    <row r="156">
      <c r="B156" t="inlineStr">
        <is>
          <t>Puff Kotak</t>
        </is>
      </c>
      <c r="C156" t="inlineStr">
        <is>
          <t>P : 50 x L : 50 x T : 43</t>
        </is>
      </c>
      <c r="H156" t="n">
        <v>75000</v>
      </c>
    </row>
    <row r="157">
      <c r="B157" t="inlineStr">
        <is>
          <t>Puff Kotak Kayu</t>
        </is>
      </c>
      <c r="C157" t="inlineStr">
        <is>
          <t>P : 50 x L : 50</t>
        </is>
      </c>
      <c r="H157" t="n">
        <v>75000</v>
      </c>
    </row>
    <row r="158">
      <c r="B158" t="inlineStr">
        <is>
          <t>Beanbag Triangle</t>
        </is>
      </c>
      <c r="C158" t="inlineStr">
        <is>
          <t>P : 140 x L : 85</t>
        </is>
      </c>
      <c r="H158" t="n">
        <v>70000</v>
      </c>
    </row>
    <row r="159">
      <c r="B159" t="inlineStr">
        <is>
          <t>Beanbag Triangle</t>
        </is>
      </c>
      <c r="C159" t="inlineStr">
        <is>
          <t>P : 140 x L : 85</t>
        </is>
      </c>
      <c r="H159" t="n">
        <v>70000</v>
      </c>
    </row>
    <row r="160">
      <c r="B160" t="inlineStr">
        <is>
          <t>Beanbag Triangle</t>
        </is>
      </c>
      <c r="C160" t="inlineStr">
        <is>
          <t>P : 140 x L : 85</t>
        </is>
      </c>
      <c r="H160" t="n">
        <v>70000</v>
      </c>
    </row>
    <row r="161">
      <c r="B161" t="inlineStr">
        <is>
          <t>Beanbag Pumkin</t>
        </is>
      </c>
      <c r="C161" t="inlineStr">
        <is>
          <t>P : 70 x L : 85</t>
        </is>
      </c>
      <c r="H161" t="n">
        <v>60000</v>
      </c>
    </row>
    <row r="162">
      <c r="B162" t="inlineStr">
        <is>
          <t>Beanbag Pumkin</t>
        </is>
      </c>
      <c r="C162" t="inlineStr">
        <is>
          <t>P : 70 x L : 85</t>
        </is>
      </c>
      <c r="H162" t="n">
        <v>60000</v>
      </c>
    </row>
    <row r="163">
      <c r="B163" t="inlineStr">
        <is>
          <t>Beanbag Pumkin</t>
        </is>
      </c>
      <c r="C163" t="inlineStr">
        <is>
          <t>P : 70 x L : 85</t>
        </is>
      </c>
      <c r="H163" t="n">
        <v>60000</v>
      </c>
    </row>
    <row r="164">
      <c r="B164" t="inlineStr">
        <is>
          <t>Bantal Mini</t>
        </is>
      </c>
      <c r="C164" t="inlineStr">
        <is>
          <t>P : 40 x L : 40</t>
        </is>
      </c>
      <c r="H164" t="n">
        <v>15000</v>
      </c>
    </row>
    <row r="165">
      <c r="B165" t="inlineStr">
        <is>
          <t>Bantal Lesehan</t>
        </is>
      </c>
      <c r="C165" t="inlineStr">
        <is>
          <t>P : 40 x L : 40</t>
        </is>
      </c>
      <c r="H165" t="n">
        <v>20000</v>
      </c>
    </row>
    <row r="166">
      <c r="B166" t="inlineStr">
        <is>
          <t>Kursi Barstool Kotak Hitam &amp; Putih</t>
        </is>
      </c>
      <c r="C166" t="inlineStr">
        <is>
          <t>P : 40 x L : 40 x T : 85</t>
        </is>
      </c>
      <c r="H166" t="n">
        <v>100000</v>
      </c>
    </row>
    <row r="167">
      <c r="B167" t="inlineStr">
        <is>
          <t>Kursi Barstool Sender Hitam &amp; Putih</t>
        </is>
      </c>
      <c r="C167" t="inlineStr">
        <is>
          <t>P : 40 x L : 40 x T : 85</t>
        </is>
      </c>
      <c r="H167" t="n">
        <v>150000</v>
      </c>
    </row>
    <row r="168">
      <c r="B168" t="inlineStr">
        <is>
          <t>Kursi Barstool Fiber</t>
        </is>
      </c>
      <c r="C168" t="inlineStr">
        <is>
          <t>P : 29 x L : 44 x T : 67-69</t>
        </is>
      </c>
      <c r="H168" t="n">
        <v>125000</v>
      </c>
    </row>
    <row r="169">
      <c r="B169" t="inlineStr">
        <is>
          <t>Meja Bar Hitam / Putih</t>
        </is>
      </c>
      <c r="C169" t="inlineStr">
        <is>
          <t>D : 60 x T : 100</t>
        </is>
      </c>
      <c r="H169" t="n">
        <v>100000</v>
      </c>
    </row>
    <row r="170">
      <c r="B170" t="inlineStr">
        <is>
          <t>Meja Bar Cover Rempel Putih/Hitam + Pita</t>
        </is>
      </c>
      <c r="C170" t="inlineStr">
        <is>
          <t>-</t>
        </is>
      </c>
      <c r="H170" t="n">
        <v>150000</v>
      </c>
    </row>
    <row r="171">
      <c r="B171" t="inlineStr">
        <is>
          <t>Meja Bar Cover Ketat Putih/Hitam</t>
        </is>
      </c>
      <c r="C171" t="inlineStr">
        <is>
          <t>-</t>
        </is>
      </c>
      <c r="H171" t="n">
        <v>150000</v>
      </c>
    </row>
    <row r="172">
      <c r="B172" t="inlineStr">
        <is>
          <t>Meja Bar Ragna Coklat / Putih</t>
        </is>
      </c>
      <c r="C172" t="inlineStr">
        <is>
          <t>D : 50 x T : 75</t>
        </is>
      </c>
      <c r="H172" t="n">
        <v>125000</v>
      </c>
    </row>
    <row r="173">
      <c r="B173" t="inlineStr">
        <is>
          <t>Meja IBM Besar</t>
        </is>
      </c>
      <c r="C173" t="inlineStr">
        <is>
          <t>P : 180 x L : 60 x T : 75</t>
        </is>
      </c>
      <c r="H173" t="n">
        <v>125000</v>
      </c>
    </row>
    <row r="174">
      <c r="B174" t="inlineStr">
        <is>
          <t>Meja IBM Kecil</t>
        </is>
      </c>
      <c r="C174" t="inlineStr">
        <is>
          <t>P : 180 x L : 45 x T : 75</t>
        </is>
      </c>
      <c r="H174" t="n">
        <v>100000</v>
      </c>
    </row>
    <row r="175">
      <c r="B175" t="inlineStr">
        <is>
          <t>Meja IBM Besar Cover Ketat Hitam/Putih</t>
        </is>
      </c>
      <c r="C175" t="inlineStr">
        <is>
          <t>P : 180 x L : 60 x T : 75</t>
        </is>
      </c>
      <c r="H175" t="n">
        <v>150000</v>
      </c>
    </row>
    <row r="176">
      <c r="B176" t="inlineStr">
        <is>
          <t>Meja IBM Kecil Cover Ketat Hitam/Putih</t>
        </is>
      </c>
      <c r="C176" t="inlineStr">
        <is>
          <t>P : 180 x L : 45 x T : 75</t>
        </is>
      </c>
      <c r="H176" t="n">
        <v>125000</v>
      </c>
    </row>
    <row r="177">
      <c r="B177" t="inlineStr">
        <is>
          <t>Meja IBM Besar Cover Rempel Hitam/Putih</t>
        </is>
      </c>
      <c r="C177" t="inlineStr">
        <is>
          <t>P : 180 x L : 60 x T : 75</t>
        </is>
      </c>
      <c r="H177" t="n">
        <v>150000</v>
      </c>
    </row>
    <row r="178">
      <c r="B178" t="inlineStr">
        <is>
          <t>Meja IBM Kecil Cover Rempel Hitam/Putih</t>
        </is>
      </c>
      <c r="C178" t="inlineStr">
        <is>
          <t>P : 180 x L : 45 x T : 75</t>
        </is>
      </c>
      <c r="H178" t="n">
        <v>125000</v>
      </c>
    </row>
    <row r="179">
      <c r="B179" t="inlineStr">
        <is>
          <t>Meja Prasmanan Cover Ketat Putih / Hitam</t>
        </is>
      </c>
      <c r="C179" t="inlineStr">
        <is>
          <t>P : 120 x L : 80</t>
        </is>
      </c>
      <c r="H179" t="n">
        <v>100000</v>
      </c>
    </row>
    <row r="180">
      <c r="B180" t="inlineStr">
        <is>
          <t>Meja Prasmanan Cover Rempel Putih / Hitam</t>
        </is>
      </c>
      <c r="C180" t="inlineStr">
        <is>
          <t>P : 120 x L : 80</t>
        </is>
      </c>
      <c r="H180" t="n">
        <v>100000</v>
      </c>
    </row>
    <row r="181">
      <c r="B181" t="inlineStr">
        <is>
          <t>Meja Taman IBM Cover Rempel Putih/Hitam</t>
        </is>
      </c>
      <c r="C181" t="inlineStr">
        <is>
          <t>P : 120 x L : 60</t>
        </is>
      </c>
      <c r="H181" t="n">
        <v>100000</v>
      </c>
    </row>
    <row r="182">
      <c r="B182" t="inlineStr">
        <is>
          <t>Meja Taman IBM Cover Ketat Putih/Hitam</t>
        </is>
      </c>
      <c r="C182" t="inlineStr">
        <is>
          <t>P : 120 x L : 60</t>
        </is>
      </c>
      <c r="H182" t="n">
        <v>100000</v>
      </c>
    </row>
    <row r="183">
      <c r="B183" t="inlineStr">
        <is>
          <t>Meja Peresmian</t>
        </is>
      </c>
      <c r="C183" t="inlineStr">
        <is>
          <t>P : 120 x L : 60</t>
        </is>
      </c>
      <c r="H183" t="n">
        <v>350000</v>
      </c>
    </row>
    <row r="184">
      <c r="B184" t="inlineStr">
        <is>
          <t>Meja Roundtable Cover Rempel Putih/Hitam (120)</t>
        </is>
      </c>
      <c r="C184" t="inlineStr">
        <is>
          <t>D : 120</t>
        </is>
      </c>
      <c r="H184" t="n">
        <v>100000</v>
      </c>
    </row>
    <row r="185">
      <c r="B185" t="inlineStr">
        <is>
          <t>Meja Roundtable Cover Rempel Putih/Hitam (120)</t>
        </is>
      </c>
      <c r="C185" t="inlineStr">
        <is>
          <t>D : 120</t>
        </is>
      </c>
      <c r="H185" t="n">
        <v>100000</v>
      </c>
    </row>
    <row r="186">
      <c r="B186" t="inlineStr">
        <is>
          <t>Meja Roundtable Cover Rempel/Ketat + Runner + Bunga (120)</t>
        </is>
      </c>
      <c r="C186" t="inlineStr">
        <is>
          <t>D : 120</t>
        </is>
      </c>
      <c r="H186" t="n">
        <v>130000</v>
      </c>
    </row>
    <row r="187">
      <c r="B187" t="inlineStr">
        <is>
          <t>Meja Roundtable Cover Rempel/Ketat + Taplak VIP + Bunga (120)</t>
        </is>
      </c>
      <c r="C187" t="inlineStr">
        <is>
          <t>D : 120</t>
        </is>
      </c>
      <c r="H187" t="n">
        <v>145000</v>
      </c>
    </row>
    <row r="188">
      <c r="B188" t="inlineStr">
        <is>
          <t>Meja Roundtable Cover Rempel/Ketat + Taplak VIP + Runner + Bunga (120)</t>
        </is>
      </c>
      <c r="C188" t="inlineStr">
        <is>
          <t>D : 120</t>
        </is>
      </c>
      <c r="H188" t="n">
        <v>150000</v>
      </c>
    </row>
    <row r="189">
      <c r="B189" t="inlineStr">
        <is>
          <t>Meja Roundtable Polos (160)</t>
        </is>
      </c>
      <c r="C189" t="inlineStr">
        <is>
          <t>D : 160</t>
        </is>
      </c>
      <c r="H189" t="n">
        <v>100000</v>
      </c>
    </row>
    <row r="190">
      <c r="B190" t="inlineStr">
        <is>
          <t>Meja Roundtable Cover Rempel Putih/Hitam (160)</t>
        </is>
      </c>
      <c r="C190" t="inlineStr">
        <is>
          <t>D : 160</t>
        </is>
      </c>
      <c r="H190" t="n">
        <v>150000</v>
      </c>
    </row>
    <row r="191">
      <c r="B191" t="inlineStr">
        <is>
          <t>Meja Roundtable Cover Rempel Putih/Hitam (160)</t>
        </is>
      </c>
      <c r="C191" t="inlineStr">
        <is>
          <t>D : 160</t>
        </is>
      </c>
      <c r="H191" t="n">
        <v>150000</v>
      </c>
    </row>
    <row r="192">
      <c r="B192" t="inlineStr">
        <is>
          <t>Meja Roundtable Cover Rempel/Ketat + Runner + Bunga (160)</t>
        </is>
      </c>
      <c r="C192" t="inlineStr">
        <is>
          <t>D : 160</t>
        </is>
      </c>
      <c r="H192" t="n">
        <v>180000</v>
      </c>
    </row>
    <row r="193">
      <c r="B193" t="inlineStr">
        <is>
          <t>Meja Roundtable Cover Rempel/Ketat + Taplak VIP + Bunga (160)</t>
        </is>
      </c>
      <c r="C193" t="inlineStr">
        <is>
          <t>D : 160</t>
        </is>
      </c>
      <c r="H193" t="n">
        <v>195000</v>
      </c>
    </row>
    <row r="194">
      <c r="B194" t="inlineStr">
        <is>
          <t>Meja Roundtable Cover Rempel/Ketat + Taplak VIP + Runner + Bunga (160)</t>
        </is>
      </c>
      <c r="C194" t="inlineStr">
        <is>
          <t>D : 160</t>
        </is>
      </c>
      <c r="H194" t="n">
        <v>200000</v>
      </c>
    </row>
    <row r="195">
      <c r="B195" t="inlineStr">
        <is>
          <t>Meja Roundtable Polos (180)</t>
        </is>
      </c>
      <c r="C195" t="inlineStr">
        <is>
          <t>D : 180</t>
        </is>
      </c>
      <c r="H195" t="n">
        <v>150000</v>
      </c>
    </row>
    <row r="196">
      <c r="B196" t="inlineStr">
        <is>
          <t>Meja Roundtable Cover Rempel Putih/Hitam (180)</t>
        </is>
      </c>
      <c r="C196" t="inlineStr">
        <is>
          <t>D : 180</t>
        </is>
      </c>
      <c r="H196" t="n">
        <v>250000</v>
      </c>
    </row>
    <row r="197">
      <c r="B197" t="inlineStr">
        <is>
          <t>Meja Roundtable Cover Rempel Putih/Hitam (180)</t>
        </is>
      </c>
      <c r="C197" t="inlineStr">
        <is>
          <t>D : 180</t>
        </is>
      </c>
      <c r="H197" t="n">
        <v>250000</v>
      </c>
    </row>
    <row r="198">
      <c r="B198" t="inlineStr">
        <is>
          <t>Meja Roundtable Cover Rempel/Ketat + Runner + Bunga (180)</t>
        </is>
      </c>
      <c r="C198" t="inlineStr">
        <is>
          <t>D : 180</t>
        </is>
      </c>
      <c r="H198" t="n">
        <v>280000</v>
      </c>
    </row>
    <row r="199">
      <c r="B199" t="inlineStr">
        <is>
          <t>Meja Roundtable Cover Rempel/Ketat + Taplak VIP + Bunga (180)</t>
        </is>
      </c>
      <c r="C199" t="inlineStr">
        <is>
          <t>D : 180</t>
        </is>
      </c>
      <c r="H199" t="n">
        <v>295000</v>
      </c>
    </row>
    <row r="200">
      <c r="B200" t="inlineStr">
        <is>
          <t>Meja Roundtable Cover Rempel/Ketat + Taplak VIP + Runner + Bunga (180)</t>
        </is>
      </c>
      <c r="C200" t="inlineStr">
        <is>
          <t>D : 180</t>
        </is>
      </c>
      <c r="H200" t="n">
        <v>300000</v>
      </c>
    </row>
    <row r="201">
      <c r="B201" t="inlineStr">
        <is>
          <t>Meja Sofa Kaca Putih / Hitam</t>
        </is>
      </c>
      <c r="C201" t="inlineStr">
        <is>
          <t>P : 120 x L : 60</t>
        </is>
      </c>
      <c r="H201" t="n">
        <v>100000</v>
      </c>
    </row>
    <row r="202">
      <c r="B202" t="inlineStr">
        <is>
          <t>Coffee Table Oval Kayu Putih</t>
        </is>
      </c>
      <c r="C202" t="inlineStr">
        <is>
          <t>P : 120 x L : 60</t>
        </is>
      </c>
      <c r="H202" t="n">
        <v>150000</v>
      </c>
    </row>
    <row r="203">
      <c r="B203" t="inlineStr">
        <is>
          <t>Meja Lesehan Jati Landa / Putih Besar</t>
        </is>
      </c>
      <c r="C203" t="inlineStr">
        <is>
          <t>P : 90 x L : 50 x T : 30</t>
        </is>
      </c>
      <c r="H203" t="n">
        <v>100000</v>
      </c>
    </row>
    <row r="204">
      <c r="B204" t="inlineStr">
        <is>
          <t>Meja Lesehan Jati Landa / Putih Kecil</t>
        </is>
      </c>
      <c r="C204" t="inlineStr">
        <is>
          <t>P : 50 x L : 50 x T : 30</t>
        </is>
      </c>
      <c r="H204" t="n">
        <v>50000</v>
      </c>
    </row>
    <row r="205">
      <c r="B205" t="inlineStr">
        <is>
          <t>Meja Kotak Kayu Putih</t>
        </is>
      </c>
      <c r="C205" t="inlineStr">
        <is>
          <t>P : 45 x L : 45</t>
        </is>
      </c>
      <c r="H205" t="n">
        <v>100000</v>
      </c>
    </row>
    <row r="206">
      <c r="B206" t="inlineStr">
        <is>
          <t>Meja Kotak Besi Putih</t>
        </is>
      </c>
      <c r="C206" t="inlineStr">
        <is>
          <t>P : 50 x L : 50</t>
        </is>
      </c>
      <c r="H206" t="n">
        <v>100000</v>
      </c>
    </row>
    <row r="207">
      <c r="B207" t="inlineStr">
        <is>
          <t>Meja Bulat Betawi / Kotak Arm Chair</t>
        </is>
      </c>
      <c r="C207" t="inlineStr">
        <is>
          <t>P : 120 x L : 60</t>
        </is>
      </c>
      <c r="H207" t="n">
        <v>100000</v>
      </c>
    </row>
    <row r="208">
      <c r="B208" t="inlineStr">
        <is>
          <t>Meja Sudut Jati</t>
        </is>
      </c>
      <c r="C208" t="inlineStr">
        <is>
          <t>P : 40 x L : 35</t>
        </is>
      </c>
      <c r="H208" t="n">
        <v>100000</v>
      </c>
    </row>
    <row r="209">
      <c r="B209" t="inlineStr">
        <is>
          <t>Meja Ragna Bulat Putih</t>
        </is>
      </c>
      <c r="C209" t="inlineStr">
        <is>
          <t>D : 50 x T : 45</t>
        </is>
      </c>
      <c r="H209" t="n">
        <v>100000</v>
      </c>
    </row>
    <row r="210">
      <c r="B210" t="inlineStr">
        <is>
          <t>Meja Cafe Kotak &amp; Bulat</t>
        </is>
      </c>
      <c r="C210" t="inlineStr">
        <is>
          <t>Kotak : P : 60 x L : 60 x T : 80, Bulat : P : 60 x L : 80</t>
        </is>
      </c>
      <c r="H210" t="n">
        <v>150000</v>
      </c>
    </row>
    <row r="211">
      <c r="B211" t="inlineStr">
        <is>
          <t>Meja Dealing Kaca</t>
        </is>
      </c>
      <c r="C211" t="inlineStr">
        <is>
          <t>D : 80 x T : 75</t>
        </is>
      </c>
      <c r="H211" t="n">
        <v>100000</v>
      </c>
    </row>
    <row r="212">
      <c r="B212" t="inlineStr">
        <is>
          <t>Meja Dealing Kaca Cover Tebar Hitam/Putih</t>
        </is>
      </c>
      <c r="C212" t="inlineStr">
        <is>
          <t>-</t>
        </is>
      </c>
      <c r="H212" t="n">
        <v>125000</v>
      </c>
    </row>
    <row r="213">
      <c r="B213" t="inlineStr">
        <is>
          <t>Meja Dealing Kaca Cover Tebar Hitam/Putih + Pita</t>
        </is>
      </c>
      <c r="C213" t="inlineStr">
        <is>
          <t>-</t>
        </is>
      </c>
      <c r="H213" t="n">
        <v>125000</v>
      </c>
    </row>
    <row r="214">
      <c r="B214" t="inlineStr">
        <is>
          <t>Signage A3 Landscape &amp; Potrait</t>
        </is>
      </c>
      <c r="C214" t="inlineStr">
        <is>
          <t>Tinggi Tiang : 92, A3 (T:30 L:42 / T:42 L:30)</t>
        </is>
      </c>
      <c r="H214" t="n">
        <v>150000</v>
      </c>
    </row>
    <row r="215">
      <c r="B215" t="inlineStr">
        <is>
          <t>Signage A4 Landscape &amp; Potrait</t>
        </is>
      </c>
      <c r="C215" t="inlineStr">
        <is>
          <t>Tinggi Tiang : 92, A4 (T:20 L:30 / T:30 L:20)</t>
        </is>
      </c>
      <c r="H215" t="n">
        <v>100000</v>
      </c>
    </row>
    <row r="216">
      <c r="B216" t="inlineStr">
        <is>
          <t>Podium Acrylic</t>
        </is>
      </c>
      <c r="C216" t="inlineStr">
        <is>
          <t>P : 40 x L : 60 x T : 117</t>
        </is>
      </c>
      <c r="H216" t="n">
        <v>600000</v>
      </c>
    </row>
    <row r="217">
      <c r="B217" t="inlineStr">
        <is>
          <t>Podium Kayu Garuda</t>
        </is>
      </c>
      <c r="C217" t="inlineStr">
        <is>
          <t>P : 70 x L : 38 x T : 120</t>
        </is>
      </c>
      <c r="H217" t="n">
        <v>700000</v>
      </c>
    </row>
    <row r="218">
      <c r="B218" t="inlineStr">
        <is>
          <t>Podium Sirine</t>
        </is>
      </c>
      <c r="C218" t="inlineStr">
        <is>
          <t>P : 25 x L : 25 x T : 100</t>
        </is>
      </c>
      <c r="H218" t="n">
        <v>700000</v>
      </c>
    </row>
    <row r="219">
      <c r="B219" t="inlineStr">
        <is>
          <t>Flipchart</t>
        </is>
      </c>
      <c r="C219" t="inlineStr">
        <is>
          <t>P : 100 x L : 70</t>
        </is>
      </c>
      <c r="H219" t="n">
        <v>150000</v>
      </c>
    </row>
    <row r="220">
      <c r="B220" t="inlineStr">
        <is>
          <t>Rak Brosur</t>
        </is>
      </c>
      <c r="C220" t="inlineStr">
        <is>
          <t>P : 30 x L : 25 x T : 145</t>
        </is>
      </c>
      <c r="H220" t="n">
        <v>200000</v>
      </c>
    </row>
    <row r="221">
      <c r="B221" t="inlineStr">
        <is>
          <t>Cermin Standing Hitam / Putih</t>
        </is>
      </c>
      <c r="C221" t="inlineStr">
        <is>
          <t>P : 36,5 x L : 4,3 x T : 136</t>
        </is>
      </c>
      <c r="H221" t="n">
        <v>125000</v>
      </c>
    </row>
    <row r="222">
      <c r="B222" t="inlineStr">
        <is>
          <t>Coffee Maker</t>
        </is>
      </c>
      <c r="C222" t="inlineStr">
        <is>
          <t>P : 30 x L : 30 x T : 50</t>
        </is>
      </c>
      <c r="H222" t="n">
        <v>150000</v>
      </c>
    </row>
    <row r="223">
      <c r="B223" t="inlineStr">
        <is>
          <t>Tiang Bendera/ Pataka Bendera</t>
        </is>
      </c>
      <c r="C223" t="inlineStr">
        <is>
          <t>T : 260</t>
        </is>
      </c>
      <c r="H223" t="n">
        <v>125000</v>
      </c>
    </row>
    <row r="224">
      <c r="B224" t="inlineStr">
        <is>
          <t>Tiang Number Meja 26 / 30 Cm</t>
        </is>
      </c>
      <c r="C224" t="inlineStr">
        <is>
          <t>26 cm / 30 cm</t>
        </is>
      </c>
      <c r="H224" t="n">
        <v>30000</v>
      </c>
    </row>
    <row r="225">
      <c r="B225" t="inlineStr">
        <is>
          <t>Tripod Foto</t>
        </is>
      </c>
      <c r="C225" t="inlineStr">
        <is>
          <t>T : 98 x L : 49</t>
        </is>
      </c>
      <c r="H225" t="n">
        <v>50000</v>
      </c>
    </row>
    <row r="226">
      <c r="B226" t="inlineStr">
        <is>
          <t>Karpet Permadani</t>
        </is>
      </c>
      <c r="C226" t="inlineStr">
        <is>
          <t>P : 3m x L : 2m</t>
        </is>
      </c>
      <c r="H226" t="n">
        <v>200000</v>
      </c>
    </row>
    <row r="227">
      <c r="B227" t="inlineStr">
        <is>
          <t>Karpet Musholla</t>
        </is>
      </c>
      <c r="C227" t="inlineStr">
        <is>
          <t>P : 5.7M x L : 1,2 M</t>
        </is>
      </c>
      <c r="H227" t="n">
        <v>200000</v>
      </c>
    </row>
    <row r="228">
      <c r="B228" t="inlineStr">
        <is>
          <t>Bunga Meja</t>
        </is>
      </c>
      <c r="C228" t="inlineStr">
        <is>
          <t>T : 20 x L : 20</t>
        </is>
      </c>
      <c r="H228" t="n">
        <v>20000</v>
      </c>
    </row>
    <row r="229">
      <c r="B229" t="inlineStr">
        <is>
          <t>Tempat Sampah 100 L</t>
        </is>
      </c>
      <c r="C229" t="inlineStr">
        <is>
          <t>-</t>
        </is>
      </c>
      <c r="H229" t="n">
        <v>125000</v>
      </c>
    </row>
    <row r="230">
      <c r="B230" t="inlineStr">
        <is>
          <t>Misty Fan</t>
        </is>
      </c>
      <c r="C230" t="inlineStr">
        <is>
          <t>-</t>
        </is>
      </c>
      <c r="H230" t="n">
        <v>400000</v>
      </c>
    </row>
    <row r="231">
      <c r="B231" t="inlineStr">
        <is>
          <t>Kipas Duduk</t>
        </is>
      </c>
      <c r="C231" t="inlineStr">
        <is>
          <t>-</t>
        </is>
      </c>
      <c r="H231" t="n">
        <v>100000</v>
      </c>
    </row>
    <row r="232">
      <c r="B232" t="inlineStr">
        <is>
          <t>AC Standing 3 PK</t>
        </is>
      </c>
      <c r="H232" t="n">
        <v>600000</v>
      </c>
    </row>
    <row r="233">
      <c r="B233" t="inlineStr">
        <is>
          <t>AC Standing 5 PK</t>
        </is>
      </c>
      <c r="H233" t="n">
        <v>800000</v>
      </c>
    </row>
    <row r="1207">
      <c r="B1207" t="inlineStr">
        <is>
          <t>NEW LIGHTING</t>
        </is>
      </c>
    </row>
    <row r="1208">
      <c r="B1208" t="inlineStr">
        <is>
          <t>Laser Show RGB 3W</t>
        </is>
      </c>
      <c r="C1208" t="inlineStr">
        <is>
          <t>1 unit, full color</t>
        </is>
      </c>
      <c r="D1208" t="n">
        <v>1</v>
      </c>
      <c r="E1208" t="inlineStr">
        <is>
          <t>unit</t>
        </is>
      </c>
      <c r="F1208" t="n">
        <v>1</v>
      </c>
      <c r="G1208" t="inlineStr">
        <is>
          <t>project</t>
        </is>
      </c>
      <c r="H1208" t="n">
        <v>1500000</v>
      </c>
    </row>
    <row r="1209">
      <c r="B1209" t="inlineStr">
        <is>
          <t>Hazer Machine</t>
        </is>
      </c>
      <c r="C1209" t="inlineStr">
        <is>
          <t>1 unit, incl fluid</t>
        </is>
      </c>
      <c r="D1209" t="n">
        <v>1</v>
      </c>
      <c r="E1209" t="inlineStr">
        <is>
          <t>unit</t>
        </is>
      </c>
      <c r="F1209" t="n">
        <v>1</v>
      </c>
      <c r="G1209" t="inlineStr">
        <is>
          <t>project</t>
        </is>
      </c>
      <c r="H1209" t="n">
        <v>500000</v>
      </c>
    </row>
    <row r="1210">
      <c r="B1210" t="inlineStr">
        <is>
          <t>LED Matrix 5x5</t>
        </is>
      </c>
      <c r="C1210" t="inlineStr">
        <is>
          <t>RGB mapping</t>
        </is>
      </c>
      <c r="D1210" t="n">
        <v>1</v>
      </c>
      <c r="E1210" t="inlineStr">
        <is>
          <t>unit</t>
        </is>
      </c>
      <c r="F1210" t="n">
        <v>1</v>
      </c>
      <c r="G1210" t="inlineStr">
        <is>
          <t>project</t>
        </is>
      </c>
      <c r="H1210" t="n">
        <v>250000</v>
      </c>
    </row>
    <row r="1211">
      <c r="B1211" t="inlineStr">
        <is>
          <t>Lighting Console GrandMA2</t>
        </is>
      </c>
      <c r="C1211" t="inlineStr">
        <is>
          <t>Original / Command Wing</t>
        </is>
      </c>
      <c r="D1211" t="n">
        <v>1</v>
      </c>
      <c r="E1211" t="inlineStr">
        <is>
          <t>unit</t>
        </is>
      </c>
      <c r="F1211" t="n">
        <v>1</v>
      </c>
      <c r="G1211" t="inlineStr">
        <is>
          <t>project</t>
        </is>
      </c>
      <c r="H1211" t="n">
        <v>3500000</v>
      </c>
    </row>
    <row r="1213">
      <c r="B1213" t="inlineStr">
        <is>
          <t>NEW SOUND SYSTEM</t>
        </is>
      </c>
    </row>
    <row r="1214">
      <c r="B1214" t="inlineStr">
        <is>
          <t>Wireless Mic Shure UR4D</t>
        </is>
      </c>
      <c r="C1214" t="inlineStr">
        <is>
          <t>Dual channel</t>
        </is>
      </c>
      <c r="D1214" t="n">
        <v>1</v>
      </c>
      <c r="E1214" t="inlineStr">
        <is>
          <t>set</t>
        </is>
      </c>
      <c r="F1214" t="n">
        <v>1</v>
      </c>
      <c r="G1214" t="inlineStr">
        <is>
          <t>day</t>
        </is>
      </c>
      <c r="H1214" t="n">
        <v>1000000</v>
      </c>
    </row>
    <row r="1215">
      <c r="B1215" t="inlineStr">
        <is>
          <t>Mic Drum Pkg Shure/AKG</t>
        </is>
      </c>
      <c r="C1215" t="inlineStr">
        <is>
          <t>Full set mics</t>
        </is>
      </c>
      <c r="D1215" t="n">
        <v>1</v>
      </c>
      <c r="E1215" t="inlineStr">
        <is>
          <t>set</t>
        </is>
      </c>
      <c r="F1215" t="n">
        <v>1</v>
      </c>
      <c r="G1215" t="inlineStr">
        <is>
          <t>day</t>
        </is>
      </c>
      <c r="H1215" t="n">
        <v>1500000</v>
      </c>
    </row>
    <row r="1216">
      <c r="B1216" t="inlineStr">
        <is>
          <t>Digital Mixer M32</t>
        </is>
      </c>
      <c r="C1216" t="inlineStr">
        <is>
          <t>32 channel</t>
        </is>
      </c>
      <c r="D1216" t="n">
        <v>1</v>
      </c>
      <c r="E1216" t="inlineStr">
        <is>
          <t>unit</t>
        </is>
      </c>
      <c r="F1216" t="n">
        <v>1</v>
      </c>
      <c r="G1216" t="inlineStr">
        <is>
          <t>day</t>
        </is>
      </c>
      <c r="H1216" t="n">
        <v>2500000</v>
      </c>
    </row>
    <row r="1217">
      <c r="B1217" t="inlineStr">
        <is>
          <t>IEM Sennheiser EW300</t>
        </is>
      </c>
      <c r="C1217" t="inlineStr">
        <is>
          <t>In-ear monitor</t>
        </is>
      </c>
      <c r="D1217" t="n">
        <v>1</v>
      </c>
      <c r="E1217" t="inlineStr">
        <is>
          <t>set</t>
        </is>
      </c>
      <c r="F1217" t="n">
        <v>1</v>
      </c>
      <c r="G1217" t="inlineStr">
        <is>
          <t>day</t>
        </is>
      </c>
      <c r="H1217" t="n">
        <v>800000</v>
      </c>
    </row>
    <row r="1218">
      <c r="B1218" t="inlineStr">
        <is>
          <t>Monitor Speaker Active 15"</t>
        </is>
      </c>
      <c r="C1218" t="inlineStr">
        <is>
          <t>Yamaha/QSC/JBL</t>
        </is>
      </c>
      <c r="D1218" t="n">
        <v>1</v>
      </c>
      <c r="E1218" t="inlineStr">
        <is>
          <t>unit</t>
        </is>
      </c>
      <c r="F1218" t="n">
        <v>1</v>
      </c>
      <c r="G1218" t="inlineStr">
        <is>
          <t>day</t>
        </is>
      </c>
      <c r="H1218" t="n">
        <v>350000</v>
      </c>
    </row>
    <row r="1220">
      <c r="B1220" t="inlineStr">
        <is>
          <t>NEW EQUIPMENT</t>
        </is>
      </c>
    </row>
    <row r="1221">
      <c r="B1221" t="inlineStr">
        <is>
          <t>AC Standing 3 PK</t>
        </is>
      </c>
      <c r="C1221" t="inlineStr">
        <is>
          <t>Incl. instalasi &amp; kabel</t>
        </is>
      </c>
      <c r="D1221" t="n">
        <v>1</v>
      </c>
      <c r="E1221" t="inlineStr">
        <is>
          <t>unit</t>
        </is>
      </c>
      <c r="F1221" t="n">
        <v>1</v>
      </c>
      <c r="G1221" t="inlineStr">
        <is>
          <t>day</t>
        </is>
      </c>
      <c r="H1221" t="n">
        <v>600000</v>
      </c>
    </row>
    <row r="1222">
      <c r="B1222" t="inlineStr">
        <is>
          <t>AC Standing 5 PK</t>
        </is>
      </c>
      <c r="C1222" t="inlineStr">
        <is>
          <t>Incl. instalasi &amp; kabel</t>
        </is>
      </c>
      <c r="D1222" t="n">
        <v>1</v>
      </c>
      <c r="E1222" t="inlineStr">
        <is>
          <t>unit</t>
        </is>
      </c>
      <c r="F1222" t="n">
        <v>1</v>
      </c>
      <c r="G1222" t="inlineStr">
        <is>
          <t>day</t>
        </is>
      </c>
      <c r="H1222" t="n">
        <v>800000</v>
      </c>
    </row>
    <row r="1223">
      <c r="B1223" t="inlineStr">
        <is>
          <t>Toilet Portable VIP</t>
        </is>
      </c>
      <c r="C1223" t="inlineStr">
        <is>
          <t>AC, wastafel, full service</t>
        </is>
      </c>
      <c r="D1223" t="n">
        <v>1</v>
      </c>
      <c r="E1223" t="inlineStr">
        <is>
          <t>unit</t>
        </is>
      </c>
      <c r="F1223" t="n">
        <v>1</v>
      </c>
      <c r="G1223" t="inlineStr">
        <is>
          <t>day</t>
        </is>
      </c>
      <c r="H1223" t="n">
        <v>2500000</v>
      </c>
    </row>
    <row r="1224">
      <c r="B1224" t="inlineStr">
        <is>
          <t>Handy Talky (HT)</t>
        </is>
      </c>
      <c r="C1224" t="inlineStr">
        <is>
          <t>Icom / Baofeng with earpiece</t>
        </is>
      </c>
      <c r="D1224" t="n">
        <v>1</v>
      </c>
      <c r="E1224" t="inlineStr">
        <is>
          <t>unit</t>
        </is>
      </c>
      <c r="F1224" t="n">
        <v>1</v>
      </c>
      <c r="G1224" t="inlineStr">
        <is>
          <t>day</t>
        </is>
      </c>
      <c r="H1224" t="n">
        <v>50000</v>
      </c>
    </row>
    <row r="1225">
      <c r="B1225" t="inlineStr">
        <is>
          <t>Megaphone Toa</t>
        </is>
      </c>
      <c r="C1225" t="inlineStr">
        <is>
          <t>Standard</t>
        </is>
      </c>
      <c r="D1225" t="n">
        <v>1</v>
      </c>
      <c r="E1225" t="inlineStr">
        <is>
          <t>unit</t>
        </is>
      </c>
      <c r="F1225" t="n">
        <v>1</v>
      </c>
      <c r="G1225" t="inlineStr">
        <is>
          <t>day</t>
        </is>
      </c>
      <c r="H1225" t="n">
        <v>100000</v>
      </c>
    </row>
    <row r="1226">
      <c r="B1226" t="inlineStr">
        <is>
          <t>Barricade Mojo</t>
        </is>
      </c>
      <c r="C1226" t="inlineStr">
        <is>
          <t>1m x 1m Aluminum Heavy Duty</t>
        </is>
      </c>
      <c r="D1226" t="n">
        <v>1</v>
      </c>
      <c r="E1226" t="inlineStr">
        <is>
          <t>unit</t>
        </is>
      </c>
      <c r="F1226" t="n">
        <v>1</v>
      </c>
      <c r="G1226" t="inlineStr">
        <is>
          <t>day</t>
        </is>
      </c>
      <c r="H1226" t="n">
        <v>150000</v>
      </c>
    </row>
    <row r="1227">
      <c r="B1227" t="inlineStr">
        <is>
          <t>LED TV 65"</t>
        </is>
      </c>
      <c r="C1227" t="inlineStr">
        <is>
          <t>Incl. standard bracket</t>
        </is>
      </c>
      <c r="D1227" t="n">
        <v>1</v>
      </c>
      <c r="E1227" t="inlineStr">
        <is>
          <t>unit</t>
        </is>
      </c>
      <c r="F1227" t="n">
        <v>1</v>
      </c>
      <c r="G1227" t="inlineStr">
        <is>
          <t>day</t>
        </is>
      </c>
      <c r="H1227" t="n">
        <v>1500000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Ratecard Gabungan + Audit Data</t>
        </is>
      </c>
    </row>
    <row r="2">
      <c r="A2" t="inlineStr">
        <is>
          <t>Default markup untuk Suggested Quot</t>
        </is>
      </c>
      <c r="B2" t="n">
        <v>0.2</v>
      </c>
      <c r="D2" t="inlineStr">
        <is>
          <t>Sumber digabung: Master Ratecard, Talent DB, Summary, HPP Vendor, PO/RFP, MUI Real Cost</t>
        </is>
      </c>
    </row>
    <row r="4">
      <c r="A4" t="inlineStr">
        <is>
          <t>No</t>
        </is>
      </c>
      <c r="B4" t="inlineStr">
        <is>
          <t>Source Sheet</t>
        </is>
      </c>
      <c r="C4" t="inlineStr">
        <is>
          <t>Source Row</t>
        </is>
      </c>
      <c r="D4" t="inlineStr">
        <is>
          <t>Record Type</t>
        </is>
      </c>
      <c r="E4" t="inlineStr">
        <is>
          <t>Vendor/Sumber</t>
        </is>
      </c>
      <c r="F4" t="inlineStr">
        <is>
          <t>Kategori</t>
        </is>
      </c>
      <c r="G4" t="inlineStr">
        <is>
          <t>Sub-Kategori</t>
        </is>
      </c>
      <c r="H4" t="inlineStr">
        <is>
          <t>Item</t>
        </is>
      </c>
      <c r="I4" t="inlineStr">
        <is>
          <t>Spesifikasi</t>
        </is>
      </c>
      <c r="J4" t="inlineStr">
        <is>
          <t>Satuan</t>
        </is>
      </c>
      <c r="K4" t="inlineStr">
        <is>
          <t>Qty Ref</t>
        </is>
      </c>
      <c r="L4" t="inlineStr">
        <is>
          <t>HPP Min</t>
        </is>
      </c>
      <c r="M4" t="inlineStr">
        <is>
          <t>HPP Max</t>
        </is>
      </c>
      <c r="N4" t="inlineStr">
        <is>
          <t>HPP Avg</t>
        </is>
      </c>
      <c r="O4" t="inlineStr">
        <is>
          <t>Quot Min</t>
        </is>
      </c>
      <c r="P4" t="inlineStr">
        <is>
          <t>Quot Max</t>
        </is>
      </c>
      <c r="Q4" t="inlineStr">
        <is>
          <t>Quot Avg</t>
        </is>
      </c>
      <c r="R4" t="inlineStr">
        <is>
          <t>Suggested Quot</t>
        </is>
      </c>
      <c r="S4" t="inlineStr">
        <is>
          <t>Margin % (Actual)</t>
        </is>
      </c>
      <c r="T4" t="inlineStr">
        <is>
          <t>Tahun Ref</t>
        </is>
      </c>
      <c r="U4" t="inlineStr">
        <is>
          <t>Event/Project</t>
        </is>
      </c>
      <c r="V4" t="inlineStr">
        <is>
          <t>Source Doc</t>
        </is>
      </c>
      <c r="W4" t="inlineStr">
        <is>
          <t>Catatan</t>
        </is>
      </c>
      <c r="X4" t="inlineStr">
        <is>
          <t>Audit Flag</t>
        </is>
      </c>
      <c r="Y4" t="inlineStr">
        <is>
          <t>Duplicate Key</t>
        </is>
      </c>
    </row>
    <row r="5">
      <c r="A5" t="n">
        <v>1</v>
      </c>
      <c r="B5" t="inlineStr">
        <is>
          <t>📋 PO &amp; RFP DATA</t>
        </is>
      </c>
      <c r="C5" t="n">
        <v>26</v>
      </c>
      <c r="D5" t="inlineStr">
        <is>
          <t>PO/RFP HPP</t>
        </is>
      </c>
      <c r="E5" t="inlineStr">
        <is>
          <t>Brilli A</t>
        </is>
      </c>
      <c r="F5" t="inlineStr">
        <is>
          <t>3D Design</t>
        </is>
      </c>
      <c r="H5" t="inlineStr">
        <is>
          <t>3D Design Item Production &amp; Revision</t>
        </is>
      </c>
      <c r="J5" t="inlineStr">
        <is>
          <t>package</t>
        </is>
      </c>
      <c r="K5" t="inlineStr">
        <is>
          <t>1</t>
        </is>
      </c>
      <c r="L5" t="n">
        <v>4000000</v>
      </c>
      <c r="M5" t="n">
        <v>4000000</v>
      </c>
      <c r="N5">
        <f>IF(COUNT(L5:M5)=0,"",AVERAGE(L5:M5))</f>
        <v/>
      </c>
      <c r="Q5">
        <f>IF(COUNT(O5:P5)=0,"",AVERAGE(O5:P5))</f>
        <v/>
      </c>
      <c r="R5">
        <f>IF(Q5&lt;&gt;"",Q5,IF(N5&lt;&gt;"",ROUND(N5*(1+$B$2),0),""))</f>
        <v/>
      </c>
      <c r="S5">
        <f>IF(AND(N5&lt;&gt;"",Q5&lt;&gt;"",N5&lt;&gt;0),(Q5-N5)/N5,"")</f>
        <v/>
      </c>
      <c r="T5" t="inlineStr">
        <is>
          <t>2025</t>
        </is>
      </c>
      <c r="U5" t="inlineStr">
        <is>
          <t>E-Quanik Melon Fest</t>
        </is>
      </c>
      <c r="V5" t="inlineStr">
        <is>
          <t>PO 50/JBBS/E-QUANIK/VI/2025</t>
        </is>
      </c>
      <c r="X5" t="inlineStr">
        <is>
          <t>OK</t>
        </is>
      </c>
      <c r="Y5" t="inlineStr">
        <is>
          <t>3d design item production &amp; revision | package</t>
        </is>
      </c>
    </row>
    <row r="6">
      <c r="A6" t="n">
        <v>2</v>
      </c>
      <c r="B6" t="inlineStr">
        <is>
          <t>📋 PO &amp; RFP DATA</t>
        </is>
      </c>
      <c r="C6" t="n">
        <v>53</v>
      </c>
      <c r="D6" t="inlineStr">
        <is>
          <t>PO/RFP HPP</t>
        </is>
      </c>
      <c r="E6" t="inlineStr">
        <is>
          <t>Widia W. Nursanty</t>
        </is>
      </c>
      <c r="F6" t="inlineStr">
        <is>
          <t>3D Design</t>
        </is>
      </c>
      <c r="H6" t="inlineStr">
        <is>
          <t>Design 3D GAPEMPI (paket)</t>
        </is>
      </c>
      <c r="J6" t="inlineStr">
        <is>
          <t>paket</t>
        </is>
      </c>
      <c r="K6" t="inlineStr">
        <is>
          <t>1</t>
        </is>
      </c>
      <c r="L6" t="n">
        <v>5000000</v>
      </c>
      <c r="M6" t="n">
        <v>5000000</v>
      </c>
      <c r="N6">
        <f>IF(COUNT(L6:M6)=0,"",AVERAGE(L6:M6))</f>
        <v/>
      </c>
      <c r="Q6">
        <f>IF(COUNT(O6:P6)=0,"",AVERAGE(O6:P6))</f>
        <v/>
      </c>
      <c r="R6">
        <f>IF(Q6&lt;&gt;"",Q6,IF(N6&lt;&gt;"",ROUND(N6*(1+$B$2),0),""))</f>
        <v/>
      </c>
      <c r="S6">
        <f>IF(AND(N6&lt;&gt;"",Q6&lt;&gt;"",N6&lt;&gt;0),(Q6-N6)/N6,"")</f>
        <v/>
      </c>
      <c r="T6" t="inlineStr">
        <is>
          <t>2026</t>
        </is>
      </c>
      <c r="U6" t="inlineStr">
        <is>
          <t>GAPEMPI Mandarin Oriental</t>
        </is>
      </c>
      <c r="V6" t="inlineStr">
        <is>
          <t>PO 014/JBBS/GAPEMPI/III/2026</t>
        </is>
      </c>
      <c r="X6" t="inlineStr">
        <is>
          <t>OK</t>
        </is>
      </c>
      <c r="Y6" t="inlineStr">
        <is>
          <t>design 3d gapempi (paket) | paket</t>
        </is>
      </c>
    </row>
    <row r="7">
      <c r="A7" t="n">
        <v>3</v>
      </c>
      <c r="B7" t="inlineStr">
        <is>
          <t>📋 PO &amp; RFP DATA</t>
        </is>
      </c>
      <c r="C7" t="n">
        <v>25</v>
      </c>
      <c r="D7" t="inlineStr">
        <is>
          <t>PO/RFP HPP</t>
        </is>
      </c>
      <c r="E7" t="inlineStr">
        <is>
          <t>Brilli A</t>
        </is>
      </c>
      <c r="F7" t="inlineStr">
        <is>
          <t>3D Design</t>
        </is>
      </c>
      <c r="H7" t="inlineStr">
        <is>
          <t>Initial 3D Item &amp; Venue Render</t>
        </is>
      </c>
      <c r="J7" t="inlineStr">
        <is>
          <t>package</t>
        </is>
      </c>
      <c r="K7" t="inlineStr">
        <is>
          <t>1</t>
        </is>
      </c>
      <c r="L7" t="n">
        <v>4000000</v>
      </c>
      <c r="M7" t="n">
        <v>4000000</v>
      </c>
      <c r="N7">
        <f>IF(COUNT(L7:M7)=0,"",AVERAGE(L7:M7))</f>
        <v/>
      </c>
      <c r="Q7">
        <f>IF(COUNT(O7:P7)=0,"",AVERAGE(O7:P7))</f>
        <v/>
      </c>
      <c r="R7">
        <f>IF(Q7&lt;&gt;"",Q7,IF(N7&lt;&gt;"",ROUND(N7*(1+$B$2),0),""))</f>
        <v/>
      </c>
      <c r="S7">
        <f>IF(AND(N7&lt;&gt;"",Q7&lt;&gt;"",N7&lt;&gt;0),(Q7-N7)/N7,"")</f>
        <v/>
      </c>
      <c r="T7" t="inlineStr">
        <is>
          <t>2025</t>
        </is>
      </c>
      <c r="U7" t="inlineStr">
        <is>
          <t>E-Quanik Melon Fest</t>
        </is>
      </c>
      <c r="V7" t="inlineStr">
        <is>
          <t>PO 50/JBBS/E-QUANIK/VI/2025</t>
        </is>
      </c>
      <c r="X7" t="inlineStr">
        <is>
          <t>OK</t>
        </is>
      </c>
      <c r="Y7" t="inlineStr">
        <is>
          <t>initial 3d item &amp; venue render | package</t>
        </is>
      </c>
    </row>
    <row r="8">
      <c r="A8" t="n">
        <v>4</v>
      </c>
      <c r="B8" t="inlineStr">
        <is>
          <t>📋 PO &amp; RFP DATA</t>
        </is>
      </c>
      <c r="C8" t="n">
        <v>14</v>
      </c>
      <c r="D8" t="inlineStr">
        <is>
          <t>PO/RFP HPP</t>
        </is>
      </c>
      <c r="E8" t="inlineStr">
        <is>
          <t>The Alana Hotel Sentul</t>
        </is>
      </c>
      <c r="F8" t="inlineStr">
        <is>
          <t>Akomodasi</t>
        </is>
      </c>
      <c r="H8" t="inlineStr">
        <is>
          <t>Deluxe King Room</t>
        </is>
      </c>
      <c r="I8" t="inlineStr">
        <is>
          <t>2 malam</t>
        </is>
      </c>
      <c r="J8" t="inlineStr">
        <is>
          <t>room/2nights</t>
        </is>
      </c>
      <c r="K8" t="inlineStr">
        <is>
          <t>1</t>
        </is>
      </c>
      <c r="L8" t="n">
        <v>2800000</v>
      </c>
      <c r="M8" t="n">
        <v>2800000</v>
      </c>
      <c r="N8">
        <f>IF(COUNT(L8:M8)=0,"",AVERAGE(L8:M8))</f>
        <v/>
      </c>
      <c r="Q8">
        <f>IF(COUNT(O8:P8)=0,"",AVERAGE(O8:P8))</f>
        <v/>
      </c>
      <c r="R8">
        <f>IF(Q8&lt;&gt;"",Q8,IF(N8&lt;&gt;"",ROUND(N8*(1+$B$2),0),""))</f>
        <v/>
      </c>
      <c r="S8">
        <f>IF(AND(N8&lt;&gt;"",Q8&lt;&gt;"",N8&lt;&gt;0),(Q8-N8)/N8,"")</f>
        <v/>
      </c>
      <c r="T8" t="inlineStr">
        <is>
          <t>2025</t>
        </is>
      </c>
      <c r="U8" t="inlineStr">
        <is>
          <t>OCBC Disney Orchestra</t>
        </is>
      </c>
      <c r="V8" t="inlineStr">
        <is>
          <t>Rp1.400.000/malam</t>
        </is>
      </c>
      <c r="X8" t="inlineStr">
        <is>
          <t>OK</t>
        </is>
      </c>
      <c r="Y8" t="inlineStr">
        <is>
          <t>deluxe king room | room/2nights</t>
        </is>
      </c>
    </row>
    <row r="9">
      <c r="A9" t="n">
        <v>5</v>
      </c>
      <c r="B9" t="inlineStr">
        <is>
          <t>📋 PO &amp; RFP DATA</t>
        </is>
      </c>
      <c r="C9" t="n">
        <v>15</v>
      </c>
      <c r="D9" t="inlineStr">
        <is>
          <t>PO/RFP HPP</t>
        </is>
      </c>
      <c r="E9" t="inlineStr">
        <is>
          <t>The Alana Hotel Sentul</t>
        </is>
      </c>
      <c r="F9" t="inlineStr">
        <is>
          <t>Akomodasi</t>
        </is>
      </c>
      <c r="H9" t="inlineStr">
        <is>
          <t>Deluxe Twin Room</t>
        </is>
      </c>
      <c r="I9" t="inlineStr">
        <is>
          <t>2 malam</t>
        </is>
      </c>
      <c r="J9" t="inlineStr">
        <is>
          <t>room/2nights</t>
        </is>
      </c>
      <c r="K9" t="inlineStr">
        <is>
          <t>1</t>
        </is>
      </c>
      <c r="L9" t="n">
        <v>2800000</v>
      </c>
      <c r="M9" t="n">
        <v>2800000</v>
      </c>
      <c r="N9">
        <f>IF(COUNT(L9:M9)=0,"",AVERAGE(L9:M9))</f>
        <v/>
      </c>
      <c r="Q9">
        <f>IF(COUNT(O9:P9)=0,"",AVERAGE(O9:P9))</f>
        <v/>
      </c>
      <c r="R9">
        <f>IF(Q9&lt;&gt;"",Q9,IF(N9&lt;&gt;"",ROUND(N9*(1+$B$2),0),""))</f>
        <v/>
      </c>
      <c r="S9">
        <f>IF(AND(N9&lt;&gt;"",Q9&lt;&gt;"",N9&lt;&gt;0),(Q9-N9)/N9,"")</f>
        <v/>
      </c>
      <c r="T9" t="inlineStr">
        <is>
          <t>2025</t>
        </is>
      </c>
      <c r="U9" t="inlineStr">
        <is>
          <t>OCBC Disney Orchestra</t>
        </is>
      </c>
      <c r="V9" t="inlineStr">
        <is>
          <t>Rp1.400.000/malam</t>
        </is>
      </c>
      <c r="X9" t="inlineStr">
        <is>
          <t>OK</t>
        </is>
      </c>
      <c r="Y9" t="inlineStr">
        <is>
          <t>deluxe twin room | room/2nights</t>
        </is>
      </c>
    </row>
    <row r="10">
      <c r="A10" t="n">
        <v>6</v>
      </c>
      <c r="B10" t="inlineStr">
        <is>
          <t>📋 PO &amp; RFP DATA</t>
        </is>
      </c>
      <c r="C10" t="n">
        <v>17</v>
      </c>
      <c r="D10" t="inlineStr">
        <is>
          <t>PO/RFP HPP</t>
        </is>
      </c>
      <c r="E10" t="inlineStr">
        <is>
          <t>The Alana Hotel Sentul</t>
        </is>
      </c>
      <c r="F10" t="inlineStr">
        <is>
          <t>Akomodasi</t>
        </is>
      </c>
      <c r="H10" t="inlineStr">
        <is>
          <t>Room + Breakfast Standard</t>
        </is>
      </c>
      <c r="I10" t="inlineStr">
        <is>
          <t>1 malam</t>
        </is>
      </c>
      <c r="J10" t="inlineStr">
        <is>
          <t>room/night</t>
        </is>
      </c>
      <c r="K10" t="inlineStr">
        <is>
          <t>1</t>
        </is>
      </c>
      <c r="L10" t="n">
        <v>980000</v>
      </c>
      <c r="M10" t="n">
        <v>980000</v>
      </c>
      <c r="N10">
        <f>IF(COUNT(L10:M10)=0,"",AVERAGE(L10:M10))</f>
        <v/>
      </c>
      <c r="Q10">
        <f>IF(COUNT(O10:P10)=0,"",AVERAGE(O10:P10))</f>
        <v/>
      </c>
      <c r="R10">
        <f>IF(Q10&lt;&gt;"",Q10,IF(N10&lt;&gt;"",ROUND(N10*(1+$B$2),0),""))</f>
        <v/>
      </c>
      <c r="S10">
        <f>IF(AND(N10&lt;&gt;"",Q10&lt;&gt;"",N10&lt;&gt;0),(Q10-N10)/N10,"")</f>
        <v/>
      </c>
      <c r="T10" t="inlineStr">
        <is>
          <t>2025</t>
        </is>
      </c>
      <c r="U10" t="inlineStr">
        <is>
          <t>OCBC Disney Orchestra</t>
        </is>
      </c>
      <c r="V10" t="inlineStr">
        <is>
          <t>per room per night</t>
        </is>
      </c>
      <c r="X10" t="inlineStr">
        <is>
          <t>OK</t>
        </is>
      </c>
      <c r="Y10" t="inlineStr">
        <is>
          <t>room + breakfast standard | room/night</t>
        </is>
      </c>
    </row>
    <row r="11">
      <c r="A11" t="n">
        <v>7</v>
      </c>
      <c r="B11" t="inlineStr">
        <is>
          <t>📋 PO &amp; RFP DATA</t>
        </is>
      </c>
      <c r="C11" t="n">
        <v>13</v>
      </c>
      <c r="D11" t="inlineStr">
        <is>
          <t>PO/RFP HPP</t>
        </is>
      </c>
      <c r="E11" t="inlineStr">
        <is>
          <t>The Alana Hotel Sentul</t>
        </is>
      </c>
      <c r="F11" t="inlineStr">
        <is>
          <t>Akomodasi</t>
        </is>
      </c>
      <c r="H11" t="inlineStr">
        <is>
          <t>Suite Room</t>
        </is>
      </c>
      <c r="I11" t="inlineStr">
        <is>
          <t>13-15 June (2 malam)</t>
        </is>
      </c>
      <c r="J11" t="inlineStr">
        <is>
          <t>room/2nights</t>
        </is>
      </c>
      <c r="K11" t="inlineStr">
        <is>
          <t>1</t>
        </is>
      </c>
      <c r="L11" t="n">
        <v>4955118</v>
      </c>
      <c r="M11" t="n">
        <v>4955118</v>
      </c>
      <c r="N11">
        <f>IF(COUNT(L11:M11)=0,"",AVERAGE(L11:M11))</f>
        <v/>
      </c>
      <c r="Q11">
        <f>IF(COUNT(O11:P11)=0,"",AVERAGE(O11:P11))</f>
        <v/>
      </c>
      <c r="R11">
        <f>IF(Q11&lt;&gt;"",Q11,IF(N11&lt;&gt;"",ROUND(N11*(1+$B$2),0),""))</f>
        <v/>
      </c>
      <c r="S11">
        <f>IF(AND(N11&lt;&gt;"",Q11&lt;&gt;"",N11&lt;&gt;0),(Q11-N11)/N11,"")</f>
        <v/>
      </c>
      <c r="T11" t="inlineStr">
        <is>
          <t>2025</t>
        </is>
      </c>
      <c r="U11" t="inlineStr">
        <is>
          <t>OCBC Disney Orchestra</t>
        </is>
      </c>
      <c r="V11" t="inlineStr">
        <is>
          <t>PO 52/JBBS/OCBC/VI/2025; Rp2.477.559/malam</t>
        </is>
      </c>
      <c r="X11" t="inlineStr">
        <is>
          <t>OK</t>
        </is>
      </c>
      <c r="Y11" t="inlineStr">
        <is>
          <t>suite room | room/2nights</t>
        </is>
      </c>
    </row>
    <row r="12">
      <c r="A12" t="n">
        <v>8</v>
      </c>
      <c r="B12" t="inlineStr">
        <is>
          <t>📋 PO &amp; RFP DATA</t>
        </is>
      </c>
      <c r="C12" t="n">
        <v>16</v>
      </c>
      <c r="D12" t="inlineStr">
        <is>
          <t>PO/RFP HPP</t>
        </is>
      </c>
      <c r="E12" t="inlineStr">
        <is>
          <t>The Alana Hotel Sentul</t>
        </is>
      </c>
      <c r="F12" t="inlineStr">
        <is>
          <t>Akomodasi</t>
        </is>
      </c>
      <c r="H12" t="inlineStr">
        <is>
          <t>Upgrade President Suite</t>
        </is>
      </c>
      <c r="I12" t="inlineStr">
        <is>
          <t>2 malam</t>
        </is>
      </c>
      <c r="J12" t="inlineStr">
        <is>
          <t>room/2nights</t>
        </is>
      </c>
      <c r="K12" t="inlineStr">
        <is>
          <t>1</t>
        </is>
      </c>
      <c r="L12" t="n">
        <v>8400000</v>
      </c>
      <c r="M12" t="n">
        <v>8400000</v>
      </c>
      <c r="N12">
        <f>IF(COUNT(L12:M12)=0,"",AVERAGE(L12:M12))</f>
        <v/>
      </c>
      <c r="Q12">
        <f>IF(COUNT(O12:P12)=0,"",AVERAGE(O12:P12))</f>
        <v/>
      </c>
      <c r="R12">
        <f>IF(Q12&lt;&gt;"",Q12,IF(N12&lt;&gt;"",ROUND(N12*(1+$B$2),0),""))</f>
        <v/>
      </c>
      <c r="S12">
        <f>IF(AND(N12&lt;&gt;"",Q12&lt;&gt;"",N12&lt;&gt;0),(Q12-N12)/N12,"")</f>
        <v/>
      </c>
      <c r="T12" t="inlineStr">
        <is>
          <t>2025</t>
        </is>
      </c>
      <c r="U12" t="inlineStr">
        <is>
          <t>OCBC Disney Orchestra</t>
        </is>
      </c>
      <c r="V12" t="inlineStr">
        <is>
          <t>Rp4.200.000/malam</t>
        </is>
      </c>
      <c r="X12" t="inlineStr">
        <is>
          <t>OK</t>
        </is>
      </c>
      <c r="Y12" t="inlineStr">
        <is>
          <t>upgrade president suite | room/2nights</t>
        </is>
      </c>
    </row>
    <row r="13">
      <c r="A13" t="n">
        <v>9</v>
      </c>
      <c r="B13" t="inlineStr">
        <is>
          <t>💰 HPP VENDOR</t>
        </is>
      </c>
      <c r="C13" t="n">
        <v>78</v>
      </c>
      <c r="D13" t="inlineStr">
        <is>
          <t>Vendor HPP</t>
        </is>
      </c>
      <c r="F13" t="inlineStr">
        <is>
          <t>Bandung</t>
        </is>
      </c>
      <c r="H13" t="inlineStr">
        <is>
          <t>Production, Tenda, Talent, Manpower, F&amp;B</t>
        </is>
      </c>
      <c r="L13" t="n">
        <v>82</v>
      </c>
      <c r="M13" t="n">
        <v>82</v>
      </c>
      <c r="N13">
        <f>IF(COUNT(L13:M13)=0,"",AVERAGE(L13:M13))</f>
        <v/>
      </c>
      <c r="Q13">
        <f>IF(COUNT(O13:P13)=0,"",AVERAGE(O13:P13))</f>
        <v/>
      </c>
      <c r="R13">
        <f>IF(Q13&lt;&gt;"",Q13,IF(N13&lt;&gt;"",ROUND(N13*(1+$B$2),0),""))</f>
        <v/>
      </c>
      <c r="S13">
        <f>IF(AND(N13&lt;&gt;"",Q13&lt;&gt;"",N13&lt;&gt;0),(Q13-N13)/N13,"")</f>
        <v/>
      </c>
      <c r="U13" t="inlineStr">
        <is>
          <t>dinamixpro@...</t>
        </is>
      </c>
      <c r="V13" t="inlineStr">
        <is>
          <t>HPP Vendor</t>
        </is>
      </c>
      <c r="X13" t="inlineStr">
        <is>
          <t>Missing unit</t>
        </is>
      </c>
      <c r="Y13" t="inlineStr">
        <is>
          <t xml:space="preserve">production, tenda, talent, manpower, f&amp;b | </t>
        </is>
      </c>
    </row>
    <row r="14">
      <c r="A14" t="n">
        <v>10</v>
      </c>
      <c r="B14" t="inlineStr">
        <is>
          <t>💰 HPP VENDOR</t>
        </is>
      </c>
      <c r="C14" t="n">
        <v>79</v>
      </c>
      <c r="D14" t="inlineStr">
        <is>
          <t>Vendor HPP</t>
        </is>
      </c>
      <c r="F14" t="inlineStr">
        <is>
          <t>Bekasi</t>
        </is>
      </c>
      <c r="H14" t="inlineStr">
        <is>
          <t>Security, Guard, Ambulance, Damkar</t>
        </is>
      </c>
      <c r="L14" t="n">
        <v>895411213788</v>
      </c>
      <c r="M14" t="n">
        <v>895411213788</v>
      </c>
      <c r="N14">
        <f>IF(COUNT(L14:M14)=0,"",AVERAGE(L14:M14))</f>
        <v/>
      </c>
      <c r="Q14">
        <f>IF(COUNT(O14:P14)=0,"",AVERAGE(O14:P14))</f>
        <v/>
      </c>
      <c r="R14">
        <f>IF(Q14&lt;&gt;"",Q14,IF(N14&lt;&gt;"",ROUND(N14*(1+$B$2),0),""))</f>
        <v/>
      </c>
      <c r="S14">
        <f>IF(AND(N14&lt;&gt;"",Q14&lt;&gt;"",N14&lt;&gt;0),(Q14-N14)/N14,"")</f>
        <v/>
      </c>
      <c r="U14" t="inlineStr">
        <is>
          <t>ras.duarajagroup@gmail.com</t>
        </is>
      </c>
      <c r="V14" t="inlineStr">
        <is>
          <t>HPP Vendor</t>
        </is>
      </c>
      <c r="X14" t="inlineStr">
        <is>
          <t>Missing unit</t>
        </is>
      </c>
      <c r="Y14" t="inlineStr">
        <is>
          <t xml:space="preserve">security, guard, ambulance, damkar | </t>
        </is>
      </c>
    </row>
    <row r="15">
      <c r="A15" t="n">
        <v>11</v>
      </c>
      <c r="B15" t="inlineStr">
        <is>
          <t>🕌 MUI EVENT DATA</t>
        </is>
      </c>
      <c r="C15" t="n">
        <v>48</v>
      </c>
      <c r="D15" t="inlineStr">
        <is>
          <t>MUI Real Cost</t>
        </is>
      </c>
      <c r="E15" t="inlineStr">
        <is>
          <t>MUI/EO</t>
        </is>
      </c>
      <c r="F15" t="inlineStr">
        <is>
          <t>Branding</t>
        </is>
      </c>
      <c r="H15" t="inlineStr">
        <is>
          <t>Photowall dim.244x610cm</t>
        </is>
      </c>
      <c r="J15" t="inlineStr">
        <is>
          <t>pckg</t>
        </is>
      </c>
      <c r="K15" t="inlineStr">
        <is>
          <t>1</t>
        </is>
      </c>
      <c r="L15" t="n">
        <v>5000000</v>
      </c>
      <c r="M15" t="n">
        <v>5000000</v>
      </c>
      <c r="N15">
        <f>IF(COUNT(L15:M15)=0,"",AVERAGE(L15:M15))</f>
        <v/>
      </c>
      <c r="Q15">
        <f>IF(COUNT(O15:P15)=0,"",AVERAGE(O15:P15))</f>
        <v/>
      </c>
      <c r="R15">
        <f>IF(Q15&lt;&gt;"",Q15,IF(N15&lt;&gt;"",ROUND(N15*(1+$B$2),0),""))</f>
        <v/>
      </c>
      <c r="S15">
        <f>IF(AND(N15&lt;&gt;"",Q15&lt;&gt;"",N15&lt;&gt;0),(Q15-N15)/N15,"")</f>
        <v/>
      </c>
      <c r="T15" t="inlineStr">
        <is>
          <t>2026</t>
        </is>
      </c>
      <c r="U15" t="inlineStr">
        <is>
          <t>MUI Istiqlal 2026</t>
        </is>
      </c>
      <c r="V15" t="inlineStr">
        <is>
          <t>per photowall</t>
        </is>
      </c>
      <c r="X15" t="inlineStr">
        <is>
          <t>OK</t>
        </is>
      </c>
      <c r="Y15" t="inlineStr">
        <is>
          <t>photowall dim.244x610cm | pckg</t>
        </is>
      </c>
    </row>
    <row r="16">
      <c r="A16" t="n">
        <v>12</v>
      </c>
      <c r="B16" t="inlineStr">
        <is>
          <t>🕌 MUI EVENT DATA</t>
        </is>
      </c>
      <c r="C16" t="n">
        <v>47</v>
      </c>
      <c r="D16" t="inlineStr">
        <is>
          <t>MUI Real Cost</t>
        </is>
      </c>
      <c r="E16" t="inlineStr">
        <is>
          <t>MUI/EO</t>
        </is>
      </c>
      <c r="F16" t="inlineStr">
        <is>
          <t>Branding</t>
        </is>
      </c>
      <c r="H16" t="inlineStr">
        <is>
          <t>T-Banner 1.5x4m (incl. print+install)</t>
        </is>
      </c>
      <c r="J16" t="inlineStr">
        <is>
          <t>unit</t>
        </is>
      </c>
      <c r="K16" t="inlineStr">
        <is>
          <t>1</t>
        </is>
      </c>
      <c r="L16" t="n">
        <v>275000</v>
      </c>
      <c r="M16" t="n">
        <v>275000</v>
      </c>
      <c r="N16">
        <f>IF(COUNT(L16:M16)=0,"",AVERAGE(L16:M16))</f>
        <v/>
      </c>
      <c r="Q16">
        <f>IF(COUNT(O16:P16)=0,"",AVERAGE(O16:P16))</f>
        <v/>
      </c>
      <c r="R16">
        <f>IF(Q16&lt;&gt;"",Q16,IF(N16&lt;&gt;"",ROUND(N16*(1+$B$2),0),""))</f>
        <v/>
      </c>
      <c r="S16">
        <f>IF(AND(N16&lt;&gt;"",Q16&lt;&gt;"",N16&lt;&gt;0),(Q16-N16)/N16,"")</f>
        <v/>
      </c>
      <c r="T16" t="inlineStr">
        <is>
          <t>2026</t>
        </is>
      </c>
      <c r="U16" t="inlineStr">
        <is>
          <t>MUI Istiqlal 2026</t>
        </is>
      </c>
      <c r="V16" t="inlineStr">
        <is>
          <t>Real-CE MUI</t>
        </is>
      </c>
      <c r="X16" t="inlineStr">
        <is>
          <t>OK</t>
        </is>
      </c>
      <c r="Y16" t="inlineStr">
        <is>
          <t>t-banner 1.5x4m (incl. print+install) | unit</t>
        </is>
      </c>
    </row>
    <row r="17">
      <c r="A17" t="n">
        <v>13</v>
      </c>
      <c r="B17" t="inlineStr">
        <is>
          <t>🕌 MUI EVENT DATA</t>
        </is>
      </c>
      <c r="C17" t="n">
        <v>144</v>
      </c>
      <c r="D17" t="inlineStr">
        <is>
          <t>MUI Real Cost</t>
        </is>
      </c>
      <c r="E17" t="inlineStr">
        <is>
          <t>SG Production</t>
        </is>
      </c>
      <c r="F17" t="inlineStr">
        <is>
          <t>Branding/Cetak</t>
        </is>
      </c>
      <c r="H17" t="inlineStr">
        <is>
          <t>DP Produksi SG Production</t>
        </is>
      </c>
      <c r="I17" t="inlineStr">
        <is>
          <t>banner, t-banner</t>
        </is>
      </c>
      <c r="J17" t="inlineStr">
        <is>
          <t>pckg</t>
        </is>
      </c>
      <c r="K17" t="inlineStr">
        <is>
          <t>1</t>
        </is>
      </c>
      <c r="L17" t="n">
        <v>13750000</v>
      </c>
      <c r="M17" t="n">
        <v>13750000</v>
      </c>
      <c r="N17">
        <f>IF(COUNT(L17:M17)=0,"",AVERAGE(L17:M17))</f>
        <v/>
      </c>
      <c r="Q17">
        <f>IF(COUNT(O17:P17)=0,"",AVERAGE(O17:P17))</f>
        <v/>
      </c>
      <c r="R17">
        <f>IF(Q17&lt;&gt;"",Q17,IF(N17&lt;&gt;"",ROUND(N17*(1+$B$2),0),""))</f>
        <v/>
      </c>
      <c r="S17">
        <f>IF(AND(N17&lt;&gt;"",Q17&lt;&gt;"",N17&lt;&gt;0),(Q17-N17)/N17,"")</f>
        <v/>
      </c>
      <c r="T17" t="inlineStr">
        <is>
          <t>2026</t>
        </is>
      </c>
      <c r="U17" t="inlineStr">
        <is>
          <t>MUI Istiqlal 2026</t>
        </is>
      </c>
      <c r="V17" t="inlineStr">
        <is>
          <t>RFP MUI.xlsx mutation</t>
        </is>
      </c>
      <c r="X17" t="inlineStr">
        <is>
          <t>OK</t>
        </is>
      </c>
      <c r="Y17" t="inlineStr">
        <is>
          <t>dp produksi sg production | pckg</t>
        </is>
      </c>
    </row>
    <row r="18">
      <c r="A18" t="n">
        <v>14</v>
      </c>
      <c r="B18" t="inlineStr">
        <is>
          <t>💰 HPP VENDOR</t>
        </is>
      </c>
      <c r="C18" t="n">
        <v>72</v>
      </c>
      <c r="D18" t="inlineStr">
        <is>
          <t>Vendor HPP</t>
        </is>
      </c>
      <c r="E18" t="inlineStr">
        <is>
          <t>Brilli Aurabillah</t>
        </is>
      </c>
      <c r="F18" t="inlineStr">
        <is>
          <t>Creative</t>
        </is>
      </c>
      <c r="H18" t="inlineStr">
        <is>
          <t>3D Production Revision</t>
        </is>
      </c>
      <c r="I18" t="inlineStr">
        <is>
          <t>per revisi major</t>
        </is>
      </c>
      <c r="J18" t="inlineStr">
        <is>
          <t>paket</t>
        </is>
      </c>
      <c r="K18" t="inlineStr">
        <is>
          <t>1</t>
        </is>
      </c>
      <c r="L18" t="n">
        <v>4000000</v>
      </c>
      <c r="M18" t="n">
        <v>4000000</v>
      </c>
      <c r="N18">
        <f>IF(COUNT(L18:M18)=0,"",AVERAGE(L18:M18))</f>
        <v/>
      </c>
      <c r="Q18">
        <f>IF(COUNT(O18:P18)=0,"",AVERAGE(O18:P18))</f>
        <v/>
      </c>
      <c r="R18">
        <f>IF(Q18&lt;&gt;"",Q18,IF(N18&lt;&gt;"",ROUND(N18*(1+$B$2),0),""))</f>
        <v/>
      </c>
      <c r="S18">
        <f>IF(AND(N18&lt;&gt;"",Q18&lt;&gt;"",N18&lt;&gt;0),(Q18-N18)/N18,"")</f>
        <v/>
      </c>
      <c r="T18" t="inlineStr">
        <is>
          <t>2025</t>
        </is>
      </c>
      <c r="U18" t="inlineStr">
        <is>
          <t>Kongres Nasional PSI 2025</t>
        </is>
      </c>
      <c r="V18" t="inlineStr">
        <is>
          <t>HPP Vendor</t>
        </is>
      </c>
      <c r="X18" t="inlineStr">
        <is>
          <t>OK</t>
        </is>
      </c>
      <c r="Y18" t="inlineStr">
        <is>
          <t>3d production revision | paket</t>
        </is>
      </c>
    </row>
    <row r="19">
      <c r="A19" t="n">
        <v>15</v>
      </c>
      <c r="B19" t="inlineStr">
        <is>
          <t>🕌 MUI EVENT DATA</t>
        </is>
      </c>
      <c r="C19" t="n">
        <v>113</v>
      </c>
      <c r="D19" t="inlineStr">
        <is>
          <t>MUI Real Cost</t>
        </is>
      </c>
      <c r="E19" t="inlineStr">
        <is>
          <t>Internal</t>
        </is>
      </c>
      <c r="F19" t="inlineStr">
        <is>
          <t>Creative</t>
        </is>
      </c>
      <c r="H19" t="inlineStr">
        <is>
          <t>Event Concept &amp; Planning</t>
        </is>
      </c>
      <c r="J19" t="inlineStr">
        <is>
          <t>pckg</t>
        </is>
      </c>
      <c r="K19" t="inlineStr">
        <is>
          <t>1</t>
        </is>
      </c>
      <c r="L19" t="n">
        <v>15000000</v>
      </c>
      <c r="M19" t="n">
        <v>15000000</v>
      </c>
      <c r="N19">
        <f>IF(COUNT(L19:M19)=0,"",AVERAGE(L19:M19))</f>
        <v/>
      </c>
      <c r="Q19">
        <f>IF(COUNT(O19:P19)=0,"",AVERAGE(O19:P19))</f>
        <v/>
      </c>
      <c r="R19">
        <f>IF(Q19&lt;&gt;"",Q19,IF(N19&lt;&gt;"",ROUND(N19*(1+$B$2),0),""))</f>
        <v/>
      </c>
      <c r="S19">
        <f>IF(AND(N19&lt;&gt;"",Q19&lt;&gt;"",N19&lt;&gt;0),(Q19-N19)/N19,"")</f>
        <v/>
      </c>
      <c r="T19" t="inlineStr">
        <is>
          <t>2026</t>
        </is>
      </c>
      <c r="U19" t="inlineStr">
        <is>
          <t>MUI Istiqlal 2026</t>
        </is>
      </c>
      <c r="V19" t="inlineStr">
        <is>
          <t>Real-CE MUI</t>
        </is>
      </c>
      <c r="X19" t="inlineStr">
        <is>
          <t>OK</t>
        </is>
      </c>
      <c r="Y19" t="inlineStr">
        <is>
          <t>event concept &amp; planning | pckg</t>
        </is>
      </c>
    </row>
    <row r="20">
      <c r="A20" t="n">
        <v>16</v>
      </c>
      <c r="B20" t="inlineStr">
        <is>
          <t>💰 HPP VENDOR</t>
        </is>
      </c>
      <c r="C20" t="n">
        <v>40</v>
      </c>
      <c r="D20" t="inlineStr">
        <is>
          <t>Vendor HPP</t>
        </is>
      </c>
      <c r="E20" t="inlineStr">
        <is>
          <t>CV Krishna Communication Center</t>
        </is>
      </c>
      <c r="F20" t="inlineStr">
        <is>
          <t>Creative</t>
        </is>
      </c>
      <c r="H20" t="inlineStr">
        <is>
          <t>Fee Design 3D Event (Muji Agus)</t>
        </is>
      </c>
      <c r="J20" t="inlineStr">
        <is>
          <t>pckg</t>
        </is>
      </c>
      <c r="K20" t="inlineStr">
        <is>
          <t>1</t>
        </is>
      </c>
      <c r="L20" t="n">
        <v>3000000</v>
      </c>
      <c r="M20" t="n">
        <v>3000000</v>
      </c>
      <c r="N20">
        <f>IF(COUNT(L20:M20)=0,"",AVERAGE(L20:M20))</f>
        <v/>
      </c>
      <c r="Q20">
        <f>IF(COUNT(O20:P20)=0,"",AVERAGE(O20:P20))</f>
        <v/>
      </c>
      <c r="R20">
        <f>IF(Q20&lt;&gt;"",Q20,IF(N20&lt;&gt;"",ROUND(N20*(1+$B$2),0),""))</f>
        <v/>
      </c>
      <c r="S20">
        <f>IF(AND(N20&lt;&gt;"",Q20&lt;&gt;"",N20&lt;&gt;0),(Q20-N20)/N20,"")</f>
        <v/>
      </c>
      <c r="T20" t="inlineStr">
        <is>
          <t>2024</t>
        </is>
      </c>
      <c r="U20" t="inlineStr">
        <is>
          <t>Djarum 76 Nongkrong Heppii</t>
        </is>
      </c>
      <c r="V20" t="inlineStr">
        <is>
          <t>HPP Vendor</t>
        </is>
      </c>
      <c r="X20" t="inlineStr">
        <is>
          <t>OK</t>
        </is>
      </c>
      <c r="Y20" t="inlineStr">
        <is>
          <t>fee design 3d event (muji agus) | pckg</t>
        </is>
      </c>
    </row>
    <row r="21">
      <c r="A21" t="n">
        <v>17</v>
      </c>
      <c r="B21" t="inlineStr">
        <is>
          <t>💰 HPP VENDOR</t>
        </is>
      </c>
      <c r="C21" t="n">
        <v>39</v>
      </c>
      <c r="D21" t="inlineStr">
        <is>
          <t>Vendor HPP</t>
        </is>
      </c>
      <c r="E21" t="inlineStr">
        <is>
          <t>CV Krishna Communication Center</t>
        </is>
      </c>
      <c r="F21" t="inlineStr">
        <is>
          <t>Creative</t>
        </is>
      </c>
      <c r="H21" t="inlineStr">
        <is>
          <t>Fee Design Event (Fafa)</t>
        </is>
      </c>
      <c r="J21" t="inlineStr">
        <is>
          <t>pckg</t>
        </is>
      </c>
      <c r="K21" t="inlineStr">
        <is>
          <t>1</t>
        </is>
      </c>
      <c r="L21" t="n">
        <v>1000000</v>
      </c>
      <c r="M21" t="n">
        <v>1000000</v>
      </c>
      <c r="N21">
        <f>IF(COUNT(L21:M21)=0,"",AVERAGE(L21:M21))</f>
        <v/>
      </c>
      <c r="Q21">
        <f>IF(COUNT(O21:P21)=0,"",AVERAGE(O21:P21))</f>
        <v/>
      </c>
      <c r="R21">
        <f>IF(Q21&lt;&gt;"",Q21,IF(N21&lt;&gt;"",ROUND(N21*(1+$B$2),0),""))</f>
        <v/>
      </c>
      <c r="S21">
        <f>IF(AND(N21&lt;&gt;"",Q21&lt;&gt;"",N21&lt;&gt;0),(Q21-N21)/N21,"")</f>
        <v/>
      </c>
      <c r="T21" t="inlineStr">
        <is>
          <t>2024</t>
        </is>
      </c>
      <c r="U21" t="inlineStr">
        <is>
          <t>Djarum 76 Nongkrong Heppii</t>
        </is>
      </c>
      <c r="V21" t="inlineStr">
        <is>
          <t>HPP Vendor</t>
        </is>
      </c>
      <c r="X21" t="inlineStr">
        <is>
          <t>OK</t>
        </is>
      </c>
      <c r="Y21" t="inlineStr">
        <is>
          <t>fee design event (fafa) | pckg</t>
        </is>
      </c>
    </row>
    <row r="22">
      <c r="A22" t="n">
        <v>18</v>
      </c>
      <c r="B22" t="inlineStr">
        <is>
          <t>💰 HPP VENDOR</t>
        </is>
      </c>
      <c r="C22" t="n">
        <v>38</v>
      </c>
      <c r="D22" t="inlineStr">
        <is>
          <t>Vendor HPP</t>
        </is>
      </c>
      <c r="E22" t="inlineStr">
        <is>
          <t>CV Krishna Communication Center</t>
        </is>
      </c>
      <c r="F22" t="inlineStr">
        <is>
          <t>Creative</t>
        </is>
      </c>
      <c r="H22" t="inlineStr">
        <is>
          <t>Fee Design Proposal Event</t>
        </is>
      </c>
      <c r="J22" t="inlineStr">
        <is>
          <t>pckg</t>
        </is>
      </c>
      <c r="K22" t="inlineStr">
        <is>
          <t>1</t>
        </is>
      </c>
      <c r="L22" t="n">
        <v>750000</v>
      </c>
      <c r="M22" t="n">
        <v>750000</v>
      </c>
      <c r="N22">
        <f>IF(COUNT(L22:M22)=0,"",AVERAGE(L22:M22))</f>
        <v/>
      </c>
      <c r="Q22">
        <f>IF(COUNT(O22:P22)=0,"",AVERAGE(O22:P22))</f>
        <v/>
      </c>
      <c r="R22">
        <f>IF(Q22&lt;&gt;"",Q22,IF(N22&lt;&gt;"",ROUND(N22*(1+$B$2),0),""))</f>
        <v/>
      </c>
      <c r="S22">
        <f>IF(AND(N22&lt;&gt;"",Q22&lt;&gt;"",N22&lt;&gt;0),(Q22-N22)/N22,"")</f>
        <v/>
      </c>
      <c r="T22" t="inlineStr">
        <is>
          <t>2024</t>
        </is>
      </c>
      <c r="U22" t="inlineStr">
        <is>
          <t>Djarum 76 Nongkrong Heppii</t>
        </is>
      </c>
      <c r="V22" t="inlineStr">
        <is>
          <t>HPP Vendor</t>
        </is>
      </c>
      <c r="W22" t="inlineStr">
        <is>
          <t>INV 079/INV/KCC/VI/2024</t>
        </is>
      </c>
      <c r="X22" t="inlineStr">
        <is>
          <t>OK</t>
        </is>
      </c>
      <c r="Y22" t="inlineStr">
        <is>
          <t>fee design proposal event | pckg</t>
        </is>
      </c>
    </row>
    <row r="23">
      <c r="A23" t="n">
        <v>19</v>
      </c>
      <c r="B23" t="inlineStr">
        <is>
          <t>🕌 MUI EVENT DATA</t>
        </is>
      </c>
      <c r="C23" t="n">
        <v>114</v>
      </c>
      <c r="D23" t="inlineStr">
        <is>
          <t>MUI Real Cost</t>
        </is>
      </c>
      <c r="E23" t="inlineStr">
        <is>
          <t>Internal</t>
        </is>
      </c>
      <c r="F23" t="inlineStr">
        <is>
          <t>Creative</t>
        </is>
      </c>
      <c r="H23" t="inlineStr">
        <is>
          <t>Multimedia Content (bumper, motion)</t>
        </is>
      </c>
      <c r="J23" t="inlineStr">
        <is>
          <t>pckg</t>
        </is>
      </c>
      <c r="K23" t="inlineStr">
        <is>
          <t>1</t>
        </is>
      </c>
      <c r="L23" t="n">
        <v>35000000</v>
      </c>
      <c r="M23" t="n">
        <v>35000000</v>
      </c>
      <c r="N23">
        <f>IF(COUNT(L23:M23)=0,"",AVERAGE(L23:M23))</f>
        <v/>
      </c>
      <c r="Q23">
        <f>IF(COUNT(O23:P23)=0,"",AVERAGE(O23:P23))</f>
        <v/>
      </c>
      <c r="R23">
        <f>IF(Q23&lt;&gt;"",Q23,IF(N23&lt;&gt;"",ROUND(N23*(1+$B$2),0),""))</f>
        <v/>
      </c>
      <c r="S23">
        <f>IF(AND(N23&lt;&gt;"",Q23&lt;&gt;"",N23&lt;&gt;0),(Q23-N23)/N23,"")</f>
        <v/>
      </c>
      <c r="T23" t="inlineStr">
        <is>
          <t>2026</t>
        </is>
      </c>
      <c r="U23" t="inlineStr">
        <is>
          <t>MUI Istiqlal 2026</t>
        </is>
      </c>
      <c r="V23" t="inlineStr">
        <is>
          <t>Real-CE MUI</t>
        </is>
      </c>
      <c r="X23" t="inlineStr">
        <is>
          <t>OK</t>
        </is>
      </c>
      <c r="Y23" t="inlineStr">
        <is>
          <t>multimedia content (bumper, motion) | pckg</t>
        </is>
      </c>
    </row>
    <row r="24">
      <c r="A24" t="n">
        <v>20</v>
      </c>
      <c r="B24" t="inlineStr">
        <is>
          <t>💰 HPP VENDOR</t>
        </is>
      </c>
      <c r="C24" t="n">
        <v>71</v>
      </c>
      <c r="D24" t="inlineStr">
        <is>
          <t>Vendor HPP</t>
        </is>
      </c>
      <c r="E24" t="inlineStr">
        <is>
          <t>Brilli Aurabillah</t>
        </is>
      </c>
      <c r="F24" t="inlineStr">
        <is>
          <t>Creative</t>
        </is>
      </c>
      <c r="H24" t="inlineStr">
        <is>
          <t>Revisi 3D Production</t>
        </is>
      </c>
      <c r="I24" t="inlineStr">
        <is>
          <t>update overall scenery render</t>
        </is>
      </c>
      <c r="J24" t="inlineStr">
        <is>
          <t>paket</t>
        </is>
      </c>
      <c r="K24" t="inlineStr">
        <is>
          <t>1</t>
        </is>
      </c>
      <c r="L24" t="n">
        <v>5000000</v>
      </c>
      <c r="M24" t="n">
        <v>5000000</v>
      </c>
      <c r="N24">
        <f>IF(COUNT(L24:M24)=0,"",AVERAGE(L24:M24))</f>
        <v/>
      </c>
      <c r="Q24">
        <f>IF(COUNT(O24:P24)=0,"",AVERAGE(O24:P24))</f>
        <v/>
      </c>
      <c r="R24">
        <f>IF(Q24&lt;&gt;"",Q24,IF(N24&lt;&gt;"",ROUND(N24*(1+$B$2),0),""))</f>
        <v/>
      </c>
      <c r="S24">
        <f>IF(AND(N24&lt;&gt;"",Q24&lt;&gt;"",N24&lt;&gt;0),(Q24-N24)/N24,"")</f>
        <v/>
      </c>
      <c r="T24" t="inlineStr">
        <is>
          <t>2025</t>
        </is>
      </c>
      <c r="U24" t="inlineStr">
        <is>
          <t>Kongres Nasional PSI 2025</t>
        </is>
      </c>
      <c r="V24" t="inlineStr">
        <is>
          <t>HPP Vendor</t>
        </is>
      </c>
      <c r="W24" t="inlineStr">
        <is>
          <t>INV/20250612/XXV/VI/0040002</t>
        </is>
      </c>
      <c r="X24" t="inlineStr">
        <is>
          <t>OK</t>
        </is>
      </c>
      <c r="Y24" t="inlineStr">
        <is>
          <t>revisi 3d production | paket</t>
        </is>
      </c>
    </row>
    <row r="25">
      <c r="A25" t="n">
        <v>21</v>
      </c>
      <c r="B25" t="inlineStr">
        <is>
          <t>🕌 MUI EVENT DATA</t>
        </is>
      </c>
      <c r="C25" t="n">
        <v>115</v>
      </c>
      <c r="D25" t="inlineStr">
        <is>
          <t>MUI Real Cost</t>
        </is>
      </c>
      <c r="E25" t="inlineStr">
        <is>
          <t>Internal</t>
        </is>
      </c>
      <c r="F25" t="inlineStr">
        <is>
          <t>Creative</t>
        </is>
      </c>
      <c r="H25" t="inlineStr">
        <is>
          <t>Safety Planning &amp; Flow Animation</t>
        </is>
      </c>
      <c r="J25" t="inlineStr">
        <is>
          <t>pckg</t>
        </is>
      </c>
      <c r="K25" t="inlineStr">
        <is>
          <t>1</t>
        </is>
      </c>
      <c r="L25" t="n">
        <v>10000000</v>
      </c>
      <c r="M25" t="n">
        <v>10000000</v>
      </c>
      <c r="N25">
        <f>IF(COUNT(L25:M25)=0,"",AVERAGE(L25:M25))</f>
        <v/>
      </c>
      <c r="Q25">
        <f>IF(COUNT(O25:P25)=0,"",AVERAGE(O25:P25))</f>
        <v/>
      </c>
      <c r="R25">
        <f>IF(Q25&lt;&gt;"",Q25,IF(N25&lt;&gt;"",ROUND(N25*(1+$B$2),0),""))</f>
        <v/>
      </c>
      <c r="S25">
        <f>IF(AND(N25&lt;&gt;"",Q25&lt;&gt;"",N25&lt;&gt;0),(Q25-N25)/N25,"")</f>
        <v/>
      </c>
      <c r="T25" t="inlineStr">
        <is>
          <t>2026</t>
        </is>
      </c>
      <c r="U25" t="inlineStr">
        <is>
          <t>MUI Istiqlal 2026</t>
        </is>
      </c>
      <c r="V25" t="inlineStr">
        <is>
          <t>Real-CE MUI</t>
        </is>
      </c>
      <c r="X25" t="inlineStr">
        <is>
          <t>OK</t>
        </is>
      </c>
      <c r="Y25" t="inlineStr">
        <is>
          <t>safety planning &amp; flow animation | pckg</t>
        </is>
      </c>
    </row>
    <row r="26">
      <c r="A26" t="n">
        <v>22</v>
      </c>
      <c r="B26" t="inlineStr">
        <is>
          <t>💰 HPP VENDOR</t>
        </is>
      </c>
      <c r="C26" t="n">
        <v>41</v>
      </c>
      <c r="D26" t="inlineStr">
        <is>
          <t>Vendor HPP</t>
        </is>
      </c>
      <c r="E26" t="inlineStr">
        <is>
          <t>CV Krishna Communication Center</t>
        </is>
      </c>
      <c r="F26" t="inlineStr">
        <is>
          <t>Creative</t>
        </is>
      </c>
      <c r="H26" t="inlineStr">
        <is>
          <t>Total Fee Design Package</t>
        </is>
      </c>
      <c r="I26" t="inlineStr">
        <is>
          <t>proposal+design+3D</t>
        </is>
      </c>
      <c r="J26" t="inlineStr">
        <is>
          <t>paket</t>
        </is>
      </c>
      <c r="K26" t="inlineStr">
        <is>
          <t>1</t>
        </is>
      </c>
      <c r="L26" t="n">
        <v>4750000</v>
      </c>
      <c r="M26" t="n">
        <v>4750000</v>
      </c>
      <c r="N26">
        <f>IF(COUNT(L26:M26)=0,"",AVERAGE(L26:M26))</f>
        <v/>
      </c>
      <c r="Q26">
        <f>IF(COUNT(O26:P26)=0,"",AVERAGE(O26:P26))</f>
        <v/>
      </c>
      <c r="R26">
        <f>IF(Q26&lt;&gt;"",Q26,IF(N26&lt;&gt;"",ROUND(N26*(1+$B$2),0),""))</f>
        <v/>
      </c>
      <c r="S26">
        <f>IF(AND(N26&lt;&gt;"",Q26&lt;&gt;"",N26&lt;&gt;0),(Q26-N26)/N26,"")</f>
        <v/>
      </c>
      <c r="T26" t="inlineStr">
        <is>
          <t>2024</t>
        </is>
      </c>
      <c r="U26" t="inlineStr">
        <is>
          <t>Djarum 76 Nongkrong Heppii</t>
        </is>
      </c>
      <c r="V26" t="inlineStr">
        <is>
          <t>HPP Vendor</t>
        </is>
      </c>
      <c r="W26" t="inlineStr">
        <is>
          <t>total dari kwitansi</t>
        </is>
      </c>
      <c r="X26" t="inlineStr">
        <is>
          <t>OK</t>
        </is>
      </c>
      <c r="Y26" t="inlineStr">
        <is>
          <t>total fee design package | paket</t>
        </is>
      </c>
    </row>
    <row r="27">
      <c r="A27" t="n">
        <v>23</v>
      </c>
      <c r="B27" t="inlineStr">
        <is>
          <t>💰 HPP VENDOR</t>
        </is>
      </c>
      <c r="C27" t="n">
        <v>73</v>
      </c>
      <c r="D27" t="inlineStr">
        <is>
          <t>Vendor HPP</t>
        </is>
      </c>
      <c r="E27" t="inlineStr">
        <is>
          <t>Brilli Aurabillah</t>
        </is>
      </c>
      <c r="F27" t="inlineStr">
        <is>
          <t>Creative</t>
        </is>
      </c>
      <c r="H27" t="inlineStr">
        <is>
          <t>Update Overall Scenery Render</t>
        </is>
      </c>
      <c r="J27" t="inlineStr">
        <is>
          <t>paket</t>
        </is>
      </c>
      <c r="K27" t="inlineStr">
        <is>
          <t>1</t>
        </is>
      </c>
      <c r="L27" t="n">
        <v>1000000</v>
      </c>
      <c r="M27" t="n">
        <v>1000000</v>
      </c>
      <c r="N27">
        <f>IF(COUNT(L27:M27)=0,"",AVERAGE(L27:M27))</f>
        <v/>
      </c>
      <c r="Q27">
        <f>IF(COUNT(O27:P27)=0,"",AVERAGE(O27:P27))</f>
        <v/>
      </c>
      <c r="R27">
        <f>IF(Q27&lt;&gt;"",Q27,IF(N27&lt;&gt;"",ROUND(N27*(1+$B$2),0),""))</f>
        <v/>
      </c>
      <c r="S27">
        <f>IF(AND(N27&lt;&gt;"",Q27&lt;&gt;"",N27&lt;&gt;0),(Q27-N27)/N27,"")</f>
        <v/>
      </c>
      <c r="T27" t="inlineStr">
        <is>
          <t>2025</t>
        </is>
      </c>
      <c r="U27" t="inlineStr">
        <is>
          <t>Kongres Nasional PSI 2025</t>
        </is>
      </c>
      <c r="V27" t="inlineStr">
        <is>
          <t>HPP Vendor</t>
        </is>
      </c>
      <c r="X27" t="inlineStr">
        <is>
          <t>OK</t>
        </is>
      </c>
      <c r="Y27" t="inlineStr">
        <is>
          <t>update overall scenery render | paket</t>
        </is>
      </c>
    </row>
    <row r="28">
      <c r="A28" t="n">
        <v>24</v>
      </c>
      <c r="B28" t="inlineStr">
        <is>
          <t>🕌 MUI EVENT DATA</t>
        </is>
      </c>
      <c r="C28" t="n">
        <v>42</v>
      </c>
      <c r="D28" t="inlineStr">
        <is>
          <t>MUI Real Cost</t>
        </is>
      </c>
      <c r="E28" t="inlineStr">
        <is>
          <t>MUI/EO</t>
        </is>
      </c>
      <c r="F28" t="inlineStr">
        <is>
          <t>Dekorasi</t>
        </is>
      </c>
      <c r="H28" t="inlineStr">
        <is>
          <t>Bendera Merah Putih</t>
        </is>
      </c>
      <c r="J28" t="inlineStr">
        <is>
          <t>pcs</t>
        </is>
      </c>
      <c r="K28" t="inlineStr">
        <is>
          <t>1</t>
        </is>
      </c>
      <c r="L28" t="n">
        <v>750000</v>
      </c>
      <c r="M28" t="n">
        <v>750000</v>
      </c>
      <c r="N28">
        <f>IF(COUNT(L28:M28)=0,"",AVERAGE(L28:M28))</f>
        <v/>
      </c>
      <c r="Q28">
        <f>IF(COUNT(O28:P28)=0,"",AVERAGE(O28:P28))</f>
        <v/>
      </c>
      <c r="R28">
        <f>IF(Q28&lt;&gt;"",Q28,IF(N28&lt;&gt;"",ROUND(N28*(1+$B$2),0),""))</f>
        <v/>
      </c>
      <c r="S28">
        <f>IF(AND(N28&lt;&gt;"",Q28&lt;&gt;"",N28&lt;&gt;0),(Q28-N28)/N28,"")</f>
        <v/>
      </c>
      <c r="T28" t="inlineStr">
        <is>
          <t>2026</t>
        </is>
      </c>
      <c r="U28" t="inlineStr">
        <is>
          <t>MUI Istiqlal 2026</t>
        </is>
      </c>
      <c r="V28" t="inlineStr">
        <is>
          <t>per pcs</t>
        </is>
      </c>
      <c r="X28" t="inlineStr">
        <is>
          <t>OK</t>
        </is>
      </c>
      <c r="Y28" t="inlineStr">
        <is>
          <t>bendera merah putih | pcs</t>
        </is>
      </c>
    </row>
    <row r="29">
      <c r="A29" t="n">
        <v>25</v>
      </c>
      <c r="B29" t="inlineStr">
        <is>
          <t>🕌 MUI EVENT DATA</t>
        </is>
      </c>
      <c r="C29" t="n">
        <v>153</v>
      </c>
      <c r="D29" t="inlineStr">
        <is>
          <t>MUI Real Cost</t>
        </is>
      </c>
      <c r="E29" t="inlineStr">
        <is>
          <t>Listia Desi Anti</t>
        </is>
      </c>
      <c r="F29" t="inlineStr">
        <is>
          <t>Dekorasi</t>
        </is>
      </c>
      <c r="H29" t="inlineStr">
        <is>
          <t>Bunga Meja / Centerpiece</t>
        </is>
      </c>
      <c r="I29" t="inlineStr">
        <is>
          <t>2x bayar (DP+lunas+tambahan)</t>
        </is>
      </c>
      <c r="J29" t="inlineStr">
        <is>
          <t>event</t>
        </is>
      </c>
      <c r="K29" t="inlineStr">
        <is>
          <t>1</t>
        </is>
      </c>
      <c r="L29" t="n">
        <v>5250000</v>
      </c>
      <c r="M29" t="n">
        <v>5250000</v>
      </c>
      <c r="N29">
        <f>IF(COUNT(L29:M29)=0,"",AVERAGE(L29:M29))</f>
        <v/>
      </c>
      <c r="Q29">
        <f>IF(COUNT(O29:P29)=0,"",AVERAGE(O29:P29))</f>
        <v/>
      </c>
      <c r="R29">
        <f>IF(Q29&lt;&gt;"",Q29,IF(N29&lt;&gt;"",ROUND(N29*(1+$B$2),0),""))</f>
        <v/>
      </c>
      <c r="S29">
        <f>IF(AND(N29&lt;&gt;"",Q29&lt;&gt;"",N29&lt;&gt;0),(Q29-N29)/N29,"")</f>
        <v/>
      </c>
      <c r="T29" t="inlineStr">
        <is>
          <t>2026</t>
        </is>
      </c>
      <c r="U29" t="inlineStr">
        <is>
          <t>MUI Istiqlal 2026</t>
        </is>
      </c>
      <c r="V29" t="inlineStr">
        <is>
          <t>RFP MUI.xlsx mutation</t>
        </is>
      </c>
      <c r="X29" t="inlineStr">
        <is>
          <t>OK</t>
        </is>
      </c>
      <c r="Y29" t="inlineStr">
        <is>
          <t>bunga meja / centerpiece | event</t>
        </is>
      </c>
    </row>
    <row r="30">
      <c r="A30" t="n">
        <v>26</v>
      </c>
      <c r="B30" t="inlineStr">
        <is>
          <t>🕌 MUI EVENT DATA</t>
        </is>
      </c>
      <c r="C30" t="n">
        <v>43</v>
      </c>
      <c r="D30" t="inlineStr">
        <is>
          <t>MUI Real Cost</t>
        </is>
      </c>
      <c r="E30" t="inlineStr">
        <is>
          <t>MUI/EO</t>
        </is>
      </c>
      <c r="F30" t="inlineStr">
        <is>
          <t>Dekorasi</t>
        </is>
      </c>
      <c r="H30" t="inlineStr">
        <is>
          <t>Centerpiece</t>
        </is>
      </c>
      <c r="J30" t="inlineStr">
        <is>
          <t>pcs</t>
        </is>
      </c>
      <c r="K30" t="inlineStr">
        <is>
          <t>1</t>
        </is>
      </c>
      <c r="L30" t="n">
        <v>200000</v>
      </c>
      <c r="M30" t="n">
        <v>200000</v>
      </c>
      <c r="N30">
        <f>IF(COUNT(L30:M30)=0,"",AVERAGE(L30:M30))</f>
        <v/>
      </c>
      <c r="Q30">
        <f>IF(COUNT(O30:P30)=0,"",AVERAGE(O30:P30))</f>
        <v/>
      </c>
      <c r="R30">
        <f>IF(Q30&lt;&gt;"",Q30,IF(N30&lt;&gt;"",ROUND(N30*(1+$B$2),0),""))</f>
        <v/>
      </c>
      <c r="S30">
        <f>IF(AND(N30&lt;&gt;"",Q30&lt;&gt;"",N30&lt;&gt;0),(Q30-N30)/N30,"")</f>
        <v/>
      </c>
      <c r="T30" t="inlineStr">
        <is>
          <t>2026</t>
        </is>
      </c>
      <c r="U30" t="inlineStr">
        <is>
          <t>MUI Istiqlal 2026</t>
        </is>
      </c>
      <c r="V30" t="inlineStr">
        <is>
          <t>per pcs</t>
        </is>
      </c>
      <c r="X30" t="inlineStr">
        <is>
          <t>OK</t>
        </is>
      </c>
      <c r="Y30" t="inlineStr">
        <is>
          <t>centerpiece | pcs</t>
        </is>
      </c>
    </row>
    <row r="31">
      <c r="A31" t="n">
        <v>27</v>
      </c>
      <c r="B31" t="inlineStr">
        <is>
          <t>📋 PO &amp; RFP DATA</t>
        </is>
      </c>
      <c r="C31" t="n">
        <v>70</v>
      </c>
      <c r="D31" t="inlineStr">
        <is>
          <t>PO/RFP HPP</t>
        </is>
      </c>
      <c r="E31" t="inlineStr">
        <is>
          <t>PT Multi Visual Kreasindo</t>
        </is>
      </c>
      <c r="F31" t="inlineStr">
        <is>
          <t>Dekorasi</t>
        </is>
      </c>
      <c r="H31" t="inlineStr">
        <is>
          <t>Mini Garden</t>
        </is>
      </c>
      <c r="I31" t="inlineStr">
        <is>
          <t>per meter</t>
        </is>
      </c>
      <c r="J31" t="inlineStr">
        <is>
          <t>meter</t>
        </is>
      </c>
      <c r="K31" t="inlineStr">
        <is>
          <t>4</t>
        </is>
      </c>
      <c r="L31" t="n">
        <v>350000</v>
      </c>
      <c r="M31" t="n">
        <v>350000</v>
      </c>
      <c r="N31">
        <f>IF(COUNT(L31:M31)=0,"",AVERAGE(L31:M31))</f>
        <v/>
      </c>
      <c r="Q31">
        <f>IF(COUNT(O31:P31)=0,"",AVERAGE(O31:P31))</f>
        <v/>
      </c>
      <c r="R31">
        <f>IF(Q31&lt;&gt;"",Q31,IF(N31&lt;&gt;"",ROUND(N31*(1+$B$2),0),""))</f>
        <v/>
      </c>
      <c r="S31">
        <f>IF(AND(N31&lt;&gt;"",Q31&lt;&gt;"",N31&lt;&gt;0),(Q31-N31)/N31,"")</f>
        <v/>
      </c>
      <c r="T31" t="inlineStr">
        <is>
          <t>2026</t>
        </is>
      </c>
      <c r="U31" t="inlineStr">
        <is>
          <t>PGN Safari Ramadan Bogor</t>
        </is>
      </c>
      <c r="V31" t="inlineStr">
        <is>
          <t>Rp350rb/meter</t>
        </is>
      </c>
      <c r="X31" t="inlineStr">
        <is>
          <t>OK</t>
        </is>
      </c>
      <c r="Y31" t="inlineStr">
        <is>
          <t>mini garden | meter</t>
        </is>
      </c>
    </row>
    <row r="32">
      <c r="A32" t="n">
        <v>28</v>
      </c>
      <c r="B32" t="inlineStr">
        <is>
          <t>🕌 MUI EVENT DATA</t>
        </is>
      </c>
      <c r="C32" t="n">
        <v>40</v>
      </c>
      <c r="D32" t="inlineStr">
        <is>
          <t>MUI Real Cost</t>
        </is>
      </c>
      <c r="E32" t="inlineStr">
        <is>
          <t>MUI/EO</t>
        </is>
      </c>
      <c r="F32" t="inlineStr">
        <is>
          <t>Dekorasi</t>
        </is>
      </c>
      <c r="H32" t="inlineStr">
        <is>
          <t>Mini Garden per meter</t>
        </is>
      </c>
      <c r="J32" t="inlineStr">
        <is>
          <t>meter/day</t>
        </is>
      </c>
      <c r="K32" t="inlineStr">
        <is>
          <t>1</t>
        </is>
      </c>
      <c r="L32" t="n">
        <v>500000</v>
      </c>
      <c r="M32" t="n">
        <v>500000</v>
      </c>
      <c r="N32">
        <f>IF(COUNT(L32:M32)=0,"",AVERAGE(L32:M32))</f>
        <v/>
      </c>
      <c r="Q32">
        <f>IF(COUNT(O32:P32)=0,"",AVERAGE(O32:P32))</f>
        <v/>
      </c>
      <c r="R32">
        <f>IF(Q32&lt;&gt;"",Q32,IF(N32&lt;&gt;"",ROUND(N32*(1+$B$2),0),""))</f>
        <v/>
      </c>
      <c r="S32">
        <f>IF(AND(N32&lt;&gt;"",Q32&lt;&gt;"",N32&lt;&gt;0),(Q32-N32)/N32,"")</f>
        <v/>
      </c>
      <c r="T32" t="inlineStr">
        <is>
          <t>2026</t>
        </is>
      </c>
      <c r="U32" t="inlineStr">
        <is>
          <t>MUI Istiqlal 2026</t>
        </is>
      </c>
      <c r="V32" t="inlineStr">
        <is>
          <t>per meter</t>
        </is>
      </c>
      <c r="X32" t="inlineStr">
        <is>
          <t>OK</t>
        </is>
      </c>
      <c r="Y32" t="inlineStr">
        <is>
          <t>mini garden per meter | meter/day</t>
        </is>
      </c>
    </row>
    <row r="33">
      <c r="A33" t="n">
        <v>29</v>
      </c>
      <c r="B33" t="inlineStr">
        <is>
          <t>🕌 MUI EVENT DATA</t>
        </is>
      </c>
      <c r="C33" t="n">
        <v>41</v>
      </c>
      <c r="D33" t="inlineStr">
        <is>
          <t>MUI Real Cost</t>
        </is>
      </c>
      <c r="E33" t="inlineStr">
        <is>
          <t>MUI/EO</t>
        </is>
      </c>
      <c r="F33" t="inlineStr">
        <is>
          <t>Dekorasi</t>
        </is>
      </c>
      <c r="H33" t="inlineStr">
        <is>
          <t>Pataka 2 meter</t>
        </is>
      </c>
      <c r="J33" t="inlineStr">
        <is>
          <t>unit</t>
        </is>
      </c>
      <c r="K33" t="inlineStr">
        <is>
          <t>1</t>
        </is>
      </c>
      <c r="L33" t="n">
        <v>300000</v>
      </c>
      <c r="M33" t="n">
        <v>300000</v>
      </c>
      <c r="N33">
        <f>IF(COUNT(L33:M33)=0,"",AVERAGE(L33:M33))</f>
        <v/>
      </c>
      <c r="Q33">
        <f>IF(COUNT(O33:P33)=0,"",AVERAGE(O33:P33))</f>
        <v/>
      </c>
      <c r="R33">
        <f>IF(Q33&lt;&gt;"",Q33,IF(N33&lt;&gt;"",ROUND(N33*(1+$B$2),0),""))</f>
        <v/>
      </c>
      <c r="S33">
        <f>IF(AND(N33&lt;&gt;"",Q33&lt;&gt;"",N33&lt;&gt;0),(Q33-N33)/N33,"")</f>
        <v/>
      </c>
      <c r="T33" t="inlineStr">
        <is>
          <t>2026</t>
        </is>
      </c>
      <c r="U33" t="inlineStr">
        <is>
          <t>MUI Istiqlal 2026</t>
        </is>
      </c>
      <c r="V33" t="inlineStr">
        <is>
          <t>per unit</t>
        </is>
      </c>
      <c r="X33" t="inlineStr">
        <is>
          <t>OK</t>
        </is>
      </c>
      <c r="Y33" t="inlineStr">
        <is>
          <t>pataka 2 meter | unit</t>
        </is>
      </c>
    </row>
    <row r="34">
      <c r="A34" t="n">
        <v>30</v>
      </c>
      <c r="B34" t="inlineStr">
        <is>
          <t>📋 PO &amp; RFP DATA</t>
        </is>
      </c>
      <c r="C34" t="n">
        <v>77</v>
      </c>
      <c r="D34" t="inlineStr">
        <is>
          <t>PO/RFP HPP</t>
        </is>
      </c>
      <c r="E34" t="inlineStr">
        <is>
          <t>PT Multi Visual Kreasindo</t>
        </is>
      </c>
      <c r="F34" t="inlineStr">
        <is>
          <t>Dekorasi</t>
        </is>
      </c>
      <c r="H34" t="inlineStr">
        <is>
          <t>Permadani 2x3m</t>
        </is>
      </c>
      <c r="I34" t="inlineStr">
        <is>
          <t>per unit per hari</t>
        </is>
      </c>
      <c r="J34" t="inlineStr">
        <is>
          <t>unit/day</t>
        </is>
      </c>
      <c r="K34" t="inlineStr">
        <is>
          <t>1</t>
        </is>
      </c>
      <c r="L34" t="n">
        <v>350000</v>
      </c>
      <c r="M34" t="n">
        <v>350000</v>
      </c>
      <c r="N34">
        <f>IF(COUNT(L34:M34)=0,"",AVERAGE(L34:M34))</f>
        <v/>
      </c>
      <c r="Q34">
        <f>IF(COUNT(O34:P34)=0,"",AVERAGE(O34:P34))</f>
        <v/>
      </c>
      <c r="R34">
        <f>IF(Q34&lt;&gt;"",Q34,IF(N34&lt;&gt;"",ROUND(N34*(1+$B$2),0),""))</f>
        <v/>
      </c>
      <c r="S34">
        <f>IF(AND(N34&lt;&gt;"",Q34&lt;&gt;"",N34&lt;&gt;0),(Q34-N34)/N34,"")</f>
        <v/>
      </c>
      <c r="T34" t="inlineStr">
        <is>
          <t>2026</t>
        </is>
      </c>
      <c r="U34" t="inlineStr">
        <is>
          <t>PGN Safari Ramadan Bogor</t>
        </is>
      </c>
      <c r="X34" t="inlineStr">
        <is>
          <t>OK</t>
        </is>
      </c>
      <c r="Y34" t="inlineStr">
        <is>
          <t>permadani 2x3m | unit/day</t>
        </is>
      </c>
    </row>
    <row r="35">
      <c r="A35" t="n">
        <v>31</v>
      </c>
      <c r="B35" t="inlineStr">
        <is>
          <t>🕌 MUI EVENT DATA</t>
        </is>
      </c>
      <c r="C35" t="n">
        <v>145</v>
      </c>
      <c r="D35" t="inlineStr">
        <is>
          <t>MUI Real Cost</t>
        </is>
      </c>
      <c r="E35" t="inlineStr">
        <is>
          <t>Jagaters Studio</t>
        </is>
      </c>
      <c r="F35" t="inlineStr">
        <is>
          <t>Dokumentasi</t>
        </is>
      </c>
      <c r="H35" t="inlineStr">
        <is>
          <t>DP Multicamera &amp; Manpower</t>
        </is>
      </c>
      <c r="J35" t="inlineStr">
        <is>
          <t>pckg</t>
        </is>
      </c>
      <c r="K35" t="inlineStr">
        <is>
          <t>1</t>
        </is>
      </c>
      <c r="L35" t="n">
        <v>12500000</v>
      </c>
      <c r="M35" t="n">
        <v>12500000</v>
      </c>
      <c r="N35">
        <f>IF(COUNT(L35:M35)=0,"",AVERAGE(L35:M35))</f>
        <v/>
      </c>
      <c r="Q35">
        <f>IF(COUNT(O35:P35)=0,"",AVERAGE(O35:P35))</f>
        <v/>
      </c>
      <c r="R35">
        <f>IF(Q35&lt;&gt;"",Q35,IF(N35&lt;&gt;"",ROUND(N35*(1+$B$2),0),""))</f>
        <v/>
      </c>
      <c r="S35">
        <f>IF(AND(N35&lt;&gt;"",Q35&lt;&gt;"",N35&lt;&gt;0),(Q35-N35)/N35,"")</f>
        <v/>
      </c>
      <c r="T35" t="inlineStr">
        <is>
          <t>2026</t>
        </is>
      </c>
      <c r="U35" t="inlineStr">
        <is>
          <t>MUI Istiqlal 2026</t>
        </is>
      </c>
      <c r="V35" t="inlineStr">
        <is>
          <t>RFP MUI.xlsx mutation</t>
        </is>
      </c>
      <c r="X35" t="inlineStr">
        <is>
          <t>OK</t>
        </is>
      </c>
      <c r="Y35" t="inlineStr">
        <is>
          <t>dp multicamera &amp; manpower | pckg</t>
        </is>
      </c>
    </row>
    <row r="36">
      <c r="A36" t="n">
        <v>32</v>
      </c>
      <c r="B36" t="inlineStr">
        <is>
          <t>🕌 MUI EVENT DATA</t>
        </is>
      </c>
      <c r="C36" t="n">
        <v>151</v>
      </c>
      <c r="D36" t="inlineStr">
        <is>
          <t>MUI Real Cost</t>
        </is>
      </c>
      <c r="E36" t="inlineStr">
        <is>
          <t>Ilham Maulana</t>
        </is>
      </c>
      <c r="F36" t="inlineStr">
        <is>
          <t>Dokumentasi</t>
        </is>
      </c>
      <c r="H36" t="inlineStr">
        <is>
          <t>Dokumentasi Foto &amp; Video (3 paket)</t>
        </is>
      </c>
      <c r="J36" t="inlineStr">
        <is>
          <t>event</t>
        </is>
      </c>
      <c r="K36" t="inlineStr">
        <is>
          <t>1</t>
        </is>
      </c>
      <c r="L36" t="n">
        <v>15000000</v>
      </c>
      <c r="M36" t="n">
        <v>15000000</v>
      </c>
      <c r="N36">
        <f>IF(COUNT(L36:M36)=0,"",AVERAGE(L36:M36))</f>
        <v/>
      </c>
      <c r="Q36">
        <f>IF(COUNT(O36:P36)=0,"",AVERAGE(O36:P36))</f>
        <v/>
      </c>
      <c r="R36">
        <f>IF(Q36&lt;&gt;"",Q36,IF(N36&lt;&gt;"",ROUND(N36*(1+$B$2),0),""))</f>
        <v/>
      </c>
      <c r="S36">
        <f>IF(AND(N36&lt;&gt;"",Q36&lt;&gt;"",N36&lt;&gt;0),(Q36-N36)/N36,"")</f>
        <v/>
      </c>
      <c r="T36" t="inlineStr">
        <is>
          <t>2026</t>
        </is>
      </c>
      <c r="U36" t="inlineStr">
        <is>
          <t>MUI Istiqlal 2026</t>
        </is>
      </c>
      <c r="V36" t="inlineStr">
        <is>
          <t>RFP MUI.xlsx mutation</t>
        </is>
      </c>
      <c r="X36" t="inlineStr">
        <is>
          <t>OK</t>
        </is>
      </c>
      <c r="Y36" t="inlineStr">
        <is>
          <t>dokumentasi foto &amp; video (3 paket) | event</t>
        </is>
      </c>
    </row>
    <row r="37">
      <c r="A37" t="n">
        <v>33</v>
      </c>
      <c r="B37" t="inlineStr">
        <is>
          <t>🕌 MUI EVENT DATA</t>
        </is>
      </c>
      <c r="C37" t="n">
        <v>116</v>
      </c>
      <c r="D37" t="inlineStr">
        <is>
          <t>MUI Real Cost</t>
        </is>
      </c>
      <c r="E37" t="inlineStr">
        <is>
          <t>Ilham Husein</t>
        </is>
      </c>
      <c r="F37" t="inlineStr">
        <is>
          <t>Dokumentasi</t>
        </is>
      </c>
      <c r="H37" t="inlineStr">
        <is>
          <t>Foto &amp; Video Kegiatan (3 paket)</t>
        </is>
      </c>
      <c r="I37" t="inlineStr">
        <is>
          <t>kegiatan + Pak Nusron + LPJ</t>
        </is>
      </c>
      <c r="J37" t="inlineStr">
        <is>
          <t>paket</t>
        </is>
      </c>
      <c r="K37" t="inlineStr">
        <is>
          <t>3</t>
        </is>
      </c>
      <c r="L37" t="n">
        <v>5000000</v>
      </c>
      <c r="M37" t="n">
        <v>5000000</v>
      </c>
      <c r="N37">
        <f>IF(COUNT(L37:M37)=0,"",AVERAGE(L37:M37))</f>
        <v/>
      </c>
      <c r="Q37">
        <f>IF(COUNT(O37:P37)=0,"",AVERAGE(O37:P37))</f>
        <v/>
      </c>
      <c r="R37">
        <f>IF(Q37&lt;&gt;"",Q37,IF(N37&lt;&gt;"",ROUND(N37*(1+$B$2),0),""))</f>
        <v/>
      </c>
      <c r="S37">
        <f>IF(AND(N37&lt;&gt;"",Q37&lt;&gt;"",N37&lt;&gt;0),(Q37-N37)/N37,"")</f>
        <v/>
      </c>
      <c r="T37" t="inlineStr">
        <is>
          <t>2026</t>
        </is>
      </c>
      <c r="U37" t="inlineStr">
        <is>
          <t>MUI Istiqlal 2026</t>
        </is>
      </c>
      <c r="V37" t="inlineStr">
        <is>
          <t>Real-CE MUI; per paket</t>
        </is>
      </c>
      <c r="X37" t="inlineStr">
        <is>
          <t>OK</t>
        </is>
      </c>
      <c r="Y37" t="inlineStr">
        <is>
          <t>foto &amp; video kegiatan (3 paket) | paket</t>
        </is>
      </c>
    </row>
    <row r="38">
      <c r="A38" t="n">
        <v>34</v>
      </c>
      <c r="B38" t="inlineStr">
        <is>
          <t>💰 HPP VENDOR</t>
        </is>
      </c>
      <c r="C38" t="n">
        <v>21</v>
      </c>
      <c r="D38" t="inlineStr">
        <is>
          <t>Vendor HPP</t>
        </is>
      </c>
      <c r="E38" t="inlineStr">
        <is>
          <t>Dinamix Production</t>
        </is>
      </c>
      <c r="F38" t="inlineStr">
        <is>
          <t>F&amp;B</t>
        </is>
      </c>
      <c r="H38" t="inlineStr">
        <is>
          <t>AMDK Gelas</t>
        </is>
      </c>
      <c r="I38" t="inlineStr">
        <is>
          <t>per dus</t>
        </is>
      </c>
      <c r="J38" t="inlineStr">
        <is>
          <t>box</t>
        </is>
      </c>
      <c r="K38" t="inlineStr">
        <is>
          <t>1</t>
        </is>
      </c>
      <c r="L38" t="n">
        <v>50000</v>
      </c>
      <c r="M38" t="n">
        <v>50000</v>
      </c>
      <c r="N38">
        <f>IF(COUNT(L38:M38)=0,"",AVERAGE(L38:M38))</f>
        <v/>
      </c>
      <c r="Q38">
        <f>IF(COUNT(O38:P38)=0,"",AVERAGE(O38:P38))</f>
        <v/>
      </c>
      <c r="R38">
        <f>IF(Q38&lt;&gt;"",Q38,IF(N38&lt;&gt;"",ROUND(N38*(1+$B$2),0),""))</f>
        <v/>
      </c>
      <c r="S38">
        <f>IF(AND(N38&lt;&gt;"",Q38&lt;&gt;"",N38&lt;&gt;0),(Q38-N38)/N38,"")</f>
        <v/>
      </c>
      <c r="T38" t="inlineStr">
        <is>
          <t>2025</t>
        </is>
      </c>
      <c r="U38" t="inlineStr">
        <is>
          <t>Sunpride Bandung</t>
        </is>
      </c>
      <c r="V38" t="inlineStr">
        <is>
          <t>HPP Vendor</t>
        </is>
      </c>
      <c r="X38" t="inlineStr">
        <is>
          <t>OK</t>
        </is>
      </c>
      <c r="Y38" t="inlineStr">
        <is>
          <t>amdk gelas | box</t>
        </is>
      </c>
    </row>
    <row r="39">
      <c r="A39" t="n">
        <v>35</v>
      </c>
      <c r="B39" t="inlineStr">
        <is>
          <t>💰 HPP VENDOR</t>
        </is>
      </c>
      <c r="C39" t="n">
        <v>53</v>
      </c>
      <c r="D39" t="inlineStr">
        <is>
          <t>Vendor HPP</t>
        </is>
      </c>
      <c r="E39" t="inlineStr">
        <is>
          <t>Akasya Catering</t>
        </is>
      </c>
      <c r="F39" t="inlineStr">
        <is>
          <t>F&amp;B</t>
        </is>
      </c>
      <c r="H39" t="inlineStr">
        <is>
          <t>Air Equil 600ml</t>
        </is>
      </c>
      <c r="I39" t="inlineStr">
        <is>
          <t>VVIP</t>
        </is>
      </c>
      <c r="J39" t="inlineStr">
        <is>
          <t>botol</t>
        </is>
      </c>
      <c r="K39" t="inlineStr">
        <is>
          <t>20</t>
        </is>
      </c>
      <c r="L39" t="n">
        <v>55000</v>
      </c>
      <c r="M39" t="n">
        <v>55000</v>
      </c>
      <c r="N39">
        <f>IF(COUNT(L39:M39)=0,"",AVERAGE(L39:M39))</f>
        <v/>
      </c>
      <c r="Q39">
        <f>IF(COUNT(O39:P39)=0,"",AVERAGE(O39:P39))</f>
        <v/>
      </c>
      <c r="R39">
        <f>IF(Q39&lt;&gt;"",Q39,IF(N39&lt;&gt;"",ROUND(N39*(1+$B$2),0),""))</f>
        <v/>
      </c>
      <c r="S39">
        <f>IF(AND(N39&lt;&gt;"",Q39&lt;&gt;"",N39&lt;&gt;0),(Q39-N39)/N39,"")</f>
        <v/>
      </c>
      <c r="T39" t="inlineStr">
        <is>
          <t>2025</t>
        </is>
      </c>
      <c r="U39" t="inlineStr">
        <is>
          <t>Kemendikdasmen / BPSMI</t>
        </is>
      </c>
      <c r="V39" t="inlineStr">
        <is>
          <t>HPP Vendor</t>
        </is>
      </c>
      <c r="W39" t="inlineStr">
        <is>
          <t>per botol</t>
        </is>
      </c>
      <c r="X39" t="inlineStr">
        <is>
          <t>OK</t>
        </is>
      </c>
      <c r="Y39" t="inlineStr">
        <is>
          <t>air equil 600ml | botol</t>
        </is>
      </c>
    </row>
    <row r="40">
      <c r="A40" t="n">
        <v>36</v>
      </c>
      <c r="B40" t="inlineStr">
        <is>
          <t>💰 HPP VENDOR</t>
        </is>
      </c>
      <c r="C40" t="n">
        <v>49</v>
      </c>
      <c r="D40" t="inlineStr">
        <is>
          <t>Vendor HPP</t>
        </is>
      </c>
      <c r="E40" t="inlineStr">
        <is>
          <t>Akasya Catering</t>
        </is>
      </c>
      <c r="F40" t="inlineStr">
        <is>
          <t>F&amp;B</t>
        </is>
      </c>
      <c r="H40" t="inlineStr">
        <is>
          <t>Buah Potong</t>
        </is>
      </c>
      <c r="I40" t="inlineStr">
        <is>
          <t>naga, pepaya, melon</t>
        </is>
      </c>
      <c r="J40" t="inlineStr">
        <is>
          <t>pax</t>
        </is>
      </c>
      <c r="K40" t="inlineStr">
        <is>
          <t>50</t>
        </is>
      </c>
      <c r="L40" t="n">
        <v>30000</v>
      </c>
      <c r="M40" t="n">
        <v>30000</v>
      </c>
      <c r="N40">
        <f>IF(COUNT(L40:M40)=0,"",AVERAGE(L40:M40))</f>
        <v/>
      </c>
      <c r="Q40">
        <f>IF(COUNT(O40:P40)=0,"",AVERAGE(O40:P40))</f>
        <v/>
      </c>
      <c r="R40">
        <f>IF(Q40&lt;&gt;"",Q40,IF(N40&lt;&gt;"",ROUND(N40*(1+$B$2),0),""))</f>
        <v/>
      </c>
      <c r="S40">
        <f>IF(AND(N40&lt;&gt;"",Q40&lt;&gt;"",N40&lt;&gt;0),(Q40-N40)/N40,"")</f>
        <v/>
      </c>
      <c r="T40" t="inlineStr">
        <is>
          <t>2025</t>
        </is>
      </c>
      <c r="U40" t="inlineStr">
        <is>
          <t>Kemendikdasmen / BPSMI</t>
        </is>
      </c>
      <c r="V40" t="inlineStr">
        <is>
          <t>HPP Vendor</t>
        </is>
      </c>
      <c r="W40" t="inlineStr">
        <is>
          <t>per pax</t>
        </is>
      </c>
      <c r="X40" t="inlineStr">
        <is>
          <t>OK</t>
        </is>
      </c>
      <c r="Y40" t="inlineStr">
        <is>
          <t>buah potong | pax</t>
        </is>
      </c>
    </row>
    <row r="41">
      <c r="A41" t="n">
        <v>37</v>
      </c>
      <c r="B41" t="inlineStr">
        <is>
          <t>💰 HPP VENDOR</t>
        </is>
      </c>
      <c r="C41" t="n">
        <v>51</v>
      </c>
      <c r="D41" t="inlineStr">
        <is>
          <t>Vendor HPP</t>
        </is>
      </c>
      <c r="E41" t="inlineStr">
        <is>
          <t>Akasya Catering</t>
        </is>
      </c>
      <c r="F41" t="inlineStr">
        <is>
          <t>F&amp;B</t>
        </is>
      </c>
      <c r="H41" t="inlineStr">
        <is>
          <t>Bubur Ayam Lengkap</t>
        </is>
      </c>
      <c r="I41" t="inlineStr">
        <is>
          <t>sate telur puyuh, sate ati, cakwe</t>
        </is>
      </c>
      <c r="J41" t="inlineStr">
        <is>
          <t>pax</t>
        </is>
      </c>
      <c r="K41" t="inlineStr">
        <is>
          <t>50</t>
        </is>
      </c>
      <c r="L41" t="n">
        <v>40000</v>
      </c>
      <c r="M41" t="n">
        <v>40000</v>
      </c>
      <c r="N41">
        <f>IF(COUNT(L41:M41)=0,"",AVERAGE(L41:M41))</f>
        <v/>
      </c>
      <c r="Q41">
        <f>IF(COUNT(O41:P41)=0,"",AVERAGE(O41:P41))</f>
        <v/>
      </c>
      <c r="R41">
        <f>IF(Q41&lt;&gt;"",Q41,IF(N41&lt;&gt;"",ROUND(N41*(1+$B$2),0),""))</f>
        <v/>
      </c>
      <c r="S41">
        <f>IF(AND(N41&lt;&gt;"",Q41&lt;&gt;"",N41&lt;&gt;0),(Q41-N41)/N41,"")</f>
        <v/>
      </c>
      <c r="T41" t="inlineStr">
        <is>
          <t>2025</t>
        </is>
      </c>
      <c r="U41" t="inlineStr">
        <is>
          <t>Kemendikdasmen / BPSMI</t>
        </is>
      </c>
      <c r="V41" t="inlineStr">
        <is>
          <t>HPP Vendor</t>
        </is>
      </c>
      <c r="W41" t="inlineStr">
        <is>
          <t>per pax</t>
        </is>
      </c>
      <c r="X41" t="inlineStr">
        <is>
          <t>OK</t>
        </is>
      </c>
      <c r="Y41" t="inlineStr">
        <is>
          <t>bubur ayam lengkap | pax</t>
        </is>
      </c>
    </row>
    <row r="42">
      <c r="A42" t="n">
        <v>38</v>
      </c>
      <c r="B42" t="inlineStr">
        <is>
          <t>💰 HPP VENDOR</t>
        </is>
      </c>
      <c r="C42" t="n">
        <v>25</v>
      </c>
      <c r="D42" t="inlineStr">
        <is>
          <t>Vendor HPP</t>
        </is>
      </c>
      <c r="E42" t="inlineStr">
        <is>
          <t>Dinamix Production</t>
        </is>
      </c>
      <c r="F42" t="inlineStr">
        <is>
          <t>F&amp;B</t>
        </is>
      </c>
      <c r="H42" t="inlineStr">
        <is>
          <t>Buffet Dinner / Makan Malam</t>
        </is>
      </c>
      <c r="I42" t="inlineStr">
        <is>
          <t>incl. nasi timbel, sate maranggi, mie koclok</t>
        </is>
      </c>
      <c r="J42" t="inlineStr">
        <is>
          <t>pax</t>
        </is>
      </c>
      <c r="K42" t="inlineStr">
        <is>
          <t>1</t>
        </is>
      </c>
      <c r="L42" t="n">
        <v>170000</v>
      </c>
      <c r="M42" t="n">
        <v>170000</v>
      </c>
      <c r="N42">
        <f>IF(COUNT(L42:M42)=0,"",AVERAGE(L42:M42))</f>
        <v/>
      </c>
      <c r="Q42">
        <f>IF(COUNT(O42:P42)=0,"",AVERAGE(O42:P42))</f>
        <v/>
      </c>
      <c r="R42">
        <f>IF(Q42&lt;&gt;"",Q42,IF(N42&lt;&gt;"",ROUND(N42*(1+$B$2),0),""))</f>
        <v/>
      </c>
      <c r="S42">
        <f>IF(AND(N42&lt;&gt;"",Q42&lt;&gt;"",N42&lt;&gt;0),(Q42-N42)/N42,"")</f>
        <v/>
      </c>
      <c r="T42" t="inlineStr">
        <is>
          <t>2025</t>
        </is>
      </c>
      <c r="U42" t="inlineStr">
        <is>
          <t>Sunpride Bandung</t>
        </is>
      </c>
      <c r="V42" t="inlineStr">
        <is>
          <t>HPP Vendor</t>
        </is>
      </c>
      <c r="W42" t="inlineStr">
        <is>
          <t>per pax</t>
        </is>
      </c>
      <c r="X42" t="inlineStr">
        <is>
          <t>OK</t>
        </is>
      </c>
      <c r="Y42" t="inlineStr">
        <is>
          <t>buffet dinner / makan malam | pax</t>
        </is>
      </c>
    </row>
    <row r="43">
      <c r="A43" t="n">
        <v>39</v>
      </c>
      <c r="B43" t="inlineStr">
        <is>
          <t>💰 HPP VENDOR</t>
        </is>
      </c>
      <c r="C43" t="n">
        <v>48</v>
      </c>
      <c r="D43" t="inlineStr">
        <is>
          <t>Vendor HPP</t>
        </is>
      </c>
      <c r="E43" t="inlineStr">
        <is>
          <t>Akasya Catering</t>
        </is>
      </c>
      <c r="F43" t="inlineStr">
        <is>
          <t>F&amp;B</t>
        </is>
      </c>
      <c r="H43" t="inlineStr">
        <is>
          <t>Coffee Break</t>
        </is>
      </c>
      <c r="I43" t="inlineStr">
        <is>
          <t>coffee, tea, lemper, éclair, pastry</t>
        </is>
      </c>
      <c r="J43" t="inlineStr">
        <is>
          <t>pax</t>
        </is>
      </c>
      <c r="K43" t="inlineStr">
        <is>
          <t>50</t>
        </is>
      </c>
      <c r="L43" t="n">
        <v>65000</v>
      </c>
      <c r="M43" t="n">
        <v>65000</v>
      </c>
      <c r="N43">
        <f>IF(COUNT(L43:M43)=0,"",AVERAGE(L43:M43))</f>
        <v/>
      </c>
      <c r="Q43">
        <f>IF(COUNT(O43:P43)=0,"",AVERAGE(O43:P43))</f>
        <v/>
      </c>
      <c r="R43">
        <f>IF(Q43&lt;&gt;"",Q43,IF(N43&lt;&gt;"",ROUND(N43*(1+$B$2),0),""))</f>
        <v/>
      </c>
      <c r="S43">
        <f>IF(AND(N43&lt;&gt;"",Q43&lt;&gt;"",N43&lt;&gt;0),(Q43-N43)/N43,"")</f>
        <v/>
      </c>
      <c r="T43" t="inlineStr">
        <is>
          <t>2025</t>
        </is>
      </c>
      <c r="U43" t="inlineStr">
        <is>
          <t>Kemendikdasmen / BPSMI</t>
        </is>
      </c>
      <c r="V43" t="inlineStr">
        <is>
          <t>HPP Vendor</t>
        </is>
      </c>
      <c r="W43" t="inlineStr">
        <is>
          <t>per pax</t>
        </is>
      </c>
      <c r="X43" t="inlineStr">
        <is>
          <t>OK</t>
        </is>
      </c>
      <c r="Y43" t="inlineStr">
        <is>
          <t>coffee break | pax</t>
        </is>
      </c>
    </row>
    <row r="44">
      <c r="A44" t="n">
        <v>40</v>
      </c>
      <c r="B44" t="inlineStr">
        <is>
          <t>🕌 MUI EVENT DATA</t>
        </is>
      </c>
      <c r="C44" t="n">
        <v>154</v>
      </c>
      <c r="D44" t="inlineStr">
        <is>
          <t>MUI Real Cost</t>
        </is>
      </c>
      <c r="E44" t="inlineStr">
        <is>
          <t>Dapur Solo</t>
        </is>
      </c>
      <c r="F44" t="inlineStr">
        <is>
          <t>F&amp;B</t>
        </is>
      </c>
      <c r="H44" t="inlineStr">
        <is>
          <t>DP Meals (catering crew)</t>
        </is>
      </c>
      <c r="J44" t="inlineStr">
        <is>
          <t>event</t>
        </is>
      </c>
      <c r="K44" t="inlineStr">
        <is>
          <t>1</t>
        </is>
      </c>
      <c r="L44" t="n">
        <v>3740000</v>
      </c>
      <c r="M44" t="n">
        <v>3740000</v>
      </c>
      <c r="N44">
        <f>IF(COUNT(L44:M44)=0,"",AVERAGE(L44:M44))</f>
        <v/>
      </c>
      <c r="Q44">
        <f>IF(COUNT(O44:P44)=0,"",AVERAGE(O44:P44))</f>
        <v/>
      </c>
      <c r="R44">
        <f>IF(Q44&lt;&gt;"",Q44,IF(N44&lt;&gt;"",ROUND(N44*(1+$B$2),0),""))</f>
        <v/>
      </c>
      <c r="S44">
        <f>IF(AND(N44&lt;&gt;"",Q44&lt;&gt;"",N44&lt;&gt;0),(Q44-N44)/N44,"")</f>
        <v/>
      </c>
      <c r="T44" t="inlineStr">
        <is>
          <t>2026</t>
        </is>
      </c>
      <c r="U44" t="inlineStr">
        <is>
          <t>MUI Istiqlal 2026</t>
        </is>
      </c>
      <c r="V44" t="inlineStr">
        <is>
          <t>RFP MUI.xlsx mutation</t>
        </is>
      </c>
      <c r="X44" t="inlineStr">
        <is>
          <t>OK</t>
        </is>
      </c>
      <c r="Y44" t="inlineStr">
        <is>
          <t>dp meals (catering crew) | event</t>
        </is>
      </c>
    </row>
    <row r="45">
      <c r="A45" t="n">
        <v>41</v>
      </c>
      <c r="B45" t="inlineStr">
        <is>
          <t>💰 HPP VENDOR</t>
        </is>
      </c>
      <c r="C45" t="n">
        <v>55</v>
      </c>
      <c r="D45" t="inlineStr">
        <is>
          <t>Vendor HPP</t>
        </is>
      </c>
      <c r="E45" t="inlineStr">
        <is>
          <t>Inge Milasari Sanjaya (Vendor Lokal)</t>
        </is>
      </c>
      <c r="F45" t="inlineStr">
        <is>
          <t>F&amp;B</t>
        </is>
      </c>
      <c r="H45" t="inlineStr">
        <is>
          <t>Makan Malam Peserta</t>
        </is>
      </c>
      <c r="I45" t="inlineStr">
        <is>
          <t>per pax</t>
        </is>
      </c>
      <c r="J45" t="inlineStr">
        <is>
          <t>pax</t>
        </is>
      </c>
      <c r="K45" t="inlineStr">
        <is>
          <t>150</t>
        </is>
      </c>
      <c r="L45" t="n">
        <v>85000</v>
      </c>
      <c r="M45" t="n">
        <v>85000</v>
      </c>
      <c r="N45">
        <f>IF(COUNT(L45:M45)=0,"",AVERAGE(L45:M45))</f>
        <v/>
      </c>
      <c r="Q45">
        <f>IF(COUNT(O45:P45)=0,"",AVERAGE(O45:P45))</f>
        <v/>
      </c>
      <c r="R45">
        <f>IF(Q45&lt;&gt;"",Q45,IF(N45&lt;&gt;"",ROUND(N45*(1+$B$2),0),""))</f>
        <v/>
      </c>
      <c r="S45">
        <f>IF(AND(N45&lt;&gt;"",Q45&lt;&gt;"",N45&lt;&gt;0),(Q45-N45)/N45,"")</f>
        <v/>
      </c>
      <c r="T45" t="inlineStr">
        <is>
          <t>2026</t>
        </is>
      </c>
      <c r="U45" t="inlineStr">
        <is>
          <t>Safari Ramadhan PGN Bogor</t>
        </is>
      </c>
      <c r="V45" t="inlineStr">
        <is>
          <t>HPP Vendor</t>
        </is>
      </c>
      <c r="X45" t="inlineStr">
        <is>
          <t>OK</t>
        </is>
      </c>
      <c r="Y45" t="inlineStr">
        <is>
          <t>makan malam peserta | pax</t>
        </is>
      </c>
    </row>
    <row r="46">
      <c r="A46" t="n">
        <v>42</v>
      </c>
      <c r="B46" t="inlineStr">
        <is>
          <t>💰 HPP VENDOR</t>
        </is>
      </c>
      <c r="C46" t="n">
        <v>56</v>
      </c>
      <c r="D46" t="inlineStr">
        <is>
          <t>Vendor HPP</t>
        </is>
      </c>
      <c r="E46" t="inlineStr">
        <is>
          <t>Inge Milasari Sanjaya (Vendor Lokal)</t>
        </is>
      </c>
      <c r="F46" t="inlineStr">
        <is>
          <t>F&amp;B</t>
        </is>
      </c>
      <c r="H46" t="inlineStr">
        <is>
          <t>Makan Malam VIP Prasmanan</t>
        </is>
      </c>
      <c r="I46" t="inlineStr">
        <is>
          <t>per pax</t>
        </is>
      </c>
      <c r="J46" t="inlineStr">
        <is>
          <t>pax</t>
        </is>
      </c>
      <c r="K46" t="inlineStr">
        <is>
          <t>50</t>
        </is>
      </c>
      <c r="L46" t="n">
        <v>85000</v>
      </c>
      <c r="M46" t="n">
        <v>85000</v>
      </c>
      <c r="N46">
        <f>IF(COUNT(L46:M46)=0,"",AVERAGE(L46:M46))</f>
        <v/>
      </c>
      <c r="Q46">
        <f>IF(COUNT(O46:P46)=0,"",AVERAGE(O46:P46))</f>
        <v/>
      </c>
      <c r="R46">
        <f>IF(Q46&lt;&gt;"",Q46,IF(N46&lt;&gt;"",ROUND(N46*(1+$B$2),0),""))</f>
        <v/>
      </c>
      <c r="S46">
        <f>IF(AND(N46&lt;&gt;"",Q46&lt;&gt;"",N46&lt;&gt;0),(Q46-N46)/N46,"")</f>
        <v/>
      </c>
      <c r="T46" t="inlineStr">
        <is>
          <t>2026</t>
        </is>
      </c>
      <c r="U46" t="inlineStr">
        <is>
          <t>Safari Ramadhan PGN Bogor</t>
        </is>
      </c>
      <c r="V46" t="inlineStr">
        <is>
          <t>HPP Vendor</t>
        </is>
      </c>
      <c r="X46" t="inlineStr">
        <is>
          <t>OK</t>
        </is>
      </c>
      <c r="Y46" t="inlineStr">
        <is>
          <t>makan malam vip prasmanan | pax</t>
        </is>
      </c>
    </row>
    <row r="47">
      <c r="A47" t="n">
        <v>43</v>
      </c>
      <c r="B47" t="inlineStr">
        <is>
          <t>💰 HPP VENDOR</t>
        </is>
      </c>
      <c r="C47" t="n">
        <v>36</v>
      </c>
      <c r="D47" t="inlineStr">
        <is>
          <t>Vendor HPP</t>
        </is>
      </c>
      <c r="E47" t="inlineStr">
        <is>
          <t>Dapur Yumyum</t>
        </is>
      </c>
      <c r="F47" t="inlineStr">
        <is>
          <t>F&amp;B</t>
        </is>
      </c>
      <c r="H47" t="inlineStr">
        <is>
          <t>Makan Siang/Malam Crew</t>
        </is>
      </c>
      <c r="I47" t="inlineStr">
        <is>
          <t>per pax</t>
        </is>
      </c>
      <c r="J47" t="inlineStr">
        <is>
          <t>pax</t>
        </is>
      </c>
      <c r="K47" t="inlineStr">
        <is>
          <t>1</t>
        </is>
      </c>
      <c r="L47" t="n">
        <v>28000</v>
      </c>
      <c r="M47" t="n">
        <v>28000</v>
      </c>
      <c r="N47">
        <f>IF(COUNT(L47:M47)=0,"",AVERAGE(L47:M47))</f>
        <v/>
      </c>
      <c r="Q47">
        <f>IF(COUNT(O47:P47)=0,"",AVERAGE(O47:P47))</f>
        <v/>
      </c>
      <c r="R47">
        <f>IF(Q47&lt;&gt;"",Q47,IF(N47&lt;&gt;"",ROUND(N47*(1+$B$2),0),""))</f>
        <v/>
      </c>
      <c r="S47">
        <f>IF(AND(N47&lt;&gt;"",Q47&lt;&gt;"",N47&lt;&gt;0),(Q47-N47)/N47,"")</f>
        <v/>
      </c>
      <c r="T47" t="inlineStr">
        <is>
          <t>2026</t>
        </is>
      </c>
      <c r="U47" t="inlineStr">
        <is>
          <t>GEPEMPI Mandarin Oriental 2026</t>
        </is>
      </c>
      <c r="V47" t="inlineStr">
        <is>
          <t>HPP Vendor</t>
        </is>
      </c>
      <c r="W47" t="inlineStr">
        <is>
          <t>INV final_Invoice_Gepempi</t>
        </is>
      </c>
      <c r="X47" t="inlineStr">
        <is>
          <t>OK</t>
        </is>
      </c>
      <c r="Y47" t="inlineStr">
        <is>
          <t>makan siang/malam crew | pax</t>
        </is>
      </c>
    </row>
    <row r="48">
      <c r="A48" t="n">
        <v>44</v>
      </c>
      <c r="B48" t="inlineStr">
        <is>
          <t>💰 HPP VENDOR</t>
        </is>
      </c>
      <c r="C48" t="n">
        <v>20</v>
      </c>
      <c r="D48" t="inlineStr">
        <is>
          <t>Vendor HPP</t>
        </is>
      </c>
      <c r="E48" t="inlineStr">
        <is>
          <t>Dinamix Production</t>
        </is>
      </c>
      <c r="F48" t="inlineStr">
        <is>
          <t>F&amp;B</t>
        </is>
      </c>
      <c r="H48" t="inlineStr">
        <is>
          <t>Meals Box / Nasi Box Team</t>
        </is>
      </c>
      <c r="J48" t="inlineStr">
        <is>
          <t>pax</t>
        </is>
      </c>
      <c r="K48" t="inlineStr">
        <is>
          <t>1</t>
        </is>
      </c>
      <c r="L48" t="n">
        <v>30000</v>
      </c>
      <c r="M48" t="n">
        <v>30000</v>
      </c>
      <c r="N48">
        <f>IF(COUNT(L48:M48)=0,"",AVERAGE(L48:M48))</f>
        <v/>
      </c>
      <c r="Q48">
        <f>IF(COUNT(O48:P48)=0,"",AVERAGE(O48:P48))</f>
        <v/>
      </c>
      <c r="R48">
        <f>IF(Q48&lt;&gt;"",Q48,IF(N48&lt;&gt;"",ROUND(N48*(1+$B$2),0),""))</f>
        <v/>
      </c>
      <c r="S48">
        <f>IF(AND(N48&lt;&gt;"",Q48&lt;&gt;"",N48&lt;&gt;0),(Q48-N48)/N48,"")</f>
        <v/>
      </c>
      <c r="T48" t="inlineStr">
        <is>
          <t>2025</t>
        </is>
      </c>
      <c r="U48" t="inlineStr">
        <is>
          <t>Sunpride Bandung</t>
        </is>
      </c>
      <c r="V48" t="inlineStr">
        <is>
          <t>HPP Vendor</t>
        </is>
      </c>
      <c r="W48" t="inlineStr">
        <is>
          <t>per pax</t>
        </is>
      </c>
      <c r="X48" t="inlineStr">
        <is>
          <t>OK</t>
        </is>
      </c>
      <c r="Y48" t="inlineStr">
        <is>
          <t>meals box / nasi box team | pax</t>
        </is>
      </c>
    </row>
    <row r="49">
      <c r="A49" t="n">
        <v>45</v>
      </c>
      <c r="B49" t="inlineStr">
        <is>
          <t>💰 HPP VENDOR</t>
        </is>
      </c>
      <c r="C49" t="n">
        <v>57</v>
      </c>
      <c r="D49" t="inlineStr">
        <is>
          <t>Vendor HPP</t>
        </is>
      </c>
      <c r="E49" t="inlineStr">
        <is>
          <t>Inge Milasari Sanjaya (Vendor Lokal)</t>
        </is>
      </c>
      <c r="F49" t="inlineStr">
        <is>
          <t>F&amp;B</t>
        </is>
      </c>
      <c r="H49" t="inlineStr">
        <is>
          <t>Nasi Box (Hokben level)</t>
        </is>
      </c>
      <c r="I49" t="inlineStr">
        <is>
          <t>anak yayasan</t>
        </is>
      </c>
      <c r="J49" t="inlineStr">
        <is>
          <t>pax</t>
        </is>
      </c>
      <c r="K49" t="inlineStr">
        <is>
          <t>30</t>
        </is>
      </c>
      <c r="L49" t="n">
        <v>66000</v>
      </c>
      <c r="M49" t="n">
        <v>66000</v>
      </c>
      <c r="N49">
        <f>IF(COUNT(L49:M49)=0,"",AVERAGE(L49:M49))</f>
        <v/>
      </c>
      <c r="Q49">
        <f>IF(COUNT(O49:P49)=0,"",AVERAGE(O49:P49))</f>
        <v/>
      </c>
      <c r="R49">
        <f>IF(Q49&lt;&gt;"",Q49,IF(N49&lt;&gt;"",ROUND(N49*(1+$B$2),0),""))</f>
        <v/>
      </c>
      <c r="S49">
        <f>IF(AND(N49&lt;&gt;"",Q49&lt;&gt;"",N49&lt;&gt;0),(Q49-N49)/N49,"")</f>
        <v/>
      </c>
      <c r="T49" t="inlineStr">
        <is>
          <t>2026</t>
        </is>
      </c>
      <c r="U49" t="inlineStr">
        <is>
          <t>Safari Ramadhan PGN Bogor</t>
        </is>
      </c>
      <c r="V49" t="inlineStr">
        <is>
          <t>HPP Vendor</t>
        </is>
      </c>
      <c r="X49" t="inlineStr">
        <is>
          <t>OK</t>
        </is>
      </c>
      <c r="Y49" t="inlineStr">
        <is>
          <t>nasi box (hokben level) | pax</t>
        </is>
      </c>
    </row>
    <row r="50">
      <c r="A50" t="n">
        <v>46</v>
      </c>
      <c r="B50" t="inlineStr">
        <is>
          <t>💰 HPP VENDOR</t>
        </is>
      </c>
      <c r="C50" t="n">
        <v>58</v>
      </c>
      <c r="D50" t="inlineStr">
        <is>
          <t>Vendor HPP</t>
        </is>
      </c>
      <c r="E50" t="inlineStr">
        <is>
          <t>Inge Milasari Sanjaya (Vendor Lokal)</t>
        </is>
      </c>
      <c r="F50" t="inlineStr">
        <is>
          <t>F&amp;B</t>
        </is>
      </c>
      <c r="H50" t="inlineStr">
        <is>
          <t>Nasi Box Standard Pegawai</t>
        </is>
      </c>
      <c r="I50" t="inlineStr">
        <is>
          <t>per pax</t>
        </is>
      </c>
      <c r="J50" t="inlineStr">
        <is>
          <t>pax</t>
        </is>
      </c>
      <c r="K50" t="inlineStr">
        <is>
          <t>110</t>
        </is>
      </c>
      <c r="L50" t="n">
        <v>65000</v>
      </c>
      <c r="M50" t="n">
        <v>65000</v>
      </c>
      <c r="N50">
        <f>IF(COUNT(L50:M50)=0,"",AVERAGE(L50:M50))</f>
        <v/>
      </c>
      <c r="Q50">
        <f>IF(COUNT(O50:P50)=0,"",AVERAGE(O50:P50))</f>
        <v/>
      </c>
      <c r="R50">
        <f>IF(Q50&lt;&gt;"",Q50,IF(N50&lt;&gt;"",ROUND(N50*(1+$B$2),0),""))</f>
        <v/>
      </c>
      <c r="S50">
        <f>IF(AND(N50&lt;&gt;"",Q50&lt;&gt;"",N50&lt;&gt;0),(Q50-N50)/N50,"")</f>
        <v/>
      </c>
      <c r="T50" t="inlineStr">
        <is>
          <t>2026</t>
        </is>
      </c>
      <c r="U50" t="inlineStr">
        <is>
          <t>Safari Ramadhan PGN Bogor</t>
        </is>
      </c>
      <c r="V50" t="inlineStr">
        <is>
          <t>HPP Vendor</t>
        </is>
      </c>
      <c r="X50" t="inlineStr">
        <is>
          <t>OK</t>
        </is>
      </c>
      <c r="Y50" t="inlineStr">
        <is>
          <t>nasi box standard pegawai | pax</t>
        </is>
      </c>
    </row>
    <row r="51">
      <c r="A51" t="n">
        <v>47</v>
      </c>
      <c r="B51" t="inlineStr">
        <is>
          <t>💰 HPP VENDOR</t>
        </is>
      </c>
      <c r="C51" t="n">
        <v>35</v>
      </c>
      <c r="D51" t="inlineStr">
        <is>
          <t>Vendor HPP</t>
        </is>
      </c>
      <c r="E51" t="inlineStr">
        <is>
          <t>Arkamaya Catering</t>
        </is>
      </c>
      <c r="F51" t="inlineStr">
        <is>
          <t>F&amp;B</t>
        </is>
      </c>
      <c r="H51" t="inlineStr">
        <is>
          <t>Paket Buffet per pax (Additional)</t>
        </is>
      </c>
      <c r="J51" t="inlineStr">
        <is>
          <t>pax</t>
        </is>
      </c>
      <c r="K51" t="inlineStr">
        <is>
          <t>1</t>
        </is>
      </c>
      <c r="L51" t="n">
        <v>198000</v>
      </c>
      <c r="M51" t="n">
        <v>198000</v>
      </c>
      <c r="N51">
        <f>IF(COUNT(L51:M51)=0,"",AVERAGE(L51:M51))</f>
        <v/>
      </c>
      <c r="Q51">
        <f>IF(COUNT(O51:P51)=0,"",AVERAGE(O51:P51))</f>
        <v/>
      </c>
      <c r="R51">
        <f>IF(Q51&lt;&gt;"",Q51,IF(N51&lt;&gt;"",ROUND(N51*(1+$B$2),0),""))</f>
        <v/>
      </c>
      <c r="S51">
        <f>IF(AND(N51&lt;&gt;"",Q51&lt;&gt;"",N51&lt;&gt;0),(Q51-N51)/N51,"")</f>
        <v/>
      </c>
      <c r="T51" t="inlineStr">
        <is>
          <t>2025</t>
        </is>
      </c>
      <c r="U51" t="inlineStr">
        <is>
          <t>GEPEMPI 2026</t>
        </is>
      </c>
      <c r="V51" t="inlineStr">
        <is>
          <t>HPP Vendor</t>
        </is>
      </c>
      <c r="W51" t="inlineStr">
        <is>
          <t>INV 2025/INV/CATERING/V/07b</t>
        </is>
      </c>
      <c r="X51" t="inlineStr">
        <is>
          <t>OK</t>
        </is>
      </c>
      <c r="Y51" t="inlineStr">
        <is>
          <t>paket buffet per pax (additional) | pax</t>
        </is>
      </c>
    </row>
    <row r="52">
      <c r="A52" t="n">
        <v>48</v>
      </c>
      <c r="B52" t="inlineStr">
        <is>
          <t>🕌 MUI EVENT DATA</t>
        </is>
      </c>
      <c r="C52" t="n">
        <v>150</v>
      </c>
      <c r="D52" t="inlineStr">
        <is>
          <t>MUI Real Cost</t>
        </is>
      </c>
      <c r="E52" t="inlineStr">
        <is>
          <t>Akasya Catering</t>
        </is>
      </c>
      <c r="F52" t="inlineStr">
        <is>
          <t>F&amp;B</t>
        </is>
      </c>
      <c r="H52" t="inlineStr">
        <is>
          <t>Paket Meals VIP &amp; VVIP (2x bayar = 159jt)</t>
        </is>
      </c>
      <c r="I52" t="inlineStr">
        <is>
          <t>DP + Lunas</t>
        </is>
      </c>
      <c r="J52" t="inlineStr">
        <is>
          <t>event</t>
        </is>
      </c>
      <c r="K52" t="inlineStr">
        <is>
          <t>1</t>
        </is>
      </c>
      <c r="L52" t="n">
        <v>159296500</v>
      </c>
      <c r="M52" t="n">
        <v>159296500</v>
      </c>
      <c r="N52">
        <f>IF(COUNT(L52:M52)=0,"",AVERAGE(L52:M52))</f>
        <v/>
      </c>
      <c r="Q52">
        <f>IF(COUNT(O52:P52)=0,"",AVERAGE(O52:P52))</f>
        <v/>
      </c>
      <c r="R52">
        <f>IF(Q52&lt;&gt;"",Q52,IF(N52&lt;&gt;"",ROUND(N52*(1+$B$2),0),""))</f>
        <v/>
      </c>
      <c r="S52">
        <f>IF(AND(N52&lt;&gt;"",Q52&lt;&gt;"",N52&lt;&gt;0),(Q52-N52)/N52,"")</f>
        <v/>
      </c>
      <c r="T52" t="inlineStr">
        <is>
          <t>2026</t>
        </is>
      </c>
      <c r="U52" t="inlineStr">
        <is>
          <t>MUI Istiqlal 2026</t>
        </is>
      </c>
      <c r="V52" t="inlineStr">
        <is>
          <t>RFP MUI.xlsx mutation</t>
        </is>
      </c>
      <c r="X52" t="inlineStr">
        <is>
          <t>OK</t>
        </is>
      </c>
      <c r="Y52" t="inlineStr">
        <is>
          <t>paket meals vip &amp; vvip (2x bayar = 159jt) | event</t>
        </is>
      </c>
    </row>
    <row r="53">
      <c r="A53" t="n">
        <v>49</v>
      </c>
      <c r="B53" t="inlineStr">
        <is>
          <t>💰 HPP VENDOR</t>
        </is>
      </c>
      <c r="C53" t="n">
        <v>50</v>
      </c>
      <c r="D53" t="inlineStr">
        <is>
          <t>Vendor HPP</t>
        </is>
      </c>
      <c r="E53" t="inlineStr">
        <is>
          <t>Akasya Catering</t>
        </is>
      </c>
      <c r="F53" t="inlineStr">
        <is>
          <t>F&amp;B</t>
        </is>
      </c>
      <c r="H53" t="inlineStr">
        <is>
          <t>Rebusan Tampah</t>
        </is>
      </c>
      <c r="I53" t="inlineStr">
        <is>
          <t>pisang, jagung, ubi, edamame</t>
        </is>
      </c>
      <c r="J53" t="inlineStr">
        <is>
          <t>tampah</t>
        </is>
      </c>
      <c r="K53" t="inlineStr">
        <is>
          <t>1</t>
        </is>
      </c>
      <c r="L53" t="n">
        <v>650000</v>
      </c>
      <c r="M53" t="n">
        <v>650000</v>
      </c>
      <c r="N53">
        <f>IF(COUNT(L53:M53)=0,"",AVERAGE(L53:M53))</f>
        <v/>
      </c>
      <c r="Q53">
        <f>IF(COUNT(O53:P53)=0,"",AVERAGE(O53:P53))</f>
        <v/>
      </c>
      <c r="R53">
        <f>IF(Q53&lt;&gt;"",Q53,IF(N53&lt;&gt;"",ROUND(N53*(1+$B$2),0),""))</f>
        <v/>
      </c>
      <c r="S53">
        <f>IF(AND(N53&lt;&gt;"",Q53&lt;&gt;"",N53&lt;&gt;0),(Q53-N53)/N53,"")</f>
        <v/>
      </c>
      <c r="T53" t="inlineStr">
        <is>
          <t>2025</t>
        </is>
      </c>
      <c r="U53" t="inlineStr">
        <is>
          <t>Kemendikdasmen / BPSMI</t>
        </is>
      </c>
      <c r="V53" t="inlineStr">
        <is>
          <t>HPP Vendor</t>
        </is>
      </c>
      <c r="X53" t="inlineStr">
        <is>
          <t>OK</t>
        </is>
      </c>
      <c r="Y53" t="inlineStr">
        <is>
          <t>rebusan tampah | tampah</t>
        </is>
      </c>
    </row>
    <row r="54">
      <c r="A54" t="n">
        <v>50</v>
      </c>
      <c r="B54" t="inlineStr">
        <is>
          <t>💰 HPP VENDOR</t>
        </is>
      </c>
      <c r="C54" t="n">
        <v>52</v>
      </c>
      <c r="D54" t="inlineStr">
        <is>
          <t>Vendor HPP</t>
        </is>
      </c>
      <c r="E54" t="inlineStr">
        <is>
          <t>Akasya Catering</t>
        </is>
      </c>
      <c r="F54" t="inlineStr">
        <is>
          <t>F&amp;B</t>
        </is>
      </c>
      <c r="H54" t="inlineStr">
        <is>
          <t>Salad Bar</t>
        </is>
      </c>
      <c r="I54" t="inlineStr">
        <is>
          <t>letuce, dressing</t>
        </is>
      </c>
      <c r="J54" t="inlineStr">
        <is>
          <t>pax</t>
        </is>
      </c>
      <c r="K54" t="inlineStr">
        <is>
          <t>50</t>
        </is>
      </c>
      <c r="L54" t="n">
        <v>60000</v>
      </c>
      <c r="M54" t="n">
        <v>60000</v>
      </c>
      <c r="N54">
        <f>IF(COUNT(L54:M54)=0,"",AVERAGE(L54:M54))</f>
        <v/>
      </c>
      <c r="Q54">
        <f>IF(COUNT(O54:P54)=0,"",AVERAGE(O54:P54))</f>
        <v/>
      </c>
      <c r="R54">
        <f>IF(Q54&lt;&gt;"",Q54,IF(N54&lt;&gt;"",ROUND(N54*(1+$B$2),0),""))</f>
        <v/>
      </c>
      <c r="S54">
        <f>IF(AND(N54&lt;&gt;"",Q54&lt;&gt;"",N54&lt;&gt;0),(Q54-N54)/N54,"")</f>
        <v/>
      </c>
      <c r="T54" t="inlineStr">
        <is>
          <t>2025</t>
        </is>
      </c>
      <c r="U54" t="inlineStr">
        <is>
          <t>Kemendikdasmen / BPSMI</t>
        </is>
      </c>
      <c r="V54" t="inlineStr">
        <is>
          <t>HPP Vendor</t>
        </is>
      </c>
      <c r="W54" t="inlineStr">
        <is>
          <t>per pax</t>
        </is>
      </c>
      <c r="X54" t="inlineStr">
        <is>
          <t>OK</t>
        </is>
      </c>
      <c r="Y54" t="inlineStr">
        <is>
          <t>salad bar | pax</t>
        </is>
      </c>
    </row>
    <row r="55">
      <c r="A55" t="n">
        <v>51</v>
      </c>
      <c r="B55" t="inlineStr">
        <is>
          <t>💰 HPP VENDOR</t>
        </is>
      </c>
      <c r="C55" t="n">
        <v>37</v>
      </c>
      <c r="D55" t="inlineStr">
        <is>
          <t>Vendor HPP</t>
        </is>
      </c>
      <c r="E55" t="inlineStr">
        <is>
          <t>Dapur Yumyum</t>
        </is>
      </c>
      <c r="F55" t="inlineStr">
        <is>
          <t>F&amp;B</t>
        </is>
      </c>
      <c r="H55" t="inlineStr">
        <is>
          <t>Sarapan Crew</t>
        </is>
      </c>
      <c r="I55" t="inlineStr">
        <is>
          <t>per pax</t>
        </is>
      </c>
      <c r="J55" t="inlineStr">
        <is>
          <t>pax</t>
        </is>
      </c>
      <c r="K55" t="inlineStr">
        <is>
          <t>1</t>
        </is>
      </c>
      <c r="L55" t="n">
        <v>28000</v>
      </c>
      <c r="M55" t="n">
        <v>28000</v>
      </c>
      <c r="N55">
        <f>IF(COUNT(L55:M55)=0,"",AVERAGE(L55:M55))</f>
        <v/>
      </c>
      <c r="Q55">
        <f>IF(COUNT(O55:P55)=0,"",AVERAGE(O55:P55))</f>
        <v/>
      </c>
      <c r="R55">
        <f>IF(Q55&lt;&gt;"",Q55,IF(N55&lt;&gt;"",ROUND(N55*(1+$B$2),0),""))</f>
        <v/>
      </c>
      <c r="S55">
        <f>IF(AND(N55&lt;&gt;"",Q55&lt;&gt;"",N55&lt;&gt;0),(Q55-N55)/N55,"")</f>
        <v/>
      </c>
      <c r="T55" t="inlineStr">
        <is>
          <t>2026</t>
        </is>
      </c>
      <c r="U55" t="inlineStr">
        <is>
          <t>GEPEMPI Mandarin Oriental 2026</t>
        </is>
      </c>
      <c r="V55" t="inlineStr">
        <is>
          <t>HPP Vendor</t>
        </is>
      </c>
      <c r="X55" t="inlineStr">
        <is>
          <t>OK</t>
        </is>
      </c>
      <c r="Y55" t="inlineStr">
        <is>
          <t>sarapan crew | pax</t>
        </is>
      </c>
    </row>
    <row r="56">
      <c r="A56" t="n">
        <v>52</v>
      </c>
      <c r="B56" t="inlineStr">
        <is>
          <t>💰 HPP VENDOR</t>
        </is>
      </c>
      <c r="C56" t="n">
        <v>54</v>
      </c>
      <c r="D56" t="inlineStr">
        <is>
          <t>Vendor HPP</t>
        </is>
      </c>
      <c r="E56" t="inlineStr">
        <is>
          <t>Akasya Catering</t>
        </is>
      </c>
      <c r="F56" t="inlineStr">
        <is>
          <t>F&amp;B</t>
        </is>
      </c>
      <c r="H56" t="inlineStr">
        <is>
          <t>Service Charge</t>
        </is>
      </c>
      <c r="I56" t="inlineStr">
        <is>
          <t>20% from subtotal</t>
        </is>
      </c>
      <c r="J56" t="inlineStr">
        <is>
          <t>%</t>
        </is>
      </c>
      <c r="K56" t="inlineStr">
        <is>
          <t>20</t>
        </is>
      </c>
      <c r="L56" t="n">
        <v>0</v>
      </c>
      <c r="M56" t="n">
        <v>0</v>
      </c>
      <c r="N56">
        <f>IF(COUNT(L56:M56)=0,"",AVERAGE(L56:M56))</f>
        <v/>
      </c>
      <c r="Q56">
        <f>IF(COUNT(O56:P56)=0,"",AVERAGE(O56:P56))</f>
        <v/>
      </c>
      <c r="R56">
        <f>IF(Q56&lt;&gt;"",Q56,IF(N56&lt;&gt;"",ROUND(N56*(1+$B$2),0),""))</f>
        <v/>
      </c>
      <c r="S56">
        <f>IF(AND(N56&lt;&gt;"",Q56&lt;&gt;"",N56&lt;&gt;0),(Q56-N56)/N56,"")</f>
        <v/>
      </c>
      <c r="T56" t="inlineStr">
        <is>
          <t>2025</t>
        </is>
      </c>
      <c r="U56" t="inlineStr">
        <is>
          <t>Akasya Catering standard</t>
        </is>
      </c>
      <c r="V56" t="inlineStr">
        <is>
          <t>HPP Vendor</t>
        </is>
      </c>
      <c r="W56" t="inlineStr">
        <is>
          <t>wajib + PB1 10%</t>
        </is>
      </c>
      <c r="X56" t="inlineStr">
        <is>
          <t>Zero HPP - review</t>
        </is>
      </c>
      <c r="Y56" t="inlineStr">
        <is>
          <t>service charge | %</t>
        </is>
      </c>
    </row>
    <row r="57">
      <c r="A57" t="n">
        <v>53</v>
      </c>
      <c r="B57" t="inlineStr">
        <is>
          <t>💰 HPP VENDOR</t>
        </is>
      </c>
      <c r="C57" t="n">
        <v>60</v>
      </c>
      <c r="D57" t="inlineStr">
        <is>
          <t>Vendor HPP</t>
        </is>
      </c>
      <c r="E57" t="inlineStr">
        <is>
          <t>Inge Milasari Sanjaya (Vendor Lokal)</t>
        </is>
      </c>
      <c r="F57" t="inlineStr">
        <is>
          <t>F&amp;B</t>
        </is>
      </c>
      <c r="H57" t="inlineStr">
        <is>
          <t>Takjil Peserta Standar</t>
        </is>
      </c>
      <c r="I57" t="inlineStr">
        <is>
          <t>per pax</t>
        </is>
      </c>
      <c r="J57" t="inlineStr">
        <is>
          <t>pax</t>
        </is>
      </c>
      <c r="K57" t="inlineStr">
        <is>
          <t>280</t>
        </is>
      </c>
      <c r="L57" t="n">
        <v>25500</v>
      </c>
      <c r="M57" t="n">
        <v>25500</v>
      </c>
      <c r="N57">
        <f>IF(COUNT(L57:M57)=0,"",AVERAGE(L57:M57))</f>
        <v/>
      </c>
      <c r="Q57">
        <f>IF(COUNT(O57:P57)=0,"",AVERAGE(O57:P57))</f>
        <v/>
      </c>
      <c r="R57">
        <f>IF(Q57&lt;&gt;"",Q57,IF(N57&lt;&gt;"",ROUND(N57*(1+$B$2),0),""))</f>
        <v/>
      </c>
      <c r="S57">
        <f>IF(AND(N57&lt;&gt;"",Q57&lt;&gt;"",N57&lt;&gt;0),(Q57-N57)/N57,"")</f>
        <v/>
      </c>
      <c r="T57" t="inlineStr">
        <is>
          <t>2026</t>
        </is>
      </c>
      <c r="U57" t="inlineStr">
        <is>
          <t>Safari Ramadhan PGN Bogor</t>
        </is>
      </c>
      <c r="V57" t="inlineStr">
        <is>
          <t>HPP Vendor</t>
        </is>
      </c>
      <c r="X57" t="inlineStr">
        <is>
          <t>OK</t>
        </is>
      </c>
      <c r="Y57" t="inlineStr">
        <is>
          <t>takjil peserta standar | pax</t>
        </is>
      </c>
    </row>
    <row r="58">
      <c r="A58" t="n">
        <v>54</v>
      </c>
      <c r="B58" t="inlineStr">
        <is>
          <t>💰 HPP VENDOR</t>
        </is>
      </c>
      <c r="C58" t="n">
        <v>59</v>
      </c>
      <c r="D58" t="inlineStr">
        <is>
          <t>Vendor HPP</t>
        </is>
      </c>
      <c r="E58" t="inlineStr">
        <is>
          <t>Inge Milasari Sanjaya (Vendor Lokal)</t>
        </is>
      </c>
      <c r="F58" t="inlineStr">
        <is>
          <t>F&amp;B</t>
        </is>
      </c>
      <c r="H58" t="inlineStr">
        <is>
          <t>Takjil VIP</t>
        </is>
      </c>
      <c r="I58" t="inlineStr">
        <is>
          <t>per pax</t>
        </is>
      </c>
      <c r="J58" t="inlineStr">
        <is>
          <t>pax</t>
        </is>
      </c>
      <c r="K58" t="inlineStr">
        <is>
          <t>10</t>
        </is>
      </c>
      <c r="L58" t="n">
        <v>20000</v>
      </c>
      <c r="M58" t="n">
        <v>20000</v>
      </c>
      <c r="N58">
        <f>IF(COUNT(L58:M58)=0,"",AVERAGE(L58:M58))</f>
        <v/>
      </c>
      <c r="Q58">
        <f>IF(COUNT(O58:P58)=0,"",AVERAGE(O58:P58))</f>
        <v/>
      </c>
      <c r="R58">
        <f>IF(Q58&lt;&gt;"",Q58,IF(N58&lt;&gt;"",ROUND(N58*(1+$B$2),0),""))</f>
        <v/>
      </c>
      <c r="S58">
        <f>IF(AND(N58&lt;&gt;"",Q58&lt;&gt;"",N58&lt;&gt;0),(Q58-N58)/N58,"")</f>
        <v/>
      </c>
      <c r="T58" t="inlineStr">
        <is>
          <t>2026</t>
        </is>
      </c>
      <c r="U58" t="inlineStr">
        <is>
          <t>Safari Ramadhan PGN Bogor</t>
        </is>
      </c>
      <c r="V58" t="inlineStr">
        <is>
          <t>HPP Vendor</t>
        </is>
      </c>
      <c r="W58" t="inlineStr">
        <is>
          <t>per pax stage</t>
        </is>
      </c>
      <c r="X58" t="inlineStr">
        <is>
          <t>OK</t>
        </is>
      </c>
      <c r="Y58" t="inlineStr">
        <is>
          <t>takjil vip | pax</t>
        </is>
      </c>
    </row>
    <row r="59">
      <c r="A59" t="n">
        <v>55</v>
      </c>
      <c r="B59" t="inlineStr">
        <is>
          <t>📊 SUMMARY</t>
        </is>
      </c>
      <c r="C59" t="n">
        <v>60</v>
      </c>
      <c r="D59" t="inlineStr">
        <is>
          <t>Summary Range</t>
        </is>
      </c>
      <c r="F59" t="inlineStr">
        <is>
          <t>F&amp;B &amp; OPERATIONAL</t>
        </is>
      </c>
      <c r="H59" t="inlineStr">
        <is>
          <t>AMDK 330ml</t>
        </is>
      </c>
      <c r="J59" t="inlineStr">
        <is>
          <t>karton</t>
        </is>
      </c>
      <c r="N59">
        <f>IF(COUNT(L59:M59)=0,"",AVERAGE(L59:M59))</f>
        <v/>
      </c>
      <c r="O59" t="n">
        <v>40000</v>
      </c>
      <c r="P59" t="n">
        <v>65000</v>
      </c>
      <c r="Q59">
        <f>IF(COUNT(O59:P59)=0,"",AVERAGE(O59:P59))</f>
        <v/>
      </c>
      <c r="R59">
        <f>IF(Q59&lt;&gt;"",Q59,IF(N59&lt;&gt;"",ROUND(N59*(1+$B$2),0),""))</f>
        <v/>
      </c>
      <c r="S59">
        <f>IF(AND(N59&lt;&gt;"",Q59&lt;&gt;"",N59&lt;&gt;0),(Q59-N59)/N59,"")</f>
        <v/>
      </c>
      <c r="V59" t="inlineStr">
        <is>
          <t>Summary Ratecard</t>
        </is>
      </c>
      <c r="X59" t="inlineStr">
        <is>
          <t>Potential duplicate x2</t>
        </is>
      </c>
      <c r="Y59" t="inlineStr">
        <is>
          <t>amdk 330ml | karton</t>
        </is>
      </c>
    </row>
    <row r="60">
      <c r="A60" t="n">
        <v>56</v>
      </c>
      <c r="B60" t="inlineStr">
        <is>
          <t>📊 SUMMARY</t>
        </is>
      </c>
      <c r="C60" t="n">
        <v>58</v>
      </c>
      <c r="D60" t="inlineStr">
        <is>
          <t>Summary Range</t>
        </is>
      </c>
      <c r="F60" t="inlineStr">
        <is>
          <t>F&amp;B &amp; OPERATIONAL</t>
        </is>
      </c>
      <c r="H60" t="inlineStr">
        <is>
          <t>Buffet Dinner Hotel</t>
        </is>
      </c>
      <c r="J60" t="inlineStr">
        <is>
          <t>pax</t>
        </is>
      </c>
      <c r="N60">
        <f>IF(COUNT(L60:M60)=0,"",AVERAGE(L60:M60))</f>
        <v/>
      </c>
      <c r="O60" t="n">
        <v>250000</v>
      </c>
      <c r="P60" t="n">
        <v>400000</v>
      </c>
      <c r="Q60">
        <f>IF(COUNT(O60:P60)=0,"",AVERAGE(O60:P60))</f>
        <v/>
      </c>
      <c r="R60">
        <f>IF(Q60&lt;&gt;"",Q60,IF(N60&lt;&gt;"",ROUND(N60*(1+$B$2),0),""))</f>
        <v/>
      </c>
      <c r="S60">
        <f>IF(AND(N60&lt;&gt;"",Q60&lt;&gt;"",N60&lt;&gt;0),(Q60-N60)/N60,"")</f>
        <v/>
      </c>
      <c r="V60" t="inlineStr">
        <is>
          <t>Summary Ratecard</t>
        </is>
      </c>
      <c r="X60" t="inlineStr">
        <is>
          <t>OK</t>
        </is>
      </c>
      <c r="Y60" t="inlineStr">
        <is>
          <t>buffet dinner hotel | pax</t>
        </is>
      </c>
    </row>
    <row r="61">
      <c r="A61" t="n">
        <v>57</v>
      </c>
      <c r="B61" t="inlineStr">
        <is>
          <t>📊 SUMMARY</t>
        </is>
      </c>
      <c r="C61" t="n">
        <v>59</v>
      </c>
      <c r="D61" t="inlineStr">
        <is>
          <t>Summary Range</t>
        </is>
      </c>
      <c r="F61" t="inlineStr">
        <is>
          <t>F&amp;B &amp; OPERATIONAL</t>
        </is>
      </c>
      <c r="H61" t="inlineStr">
        <is>
          <t>Coffee Break / Snack Box</t>
        </is>
      </c>
      <c r="J61" t="inlineStr">
        <is>
          <t>pax</t>
        </is>
      </c>
      <c r="N61">
        <f>IF(COUNT(L61:M61)=0,"",AVERAGE(L61:M61))</f>
        <v/>
      </c>
      <c r="O61" t="n">
        <v>50000</v>
      </c>
      <c r="P61" t="n">
        <v>80000</v>
      </c>
      <c r="Q61">
        <f>IF(COUNT(O61:P61)=0,"",AVERAGE(O61:P61))</f>
        <v/>
      </c>
      <c r="R61">
        <f>IF(Q61&lt;&gt;"",Q61,IF(N61&lt;&gt;"",ROUND(N61*(1+$B$2),0),""))</f>
        <v/>
      </c>
      <c r="S61">
        <f>IF(AND(N61&lt;&gt;"",Q61&lt;&gt;"",N61&lt;&gt;0),(Q61-N61)/N61,"")</f>
        <v/>
      </c>
      <c r="V61" t="inlineStr">
        <is>
          <t>Summary Ratecard</t>
        </is>
      </c>
      <c r="X61" t="inlineStr">
        <is>
          <t>OK</t>
        </is>
      </c>
      <c r="Y61" t="inlineStr">
        <is>
          <t>coffee break / snack box | pax</t>
        </is>
      </c>
    </row>
    <row r="62">
      <c r="A62" t="n">
        <v>58</v>
      </c>
      <c r="B62" t="inlineStr">
        <is>
          <t>📊 SUMMARY</t>
        </is>
      </c>
      <c r="C62" t="n">
        <v>62</v>
      </c>
      <c r="D62" t="inlineStr">
        <is>
          <t>Summary Range</t>
        </is>
      </c>
      <c r="F62" t="inlineStr">
        <is>
          <t>F&amp;B &amp; OPERATIONAL</t>
        </is>
      </c>
      <c r="H62" t="inlineStr">
        <is>
          <t>Hi-Ace (incl. driver + overtime)</t>
        </is>
      </c>
      <c r="J62" t="inlineStr">
        <is>
          <t>unit/day</t>
        </is>
      </c>
      <c r="N62">
        <f>IF(COUNT(L62:M62)=0,"",AVERAGE(L62:M62))</f>
        <v/>
      </c>
      <c r="O62" t="n">
        <v>1800000</v>
      </c>
      <c r="P62" t="n">
        <v>2400000</v>
      </c>
      <c r="Q62">
        <f>IF(COUNT(O62:P62)=0,"",AVERAGE(O62:P62))</f>
        <v/>
      </c>
      <c r="R62">
        <f>IF(Q62&lt;&gt;"",Q62,IF(N62&lt;&gt;"",ROUND(N62*(1+$B$2),0),""))</f>
        <v/>
      </c>
      <c r="S62">
        <f>IF(AND(N62&lt;&gt;"",Q62&lt;&gt;"",N62&lt;&gt;0),(Q62-N62)/N62,"")</f>
        <v/>
      </c>
      <c r="V62" t="inlineStr">
        <is>
          <t>Summary Ratecard</t>
        </is>
      </c>
      <c r="X62" t="inlineStr">
        <is>
          <t>OK</t>
        </is>
      </c>
      <c r="Y62" t="inlineStr">
        <is>
          <t>hi-ace (incl. driver + overtime) | unit/day</t>
        </is>
      </c>
    </row>
    <row r="63">
      <c r="A63" t="n">
        <v>59</v>
      </c>
      <c r="B63" t="inlineStr">
        <is>
          <t>📊 SUMMARY</t>
        </is>
      </c>
      <c r="C63" t="n">
        <v>61</v>
      </c>
      <c r="D63" t="inlineStr">
        <is>
          <t>Summary Range</t>
        </is>
      </c>
      <c r="F63" t="inlineStr">
        <is>
          <t>F&amp;B &amp; OPERATIONAL</t>
        </is>
      </c>
      <c r="H63" t="inlineStr">
        <is>
          <t>ID Card + Lanyard PVC</t>
        </is>
      </c>
      <c r="J63" t="inlineStr">
        <is>
          <t>pcs</t>
        </is>
      </c>
      <c r="N63">
        <f>IF(COUNT(L63:M63)=0,"",AVERAGE(L63:M63))</f>
        <v/>
      </c>
      <c r="O63" t="n">
        <v>35000</v>
      </c>
      <c r="P63" t="n">
        <v>50000</v>
      </c>
      <c r="Q63">
        <f>IF(COUNT(O63:P63)=0,"",AVERAGE(O63:P63))</f>
        <v/>
      </c>
      <c r="R63">
        <f>IF(Q63&lt;&gt;"",Q63,IF(N63&lt;&gt;"",ROUND(N63*(1+$B$2),0),""))</f>
        <v/>
      </c>
      <c r="S63">
        <f>IF(AND(N63&lt;&gt;"",Q63&lt;&gt;"",N63&lt;&gt;0),(Q63-N63)/N63,"")</f>
        <v/>
      </c>
      <c r="V63" t="inlineStr">
        <is>
          <t>Summary Ratecard</t>
        </is>
      </c>
      <c r="X63" t="inlineStr">
        <is>
          <t>OK</t>
        </is>
      </c>
      <c r="Y63" t="inlineStr">
        <is>
          <t>id card + lanyard pvc | pcs</t>
        </is>
      </c>
    </row>
    <row r="64">
      <c r="A64" t="n">
        <v>60</v>
      </c>
      <c r="B64" t="inlineStr">
        <is>
          <t>📊 SUMMARY</t>
        </is>
      </c>
      <c r="C64" t="n">
        <v>57</v>
      </c>
      <c r="D64" t="inlineStr">
        <is>
          <t>Summary Range</t>
        </is>
      </c>
      <c r="F64" t="inlineStr">
        <is>
          <t>F&amp;B &amp; OPERATIONAL</t>
        </is>
      </c>
      <c r="H64" t="inlineStr">
        <is>
          <t>Lunch Box / Nasi Box</t>
        </is>
      </c>
      <c r="J64" t="inlineStr">
        <is>
          <t>pax</t>
        </is>
      </c>
      <c r="N64">
        <f>IF(COUNT(L64:M64)=0,"",AVERAGE(L64:M64))</f>
        <v/>
      </c>
      <c r="O64" t="n">
        <v>30000</v>
      </c>
      <c r="P64" t="n">
        <v>50000</v>
      </c>
      <c r="Q64">
        <f>IF(COUNT(O64:P64)=0,"",AVERAGE(O64:P64))</f>
        <v/>
      </c>
      <c r="R64">
        <f>IF(Q64&lt;&gt;"",Q64,IF(N64&lt;&gt;"",ROUND(N64*(1+$B$2),0),""))</f>
        <v/>
      </c>
      <c r="S64">
        <f>IF(AND(N64&lt;&gt;"",Q64&lt;&gt;"",N64&lt;&gt;0),(Q64-N64)/N64,"")</f>
        <v/>
      </c>
      <c r="V64" t="inlineStr">
        <is>
          <t>Summary Ratecard</t>
        </is>
      </c>
      <c r="X64" t="inlineStr">
        <is>
          <t>Potential duplicate x2</t>
        </is>
      </c>
      <c r="Y64" t="inlineStr">
        <is>
          <t>lunch box / nasi box | pax</t>
        </is>
      </c>
    </row>
    <row r="65">
      <c r="A65" t="n">
        <v>61</v>
      </c>
      <c r="B65" t="inlineStr">
        <is>
          <t>📦 RATECARD DB</t>
        </is>
      </c>
      <c r="C65" t="n">
        <v>148</v>
      </c>
      <c r="D65" t="inlineStr">
        <is>
          <t>Master Ratecard</t>
        </is>
      </c>
      <c r="F65" t="inlineStr">
        <is>
          <t>F&amp;B &amp; PARTICIPANT</t>
        </is>
      </c>
      <c r="G65" t="inlineStr">
        <is>
          <t>F&amp;B</t>
        </is>
      </c>
      <c r="H65" t="inlineStr">
        <is>
          <t>AMDK 330ml</t>
        </is>
      </c>
      <c r="I65" t="inlineStr">
        <is>
          <t>per dus</t>
        </is>
      </c>
      <c r="J65" t="inlineStr">
        <is>
          <t>karton</t>
        </is>
      </c>
      <c r="L65" t="n">
        <v>40000</v>
      </c>
      <c r="M65" t="n">
        <v>40000</v>
      </c>
      <c r="N65">
        <f>IF(COUNT(L65:M65)=0,"",AVERAGE(L65:M65))</f>
        <v/>
      </c>
      <c r="O65" t="n">
        <v>65000</v>
      </c>
      <c r="P65" t="n">
        <v>65000</v>
      </c>
      <c r="Q65">
        <f>IF(COUNT(O65:P65)=0,"",AVERAGE(O65:P65))</f>
        <v/>
      </c>
      <c r="R65">
        <f>IF(Q65&lt;&gt;"",Q65,IF(N65&lt;&gt;"",ROUND(N65*(1+$B$2),0),""))</f>
        <v/>
      </c>
      <c r="S65">
        <f>IF(AND(N65&lt;&gt;"",Q65&lt;&gt;"",N65&lt;&gt;0),(Q65-N65)/N65,"")</f>
        <v/>
      </c>
      <c r="T65" t="inlineStr">
        <is>
          <t>2025</t>
        </is>
      </c>
      <c r="V65" t="inlineStr">
        <is>
          <t>Multi event</t>
        </is>
      </c>
      <c r="X65" t="inlineStr">
        <is>
          <t>Potential duplicate x2</t>
        </is>
      </c>
      <c r="Y65" t="inlineStr">
        <is>
          <t>amdk 330ml | karton</t>
        </is>
      </c>
    </row>
    <row r="66">
      <c r="A66" t="n">
        <v>62</v>
      </c>
      <c r="B66" t="inlineStr">
        <is>
          <t>📦 RATECARD DB</t>
        </is>
      </c>
      <c r="C66" t="n">
        <v>146</v>
      </c>
      <c r="D66" t="inlineStr">
        <is>
          <t>Master Ratecard</t>
        </is>
      </c>
      <c r="F66" t="inlineStr">
        <is>
          <t>F&amp;B &amp; PARTICIPANT</t>
        </is>
      </c>
      <c r="G66" t="inlineStr">
        <is>
          <t>F&amp;B</t>
        </is>
      </c>
      <c r="H66" t="inlineStr">
        <is>
          <t>Buffet Dinner (Hotel)</t>
        </is>
      </c>
      <c r="J66" t="inlineStr">
        <is>
          <t>pax</t>
        </is>
      </c>
      <c r="L66" t="n">
        <v>250000</v>
      </c>
      <c r="M66" t="n">
        <v>250000</v>
      </c>
      <c r="N66">
        <f>IF(COUNT(L66:M66)=0,"",AVERAGE(L66:M66))</f>
        <v/>
      </c>
      <c r="O66" t="n">
        <v>350000</v>
      </c>
      <c r="P66" t="n">
        <v>350000</v>
      </c>
      <c r="Q66">
        <f>IF(COUNT(O66:P66)=0,"",AVERAGE(O66:P66))</f>
        <v/>
      </c>
      <c r="R66">
        <f>IF(Q66&lt;&gt;"",Q66,IF(N66&lt;&gt;"",ROUND(N66*(1+$B$2),0),""))</f>
        <v/>
      </c>
      <c r="S66">
        <f>IF(AND(N66&lt;&gt;"",Q66&lt;&gt;"",N66&lt;&gt;0),(Q66-N66)/N66,"")</f>
        <v/>
      </c>
      <c r="T66" t="inlineStr">
        <is>
          <t>2024</t>
        </is>
      </c>
      <c r="V66" t="inlineStr">
        <is>
          <t>HPP Gathering</t>
        </is>
      </c>
      <c r="X66" t="inlineStr">
        <is>
          <t>OK</t>
        </is>
      </c>
      <c r="Y66" t="inlineStr">
        <is>
          <t>buffet dinner (hotel) | pax</t>
        </is>
      </c>
    </row>
    <row r="67">
      <c r="A67" t="n">
        <v>63</v>
      </c>
      <c r="B67" t="inlineStr">
        <is>
          <t>📦 RATECARD DB</t>
        </is>
      </c>
      <c r="C67" t="n">
        <v>145</v>
      </c>
      <c r="D67" t="inlineStr">
        <is>
          <t>Master Ratecard</t>
        </is>
      </c>
      <c r="F67" t="inlineStr">
        <is>
          <t>F&amp;B &amp; PARTICIPANT</t>
        </is>
      </c>
      <c r="G67" t="inlineStr">
        <is>
          <t>F&amp;B</t>
        </is>
      </c>
      <c r="H67" t="inlineStr">
        <is>
          <t>Lunch Box / Nasi Box</t>
        </is>
      </c>
      <c r="J67" t="inlineStr">
        <is>
          <t>pax</t>
        </is>
      </c>
      <c r="L67" t="n">
        <v>30000</v>
      </c>
      <c r="M67" t="n">
        <v>30000</v>
      </c>
      <c r="N67">
        <f>IF(COUNT(L67:M67)=0,"",AVERAGE(L67:M67))</f>
        <v/>
      </c>
      <c r="O67" t="n">
        <v>50000</v>
      </c>
      <c r="P67" t="n">
        <v>50000</v>
      </c>
      <c r="Q67">
        <f>IF(COUNT(O67:P67)=0,"",AVERAGE(O67:P67))</f>
        <v/>
      </c>
      <c r="R67">
        <f>IF(Q67&lt;&gt;"",Q67,IF(N67&lt;&gt;"",ROUND(N67*(1+$B$2),0),""))</f>
        <v/>
      </c>
      <c r="S67">
        <f>IF(AND(N67&lt;&gt;"",Q67&lt;&gt;"",N67&lt;&gt;0),(Q67-N67)/N67,"")</f>
        <v/>
      </c>
      <c r="T67" t="inlineStr">
        <is>
          <t>2025</t>
        </is>
      </c>
      <c r="V67" t="inlineStr">
        <is>
          <t>Multi event</t>
        </is>
      </c>
      <c r="X67" t="inlineStr">
        <is>
          <t>Potential duplicate x2</t>
        </is>
      </c>
      <c r="Y67" t="inlineStr">
        <is>
          <t>lunch box / nasi box | pax</t>
        </is>
      </c>
    </row>
    <row r="68">
      <c r="A68" t="n">
        <v>64</v>
      </c>
      <c r="B68" t="inlineStr">
        <is>
          <t>📦 RATECARD DB</t>
        </is>
      </c>
      <c r="C68" t="n">
        <v>147</v>
      </c>
      <c r="D68" t="inlineStr">
        <is>
          <t>Master Ratecard</t>
        </is>
      </c>
      <c r="F68" t="inlineStr">
        <is>
          <t>F&amp;B &amp; PARTICIPANT</t>
        </is>
      </c>
      <c r="G68" t="inlineStr">
        <is>
          <t>F&amp;B</t>
        </is>
      </c>
      <c r="H68" t="inlineStr">
        <is>
          <t>Snack Box / Coffee Break</t>
        </is>
      </c>
      <c r="J68" t="inlineStr">
        <is>
          <t>pax</t>
        </is>
      </c>
      <c r="L68" t="n">
        <v>50000</v>
      </c>
      <c r="M68" t="n">
        <v>50000</v>
      </c>
      <c r="N68">
        <f>IF(COUNT(L68:M68)=0,"",AVERAGE(L68:M68))</f>
        <v/>
      </c>
      <c r="O68" t="n">
        <v>80000</v>
      </c>
      <c r="P68" t="n">
        <v>80000</v>
      </c>
      <c r="Q68">
        <f>IF(COUNT(O68:P68)=0,"",AVERAGE(O68:P68))</f>
        <v/>
      </c>
      <c r="R68">
        <f>IF(Q68&lt;&gt;"",Q68,IF(N68&lt;&gt;"",ROUND(N68*(1+$B$2),0),""))</f>
        <v/>
      </c>
      <c r="S68">
        <f>IF(AND(N68&lt;&gt;"",Q68&lt;&gt;"",N68&lt;&gt;0),(Q68-N68)/N68,"")</f>
        <v/>
      </c>
      <c r="T68" t="inlineStr">
        <is>
          <t>2025</t>
        </is>
      </c>
      <c r="V68" t="inlineStr">
        <is>
          <t>Multi event</t>
        </is>
      </c>
      <c r="X68" t="inlineStr">
        <is>
          <t>OK</t>
        </is>
      </c>
      <c r="Y68" t="inlineStr">
        <is>
          <t>snack box / coffee break | pax</t>
        </is>
      </c>
    </row>
    <row r="69">
      <c r="A69" t="n">
        <v>65</v>
      </c>
      <c r="B69" t="inlineStr">
        <is>
          <t>📦 RATECARD DB</t>
        </is>
      </c>
      <c r="C69" t="n">
        <v>152</v>
      </c>
      <c r="D69" t="inlineStr">
        <is>
          <t>Master Ratecard</t>
        </is>
      </c>
      <c r="F69" t="inlineStr">
        <is>
          <t>F&amp;B &amp; PARTICIPANT</t>
        </is>
      </c>
      <c r="G69" t="inlineStr">
        <is>
          <t>Komunikasi</t>
        </is>
      </c>
      <c r="H69" t="inlineStr">
        <is>
          <t>HT Standard</t>
        </is>
      </c>
      <c r="J69" t="inlineStr">
        <is>
          <t>unit/day</t>
        </is>
      </c>
      <c r="L69" t="n">
        <v>40000</v>
      </c>
      <c r="M69" t="n">
        <v>40000</v>
      </c>
      <c r="N69">
        <f>IF(COUNT(L69:M69)=0,"",AVERAGE(L69:M69))</f>
        <v/>
      </c>
      <c r="O69" t="n">
        <v>75000</v>
      </c>
      <c r="P69" t="n">
        <v>75000</v>
      </c>
      <c r="Q69">
        <f>IF(COUNT(O69:P69)=0,"",AVERAGE(O69:P69))</f>
        <v/>
      </c>
      <c r="R69">
        <f>IF(Q69&lt;&gt;"",Q69,IF(N69&lt;&gt;"",ROUND(N69*(1+$B$2),0),""))</f>
        <v/>
      </c>
      <c r="S69">
        <f>IF(AND(N69&lt;&gt;"",Q69&lt;&gt;"",N69&lt;&gt;0),(Q69-N69)/N69,"")</f>
        <v/>
      </c>
      <c r="T69" t="inlineStr">
        <is>
          <t>2025</t>
        </is>
      </c>
      <c r="V69" t="inlineStr">
        <is>
          <t>Multi event</t>
        </is>
      </c>
      <c r="X69" t="inlineStr">
        <is>
          <t>OK</t>
        </is>
      </c>
      <c r="Y69" t="inlineStr">
        <is>
          <t>ht standard | unit/day</t>
        </is>
      </c>
    </row>
    <row r="70">
      <c r="A70" t="n">
        <v>66</v>
      </c>
      <c r="B70" t="inlineStr">
        <is>
          <t>📦 RATECARD DB</t>
        </is>
      </c>
      <c r="C70" t="n">
        <v>153</v>
      </c>
      <c r="D70" t="inlineStr">
        <is>
          <t>Master Ratecard</t>
        </is>
      </c>
      <c r="F70" t="inlineStr">
        <is>
          <t>F&amp;B &amp; PARTICIPANT</t>
        </is>
      </c>
      <c r="G70" t="inlineStr">
        <is>
          <t>Komunikasi</t>
        </is>
      </c>
      <c r="H70" t="inlineStr">
        <is>
          <t>Intercom Clearcomm</t>
        </is>
      </c>
      <c r="J70" t="inlineStr">
        <is>
          <t>unit/day</t>
        </is>
      </c>
      <c r="L70" t="n">
        <v>200000</v>
      </c>
      <c r="M70" t="n">
        <v>200000</v>
      </c>
      <c r="N70">
        <f>IF(COUNT(L70:M70)=0,"",AVERAGE(L70:M70))</f>
        <v/>
      </c>
      <c r="O70" t="n">
        <v>300000</v>
      </c>
      <c r="P70" t="n">
        <v>300000</v>
      </c>
      <c r="Q70">
        <f>IF(COUNT(O70:P70)=0,"",AVERAGE(O70:P70))</f>
        <v/>
      </c>
      <c r="R70">
        <f>IF(Q70&lt;&gt;"",Q70,IF(N70&lt;&gt;"",ROUND(N70*(1+$B$2),0),""))</f>
        <v/>
      </c>
      <c r="S70">
        <f>IF(AND(N70&lt;&gt;"",Q70&lt;&gt;"",N70&lt;&gt;0),(Q70-N70)/N70,"")</f>
        <v/>
      </c>
      <c r="T70" t="inlineStr">
        <is>
          <t>2025</t>
        </is>
      </c>
      <c r="V70" t="inlineStr">
        <is>
          <t>Multi event</t>
        </is>
      </c>
      <c r="X70" t="inlineStr">
        <is>
          <t>OK</t>
        </is>
      </c>
      <c r="Y70" t="inlineStr">
        <is>
          <t>intercom clearcomm | unit/day</t>
        </is>
      </c>
    </row>
    <row r="71">
      <c r="A71" t="n">
        <v>67</v>
      </c>
      <c r="B71" t="inlineStr">
        <is>
          <t>📦 RATECARD DB</t>
        </is>
      </c>
      <c r="C71" t="n">
        <v>151</v>
      </c>
      <c r="D71" t="inlineStr">
        <is>
          <t>Master Ratecard</t>
        </is>
      </c>
      <c r="F71" t="inlineStr">
        <is>
          <t>F&amp;B &amp; PARTICIPANT</t>
        </is>
      </c>
      <c r="G71" t="inlineStr">
        <is>
          <t>Participant</t>
        </is>
      </c>
      <c r="H71" t="inlineStr">
        <is>
          <t>Hologram Sticker</t>
        </is>
      </c>
      <c r="I71" t="inlineStr">
        <is>
          <t>VIP/panitia/peserta</t>
        </is>
      </c>
      <c r="J71" t="inlineStr">
        <is>
          <t>pcs</t>
        </is>
      </c>
      <c r="L71" t="n">
        <v>6000</v>
      </c>
      <c r="M71" t="n">
        <v>6000</v>
      </c>
      <c r="N71">
        <f>IF(COUNT(L71:M71)=0,"",AVERAGE(L71:M71))</f>
        <v/>
      </c>
      <c r="O71" t="n">
        <v>9000</v>
      </c>
      <c r="P71" t="n">
        <v>9000</v>
      </c>
      <c r="Q71">
        <f>IF(COUNT(O71:P71)=0,"",AVERAGE(O71:P71))</f>
        <v/>
      </c>
      <c r="R71">
        <f>IF(Q71&lt;&gt;"",Q71,IF(N71&lt;&gt;"",ROUND(N71*(1+$B$2),0),""))</f>
        <v/>
      </c>
      <c r="S71">
        <f>IF(AND(N71&lt;&gt;"",Q71&lt;&gt;"",N71&lt;&gt;0),(Q71-N71)/N71,"")</f>
        <v/>
      </c>
      <c r="T71" t="inlineStr">
        <is>
          <t>2025</t>
        </is>
      </c>
      <c r="V71" t="inlineStr">
        <is>
          <t>Kemendikdasmen</t>
        </is>
      </c>
      <c r="X71" t="inlineStr">
        <is>
          <t>OK</t>
        </is>
      </c>
      <c r="Y71" t="inlineStr">
        <is>
          <t>hologram sticker | pcs</t>
        </is>
      </c>
    </row>
    <row r="72">
      <c r="A72" t="n">
        <v>68</v>
      </c>
      <c r="B72" t="inlineStr">
        <is>
          <t>📦 RATECARD DB</t>
        </is>
      </c>
      <c r="C72" t="n">
        <v>149</v>
      </c>
      <c r="D72" t="inlineStr">
        <is>
          <t>Master Ratecard</t>
        </is>
      </c>
      <c r="F72" t="inlineStr">
        <is>
          <t>F&amp;B &amp; PARTICIPANT</t>
        </is>
      </c>
      <c r="G72" t="inlineStr">
        <is>
          <t>Participant</t>
        </is>
      </c>
      <c r="H72" t="inlineStr">
        <is>
          <t>ID Card + Lanyard (PVC)</t>
        </is>
      </c>
      <c r="J72" t="inlineStr">
        <is>
          <t>pcs</t>
        </is>
      </c>
      <c r="L72" t="n">
        <v>35000</v>
      </c>
      <c r="M72" t="n">
        <v>35000</v>
      </c>
      <c r="N72">
        <f>IF(COUNT(L72:M72)=0,"",AVERAGE(L72:M72))</f>
        <v/>
      </c>
      <c r="O72" t="n">
        <v>45000</v>
      </c>
      <c r="P72" t="n">
        <v>45000</v>
      </c>
      <c r="Q72">
        <f>IF(COUNT(O72:P72)=0,"",AVERAGE(O72:P72))</f>
        <v/>
      </c>
      <c r="R72">
        <f>IF(Q72&lt;&gt;"",Q72,IF(N72&lt;&gt;"",ROUND(N72*(1+$B$2),0),""))</f>
        <v/>
      </c>
      <c r="S72">
        <f>IF(AND(N72&lt;&gt;"",Q72&lt;&gt;"",N72&lt;&gt;0),(Q72-N72)/N72,"")</f>
        <v/>
      </c>
      <c r="T72" t="inlineStr">
        <is>
          <t>2025</t>
        </is>
      </c>
      <c r="V72" t="inlineStr">
        <is>
          <t>Kemendikdasmen</t>
        </is>
      </c>
      <c r="X72" t="inlineStr">
        <is>
          <t>OK</t>
        </is>
      </c>
      <c r="Y72" t="inlineStr">
        <is>
          <t>id card + lanyard (pvc) | pcs</t>
        </is>
      </c>
    </row>
    <row r="73">
      <c r="A73" t="n">
        <v>69</v>
      </c>
      <c r="B73" t="inlineStr">
        <is>
          <t>📦 RATECARD DB</t>
        </is>
      </c>
      <c r="C73" t="n">
        <v>150</v>
      </c>
      <c r="D73" t="inlineStr">
        <is>
          <t>Master Ratecard</t>
        </is>
      </c>
      <c r="F73" t="inlineStr">
        <is>
          <t>F&amp;B &amp; PARTICIPANT</t>
        </is>
      </c>
      <c r="G73" t="inlineStr">
        <is>
          <t>Participant</t>
        </is>
      </c>
      <c r="H73" t="inlineStr">
        <is>
          <t>Luggage Tag</t>
        </is>
      </c>
      <c r="J73" t="inlineStr">
        <is>
          <t>pcs</t>
        </is>
      </c>
      <c r="L73" t="n">
        <v>20000</v>
      </c>
      <c r="M73" t="n">
        <v>20000</v>
      </c>
      <c r="N73">
        <f>IF(COUNT(L73:M73)=0,"",AVERAGE(L73:M73))</f>
        <v/>
      </c>
      <c r="O73" t="n">
        <v>27500</v>
      </c>
      <c r="P73" t="n">
        <v>27500</v>
      </c>
      <c r="Q73">
        <f>IF(COUNT(O73:P73)=0,"",AVERAGE(O73:P73))</f>
        <v/>
      </c>
      <c r="R73">
        <f>IF(Q73&lt;&gt;"",Q73,IF(N73&lt;&gt;"",ROUND(N73*(1+$B$2),0),""))</f>
        <v/>
      </c>
      <c r="S73">
        <f>IF(AND(N73&lt;&gt;"",Q73&lt;&gt;"",N73&lt;&gt;0),(Q73-N73)/N73,"")</f>
        <v/>
      </c>
      <c r="T73" t="inlineStr">
        <is>
          <t>2025</t>
        </is>
      </c>
      <c r="V73" t="inlineStr">
        <is>
          <t>Kemendikdasmen</t>
        </is>
      </c>
      <c r="X73" t="inlineStr">
        <is>
          <t>OK</t>
        </is>
      </c>
      <c r="Y73" t="inlineStr">
        <is>
          <t>luggage tag | pcs</t>
        </is>
      </c>
    </row>
    <row r="74">
      <c r="A74" t="n">
        <v>70</v>
      </c>
      <c r="B74" t="inlineStr">
        <is>
          <t>📋 PO &amp; RFP DATA</t>
        </is>
      </c>
      <c r="C74" t="n">
        <v>71</v>
      </c>
      <c r="D74" t="inlineStr">
        <is>
          <t>PO/RFP HPP</t>
        </is>
      </c>
      <c r="E74" t="inlineStr">
        <is>
          <t>PT Multi Visual Kreasindo</t>
        </is>
      </c>
      <c r="F74" t="inlineStr">
        <is>
          <t>Furniture</t>
        </is>
      </c>
      <c r="H74" t="inlineStr">
        <is>
          <t>Arm Chair</t>
        </is>
      </c>
      <c r="I74" t="inlineStr">
        <is>
          <t>per unit per hari</t>
        </is>
      </c>
      <c r="J74" t="inlineStr">
        <is>
          <t>unit/day</t>
        </is>
      </c>
      <c r="K74" t="inlineStr">
        <is>
          <t>1</t>
        </is>
      </c>
      <c r="L74" t="n">
        <v>200000</v>
      </c>
      <c r="M74" t="n">
        <v>200000</v>
      </c>
      <c r="N74">
        <f>IF(COUNT(L74:M74)=0,"",AVERAGE(L74:M74))</f>
        <v/>
      </c>
      <c r="Q74">
        <f>IF(COUNT(O74:P74)=0,"",AVERAGE(O74:P74))</f>
        <v/>
      </c>
      <c r="R74">
        <f>IF(Q74&lt;&gt;"",Q74,IF(N74&lt;&gt;"",ROUND(N74*(1+$B$2),0),""))</f>
        <v/>
      </c>
      <c r="S74">
        <f>IF(AND(N74&lt;&gt;"",Q74&lt;&gt;"",N74&lt;&gt;0),(Q74-N74)/N74,"")</f>
        <v/>
      </c>
      <c r="T74" t="inlineStr">
        <is>
          <t>2026</t>
        </is>
      </c>
      <c r="U74" t="inlineStr">
        <is>
          <t>PGN Safari Ramadan Bogor</t>
        </is>
      </c>
      <c r="X74" t="inlineStr">
        <is>
          <t>OK</t>
        </is>
      </c>
      <c r="Y74" t="inlineStr">
        <is>
          <t>arm chair | unit/day</t>
        </is>
      </c>
    </row>
    <row r="75">
      <c r="A75" t="n">
        <v>71</v>
      </c>
      <c r="B75" t="inlineStr">
        <is>
          <t>🕌 MUI EVENT DATA</t>
        </is>
      </c>
      <c r="C75" t="n">
        <v>35</v>
      </c>
      <c r="D75" t="inlineStr">
        <is>
          <t>MUI Real Cost</t>
        </is>
      </c>
      <c r="E75" t="inlineStr">
        <is>
          <t>MUI/EO</t>
        </is>
      </c>
      <c r="F75" t="inlineStr">
        <is>
          <t>Furniture</t>
        </is>
      </c>
      <c r="H75" t="inlineStr">
        <is>
          <t>Arm Chair VVIP</t>
        </is>
      </c>
      <c r="J75" t="inlineStr">
        <is>
          <t>unit</t>
        </is>
      </c>
      <c r="K75" t="inlineStr">
        <is>
          <t>1</t>
        </is>
      </c>
      <c r="L75" t="n">
        <v>250000</v>
      </c>
      <c r="M75" t="n">
        <v>250000</v>
      </c>
      <c r="N75">
        <f>IF(COUNT(L75:M75)=0,"",AVERAGE(L75:M75))</f>
        <v/>
      </c>
      <c r="Q75">
        <f>IF(COUNT(O75:P75)=0,"",AVERAGE(O75:P75))</f>
        <v/>
      </c>
      <c r="R75">
        <f>IF(Q75&lt;&gt;"",Q75,IF(N75&lt;&gt;"",ROUND(N75*(1+$B$2),0),""))</f>
        <v/>
      </c>
      <c r="S75">
        <f>IF(AND(N75&lt;&gt;"",Q75&lt;&gt;"",N75&lt;&gt;0),(Q75-N75)/N75,"")</f>
        <v/>
      </c>
      <c r="T75" t="inlineStr">
        <is>
          <t>2026</t>
        </is>
      </c>
      <c r="U75" t="inlineStr">
        <is>
          <t>MUI Istiqlal 2026</t>
        </is>
      </c>
      <c r="V75" t="inlineStr">
        <is>
          <t>per unit</t>
        </is>
      </c>
      <c r="X75" t="inlineStr">
        <is>
          <t>OK</t>
        </is>
      </c>
      <c r="Y75" t="inlineStr">
        <is>
          <t>arm chair vvip | unit</t>
        </is>
      </c>
    </row>
    <row r="76">
      <c r="A76" t="n">
        <v>72</v>
      </c>
      <c r="B76" t="inlineStr">
        <is>
          <t>📋 PO &amp; RFP DATA</t>
        </is>
      </c>
      <c r="C76" t="n">
        <v>73</v>
      </c>
      <c r="D76" t="inlineStr">
        <is>
          <t>PO/RFP HPP</t>
        </is>
      </c>
      <c r="E76" t="inlineStr">
        <is>
          <t>PT Multi Visual Kreasindo</t>
        </is>
      </c>
      <c r="F76" t="inlineStr">
        <is>
          <t>Furniture</t>
        </is>
      </c>
      <c r="H76" t="inlineStr">
        <is>
          <t>Centerpiece</t>
        </is>
      </c>
      <c r="I76" t="inlineStr">
        <is>
          <t>per unit per hari</t>
        </is>
      </c>
      <c r="J76" t="inlineStr">
        <is>
          <t>unit/day</t>
        </is>
      </c>
      <c r="K76" t="inlineStr">
        <is>
          <t>1</t>
        </is>
      </c>
      <c r="L76" t="n">
        <v>125000</v>
      </c>
      <c r="M76" t="n">
        <v>125000</v>
      </c>
      <c r="N76">
        <f>IF(COUNT(L76:M76)=0,"",AVERAGE(L76:M76))</f>
        <v/>
      </c>
      <c r="Q76">
        <f>IF(COUNT(O76:P76)=0,"",AVERAGE(O76:P76))</f>
        <v/>
      </c>
      <c r="R76">
        <f>IF(Q76&lt;&gt;"",Q76,IF(N76&lt;&gt;"",ROUND(N76*(1+$B$2),0),""))</f>
        <v/>
      </c>
      <c r="S76">
        <f>IF(AND(N76&lt;&gt;"",Q76&lt;&gt;"",N76&lt;&gt;0),(Q76-N76)/N76,"")</f>
        <v/>
      </c>
      <c r="T76" t="inlineStr">
        <is>
          <t>2026</t>
        </is>
      </c>
      <c r="U76" t="inlineStr">
        <is>
          <t>PGN Safari Ramadan Bogor</t>
        </is>
      </c>
      <c r="X76" t="inlineStr">
        <is>
          <t>OK</t>
        </is>
      </c>
      <c r="Y76" t="inlineStr">
        <is>
          <t>centerpiece | unit/day</t>
        </is>
      </c>
    </row>
    <row r="77">
      <c r="A77" t="n">
        <v>73</v>
      </c>
      <c r="B77" t="inlineStr">
        <is>
          <t>🕌 MUI EVENT DATA</t>
        </is>
      </c>
      <c r="C77" t="n">
        <v>37</v>
      </c>
      <c r="D77" t="inlineStr">
        <is>
          <t>MUI Real Cost</t>
        </is>
      </c>
      <c r="E77" t="inlineStr">
        <is>
          <t>MUI/EO</t>
        </is>
      </c>
      <c r="F77" t="inlineStr">
        <is>
          <t>Furniture</t>
        </is>
      </c>
      <c r="H77" t="inlineStr">
        <is>
          <t>Coffee Table</t>
        </is>
      </c>
      <c r="J77" t="inlineStr">
        <is>
          <t>unit/day</t>
        </is>
      </c>
      <c r="K77" t="inlineStr">
        <is>
          <t>1</t>
        </is>
      </c>
      <c r="L77" t="n">
        <v>150000</v>
      </c>
      <c r="M77" t="n">
        <v>150000</v>
      </c>
      <c r="N77">
        <f>IF(COUNT(L77:M77)=0,"",AVERAGE(L77:M77))</f>
        <v/>
      </c>
      <c r="Q77">
        <f>IF(COUNT(O77:P77)=0,"",AVERAGE(O77:P77))</f>
        <v/>
      </c>
      <c r="R77">
        <f>IF(Q77&lt;&gt;"",Q77,IF(N77&lt;&gt;"",ROUND(N77*(1+$B$2),0),""))</f>
        <v/>
      </c>
      <c r="S77">
        <f>IF(AND(N77&lt;&gt;"",Q77&lt;&gt;"",N77&lt;&gt;0),(Q77-N77)/N77,"")</f>
        <v/>
      </c>
      <c r="T77" t="inlineStr">
        <is>
          <t>2026</t>
        </is>
      </c>
      <c r="U77" t="inlineStr">
        <is>
          <t>MUI Istiqlal 2026</t>
        </is>
      </c>
      <c r="V77" t="inlineStr">
        <is>
          <t>per unit</t>
        </is>
      </c>
      <c r="X77" t="inlineStr">
        <is>
          <t>Potential duplicate x2</t>
        </is>
      </c>
      <c r="Y77" t="inlineStr">
        <is>
          <t>coffee table | unit/day</t>
        </is>
      </c>
    </row>
    <row r="78">
      <c r="A78" t="n">
        <v>74</v>
      </c>
      <c r="B78" t="inlineStr">
        <is>
          <t>📋 PO &amp; RFP DATA</t>
        </is>
      </c>
      <c r="C78" t="n">
        <v>72</v>
      </c>
      <c r="D78" t="inlineStr">
        <is>
          <t>PO/RFP HPP</t>
        </is>
      </c>
      <c r="E78" t="inlineStr">
        <is>
          <t>PT Multi Visual Kreasindo</t>
        </is>
      </c>
      <c r="F78" t="inlineStr">
        <is>
          <t>Furniture</t>
        </is>
      </c>
      <c r="H78" t="inlineStr">
        <is>
          <t>Coffee Table</t>
        </is>
      </c>
      <c r="I78" t="inlineStr">
        <is>
          <t>per unit per hari</t>
        </is>
      </c>
      <c r="J78" t="inlineStr">
        <is>
          <t>unit/day</t>
        </is>
      </c>
      <c r="K78" t="inlineStr">
        <is>
          <t>1</t>
        </is>
      </c>
      <c r="L78" t="n">
        <v>150000</v>
      </c>
      <c r="M78" t="n">
        <v>150000</v>
      </c>
      <c r="N78">
        <f>IF(COUNT(L78:M78)=0,"",AVERAGE(L78:M78))</f>
        <v/>
      </c>
      <c r="Q78">
        <f>IF(COUNT(O78:P78)=0,"",AVERAGE(O78:P78))</f>
        <v/>
      </c>
      <c r="R78">
        <f>IF(Q78&lt;&gt;"",Q78,IF(N78&lt;&gt;"",ROUND(N78*(1+$B$2),0),""))</f>
        <v/>
      </c>
      <c r="S78">
        <f>IF(AND(N78&lt;&gt;"",Q78&lt;&gt;"",N78&lt;&gt;0),(Q78-N78)/N78,"")</f>
        <v/>
      </c>
      <c r="T78" t="inlineStr">
        <is>
          <t>2026</t>
        </is>
      </c>
      <c r="U78" t="inlineStr">
        <is>
          <t>PGN Safari Ramadan Bogor</t>
        </is>
      </c>
      <c r="X78" t="inlineStr">
        <is>
          <t>Potential duplicate x2</t>
        </is>
      </c>
      <c r="Y78" t="inlineStr">
        <is>
          <t>coffee table | unit/day</t>
        </is>
      </c>
    </row>
    <row r="79">
      <c r="A79" t="n">
        <v>75</v>
      </c>
      <c r="B79" t="inlineStr">
        <is>
          <t>🕌 MUI EVENT DATA</t>
        </is>
      </c>
      <c r="C79" t="n">
        <v>34</v>
      </c>
      <c r="D79" t="inlineStr">
        <is>
          <t>MUI Real Cost</t>
        </is>
      </c>
      <c r="E79" t="inlineStr">
        <is>
          <t>MUI/EO</t>
        </is>
      </c>
      <c r="F79" t="inlineStr">
        <is>
          <t>Furniture</t>
        </is>
      </c>
      <c r="H79" t="inlineStr">
        <is>
          <t>Futura Chair (cover putih)</t>
        </is>
      </c>
      <c r="J79" t="inlineStr">
        <is>
          <t>unit/day</t>
        </is>
      </c>
      <c r="K79" t="inlineStr">
        <is>
          <t>1</t>
        </is>
      </c>
      <c r="L79" t="n">
        <v>15000</v>
      </c>
      <c r="M79" t="n">
        <v>15000</v>
      </c>
      <c r="N79">
        <f>IF(COUNT(L79:M79)=0,"",AVERAGE(L79:M79))</f>
        <v/>
      </c>
      <c r="Q79">
        <f>IF(COUNT(O79:P79)=0,"",AVERAGE(O79:P79))</f>
        <v/>
      </c>
      <c r="R79">
        <f>IF(Q79&lt;&gt;"",Q79,IF(N79&lt;&gt;"",ROUND(N79*(1+$B$2),0),""))</f>
        <v/>
      </c>
      <c r="S79">
        <f>IF(AND(N79&lt;&gt;"",Q79&lt;&gt;"",N79&lt;&gt;0),(Q79-N79)/N79,"")</f>
        <v/>
      </c>
      <c r="T79" t="inlineStr">
        <is>
          <t>2026</t>
        </is>
      </c>
      <c r="U79" t="inlineStr">
        <is>
          <t>MUI Istiqlal 2026</t>
        </is>
      </c>
      <c r="V79" t="inlineStr">
        <is>
          <t>per unit</t>
        </is>
      </c>
      <c r="X79" t="inlineStr">
        <is>
          <t>OK</t>
        </is>
      </c>
      <c r="Y79" t="inlineStr">
        <is>
          <t>futura chair (cover putih) | unit/day</t>
        </is>
      </c>
    </row>
    <row r="80">
      <c r="A80" t="n">
        <v>76</v>
      </c>
      <c r="B80" t="inlineStr">
        <is>
          <t>💰 HPP VENDOR</t>
        </is>
      </c>
      <c r="C80" t="n">
        <v>12</v>
      </c>
      <c r="D80" t="inlineStr">
        <is>
          <t>Vendor HPP</t>
        </is>
      </c>
      <c r="E80" t="inlineStr">
        <is>
          <t>Dinamix Production</t>
        </is>
      </c>
      <c r="F80" t="inlineStr">
        <is>
          <t>Furniture</t>
        </is>
      </c>
      <c r="H80" t="inlineStr">
        <is>
          <t>Futura Chair incl. Cover</t>
        </is>
      </c>
      <c r="J80" t="inlineStr">
        <is>
          <t>unit</t>
        </is>
      </c>
      <c r="K80" t="inlineStr">
        <is>
          <t>60</t>
        </is>
      </c>
      <c r="L80" t="n">
        <v>15000</v>
      </c>
      <c r="M80" t="n">
        <v>15000</v>
      </c>
      <c r="N80">
        <f>IF(COUNT(L80:M80)=0,"",AVERAGE(L80:M80))</f>
        <v/>
      </c>
      <c r="Q80">
        <f>IF(COUNT(O80:P80)=0,"",AVERAGE(O80:P80))</f>
        <v/>
      </c>
      <c r="R80">
        <f>IF(Q80&lt;&gt;"",Q80,IF(N80&lt;&gt;"",ROUND(N80*(1+$B$2),0),""))</f>
        <v/>
      </c>
      <c r="S80">
        <f>IF(AND(N80&lt;&gt;"",Q80&lt;&gt;"",N80&lt;&gt;0),(Q80-N80)/N80,"")</f>
        <v/>
      </c>
      <c r="T80" t="inlineStr">
        <is>
          <t>2025</t>
        </is>
      </c>
      <c r="U80" t="inlineStr">
        <is>
          <t>Sunpride Bandung</t>
        </is>
      </c>
      <c r="V80" t="inlineStr">
        <is>
          <t>HPP Vendor</t>
        </is>
      </c>
      <c r="W80" t="inlineStr">
        <is>
          <t>per unit</t>
        </is>
      </c>
      <c r="X80" t="inlineStr">
        <is>
          <t>OK</t>
        </is>
      </c>
      <c r="Y80" t="inlineStr">
        <is>
          <t>futura chair incl. cover | unit</t>
        </is>
      </c>
    </row>
    <row r="81">
      <c r="A81" t="n">
        <v>77</v>
      </c>
      <c r="B81" t="inlineStr">
        <is>
          <t>📋 PO &amp; RFP DATA</t>
        </is>
      </c>
      <c r="C81" t="n">
        <v>74</v>
      </c>
      <c r="D81" t="inlineStr">
        <is>
          <t>PO/RFP HPP</t>
        </is>
      </c>
      <c r="E81" t="inlineStr">
        <is>
          <t>PT Multi Visual Kreasindo</t>
        </is>
      </c>
      <c r="F81" t="inlineStr">
        <is>
          <t>Furniture</t>
        </is>
      </c>
      <c r="H81" t="inlineStr">
        <is>
          <t>Futura Chair incl. stretch cover</t>
        </is>
      </c>
      <c r="I81" t="inlineStr">
        <is>
          <t>per unit per hari</t>
        </is>
      </c>
      <c r="J81" t="inlineStr">
        <is>
          <t>unit/day</t>
        </is>
      </c>
      <c r="K81" t="inlineStr">
        <is>
          <t>1</t>
        </is>
      </c>
      <c r="L81" t="n">
        <v>17500</v>
      </c>
      <c r="M81" t="n">
        <v>17500</v>
      </c>
      <c r="N81">
        <f>IF(COUNT(L81:M81)=0,"",AVERAGE(L81:M81))</f>
        <v/>
      </c>
      <c r="Q81">
        <f>IF(COUNT(O81:P81)=0,"",AVERAGE(O81:P81))</f>
        <v/>
      </c>
      <c r="R81">
        <f>IF(Q81&lt;&gt;"",Q81,IF(N81&lt;&gt;"",ROUND(N81*(1+$B$2),0),""))</f>
        <v/>
      </c>
      <c r="S81">
        <f>IF(AND(N81&lt;&gt;"",Q81&lt;&gt;"",N81&lt;&gt;0),(Q81-N81)/N81,"")</f>
        <v/>
      </c>
      <c r="T81" t="inlineStr">
        <is>
          <t>2026</t>
        </is>
      </c>
      <c r="U81" t="inlineStr">
        <is>
          <t>PGN Safari Ramadan Bogor</t>
        </is>
      </c>
      <c r="X81" t="inlineStr">
        <is>
          <t>OK</t>
        </is>
      </c>
      <c r="Y81" t="inlineStr">
        <is>
          <t>futura chair incl. stretch cover | unit/day</t>
        </is>
      </c>
    </row>
    <row r="82">
      <c r="A82" t="n">
        <v>78</v>
      </c>
      <c r="B82" t="inlineStr">
        <is>
          <t>📋 PO &amp; RFP DATA</t>
        </is>
      </c>
      <c r="C82" t="n">
        <v>76</v>
      </c>
      <c r="D82" t="inlineStr">
        <is>
          <t>PO/RFP HPP</t>
        </is>
      </c>
      <c r="E82" t="inlineStr">
        <is>
          <t>PT Multi Visual Kreasindo</t>
        </is>
      </c>
      <c r="F82" t="inlineStr">
        <is>
          <t>Furniture</t>
        </is>
      </c>
      <c r="H82" t="inlineStr">
        <is>
          <t>Partisi R8</t>
        </is>
      </c>
      <c r="I82" t="inlineStr">
        <is>
          <t>per meter per hari</t>
        </is>
      </c>
      <c r="J82" t="inlineStr">
        <is>
          <t>meter/day</t>
        </is>
      </c>
      <c r="K82" t="inlineStr">
        <is>
          <t>1</t>
        </is>
      </c>
      <c r="L82" t="n">
        <v>100000</v>
      </c>
      <c r="M82" t="n">
        <v>100000</v>
      </c>
      <c r="N82">
        <f>IF(COUNT(L82:M82)=0,"",AVERAGE(L82:M82))</f>
        <v/>
      </c>
      <c r="Q82">
        <f>IF(COUNT(O82:P82)=0,"",AVERAGE(O82:P82))</f>
        <v/>
      </c>
      <c r="R82">
        <f>IF(Q82&lt;&gt;"",Q82,IF(N82&lt;&gt;"",ROUND(N82*(1+$B$2),0),""))</f>
        <v/>
      </c>
      <c r="S82">
        <f>IF(AND(N82&lt;&gt;"",Q82&lt;&gt;"",N82&lt;&gt;0),(Q82-N82)/N82,"")</f>
        <v/>
      </c>
      <c r="T82" t="inlineStr">
        <is>
          <t>2026</t>
        </is>
      </c>
      <c r="U82" t="inlineStr">
        <is>
          <t>PGN Safari Ramadan Bogor</t>
        </is>
      </c>
      <c r="X82" t="inlineStr">
        <is>
          <t>OK</t>
        </is>
      </c>
      <c r="Y82" t="inlineStr">
        <is>
          <t>partisi r8 | meter/day</t>
        </is>
      </c>
    </row>
    <row r="83">
      <c r="A83" t="n">
        <v>79</v>
      </c>
      <c r="B83" t="inlineStr">
        <is>
          <t>🕌 MUI EVENT DATA</t>
        </is>
      </c>
      <c r="C83" t="n">
        <v>38</v>
      </c>
      <c r="D83" t="inlineStr">
        <is>
          <t>MUI Real Cost</t>
        </is>
      </c>
      <c r="E83" t="inlineStr">
        <is>
          <t>MUI/EO</t>
        </is>
      </c>
      <c r="F83" t="inlineStr">
        <is>
          <t>Furniture</t>
        </is>
      </c>
      <c r="H83" t="inlineStr">
        <is>
          <t>Q-Line</t>
        </is>
      </c>
      <c r="J83" t="inlineStr">
        <is>
          <t>unit/day</t>
        </is>
      </c>
      <c r="K83" t="inlineStr">
        <is>
          <t>1</t>
        </is>
      </c>
      <c r="L83" t="n">
        <v>75000</v>
      </c>
      <c r="M83" t="n">
        <v>75000</v>
      </c>
      <c r="N83">
        <f>IF(COUNT(L83:M83)=0,"",AVERAGE(L83:M83))</f>
        <v/>
      </c>
      <c r="Q83">
        <f>IF(COUNT(O83:P83)=0,"",AVERAGE(O83:P83))</f>
        <v/>
      </c>
      <c r="R83">
        <f>IF(Q83&lt;&gt;"",Q83,IF(N83&lt;&gt;"",ROUND(N83*(1+$B$2),0),""))</f>
        <v/>
      </c>
      <c r="S83">
        <f>IF(AND(N83&lt;&gt;"",Q83&lt;&gt;"",N83&lt;&gt;0),(Q83-N83)/N83,"")</f>
        <v/>
      </c>
      <c r="T83" t="inlineStr">
        <is>
          <t>2026</t>
        </is>
      </c>
      <c r="U83" t="inlineStr">
        <is>
          <t>MUI Istiqlal 2026</t>
        </is>
      </c>
      <c r="V83" t="inlineStr">
        <is>
          <t>per unit</t>
        </is>
      </c>
      <c r="X83" t="inlineStr">
        <is>
          <t>OK</t>
        </is>
      </c>
      <c r="Y83" t="inlineStr">
        <is>
          <t>q-line | unit/day</t>
        </is>
      </c>
    </row>
    <row r="84">
      <c r="A84" t="n">
        <v>80</v>
      </c>
      <c r="B84" t="inlineStr">
        <is>
          <t>🕌 MUI EVENT DATA</t>
        </is>
      </c>
      <c r="C84" t="n">
        <v>33</v>
      </c>
      <c r="D84" t="inlineStr">
        <is>
          <t>MUI Real Cost</t>
        </is>
      </c>
      <c r="E84" t="inlineStr">
        <is>
          <t>MUI/EO</t>
        </is>
      </c>
      <c r="F84" t="inlineStr">
        <is>
          <t>Furniture</t>
        </is>
      </c>
      <c r="H84" t="inlineStr">
        <is>
          <t>Round Table (cover putih)</t>
        </is>
      </c>
      <c r="J84" t="inlineStr">
        <is>
          <t>unit/day</t>
        </is>
      </c>
      <c r="K84" t="inlineStr">
        <is>
          <t>1</t>
        </is>
      </c>
      <c r="L84" t="n">
        <v>150000</v>
      </c>
      <c r="M84" t="n">
        <v>150000</v>
      </c>
      <c r="N84">
        <f>IF(COUNT(L84:M84)=0,"",AVERAGE(L84:M84))</f>
        <v/>
      </c>
      <c r="Q84">
        <f>IF(COUNT(O84:P84)=0,"",AVERAGE(O84:P84))</f>
        <v/>
      </c>
      <c r="R84">
        <f>IF(Q84&lt;&gt;"",Q84,IF(N84&lt;&gt;"",ROUND(N84*(1+$B$2),0),""))</f>
        <v/>
      </c>
      <c r="S84">
        <f>IF(AND(N84&lt;&gt;"",Q84&lt;&gt;"",N84&lt;&gt;0),(Q84-N84)/N84,"")</f>
        <v/>
      </c>
      <c r="T84" t="inlineStr">
        <is>
          <t>2026</t>
        </is>
      </c>
      <c r="U84" t="inlineStr">
        <is>
          <t>MUI Istiqlal 2026</t>
        </is>
      </c>
      <c r="V84" t="inlineStr">
        <is>
          <t>per unit</t>
        </is>
      </c>
      <c r="X84" t="inlineStr">
        <is>
          <t>OK</t>
        </is>
      </c>
      <c r="Y84" t="inlineStr">
        <is>
          <t>round table (cover putih) | unit/day</t>
        </is>
      </c>
    </row>
    <row r="85">
      <c r="A85" t="n">
        <v>81</v>
      </c>
      <c r="B85" t="inlineStr">
        <is>
          <t>📋 PO &amp; RFP DATA</t>
        </is>
      </c>
      <c r="C85" t="n">
        <v>75</v>
      </c>
      <c r="D85" t="inlineStr">
        <is>
          <t>PO/RFP HPP</t>
        </is>
      </c>
      <c r="E85" t="inlineStr">
        <is>
          <t>PT Multi Visual Kreasindo</t>
        </is>
      </c>
      <c r="F85" t="inlineStr">
        <is>
          <t>Furniture</t>
        </is>
      </c>
      <c r="H85" t="inlineStr">
        <is>
          <t>Round Table 180cm</t>
        </is>
      </c>
      <c r="I85" t="inlineStr">
        <is>
          <t>per unit per hari</t>
        </is>
      </c>
      <c r="J85" t="inlineStr">
        <is>
          <t>unit/day</t>
        </is>
      </c>
      <c r="K85" t="inlineStr">
        <is>
          <t>1</t>
        </is>
      </c>
      <c r="L85" t="n">
        <v>350000</v>
      </c>
      <c r="M85" t="n">
        <v>350000</v>
      </c>
      <c r="N85">
        <f>IF(COUNT(L85:M85)=0,"",AVERAGE(L85:M85))</f>
        <v/>
      </c>
      <c r="Q85">
        <f>IF(COUNT(O85:P85)=0,"",AVERAGE(O85:P85))</f>
        <v/>
      </c>
      <c r="R85">
        <f>IF(Q85&lt;&gt;"",Q85,IF(N85&lt;&gt;"",ROUND(N85*(1+$B$2),0),""))</f>
        <v/>
      </c>
      <c r="S85">
        <f>IF(AND(N85&lt;&gt;"",Q85&lt;&gt;"",N85&lt;&gt;0),(Q85-N85)/N85,"")</f>
        <v/>
      </c>
      <c r="T85" t="inlineStr">
        <is>
          <t>2026</t>
        </is>
      </c>
      <c r="U85" t="inlineStr">
        <is>
          <t>PGN Safari Ramadan Bogor</t>
        </is>
      </c>
      <c r="X85" t="inlineStr">
        <is>
          <t>OK</t>
        </is>
      </c>
      <c r="Y85" t="inlineStr">
        <is>
          <t>round table 180cm | unit/day</t>
        </is>
      </c>
    </row>
    <row r="86">
      <c r="A86" t="n">
        <v>82</v>
      </c>
      <c r="B86" t="inlineStr">
        <is>
          <t>🕌 MUI EVENT DATA</t>
        </is>
      </c>
      <c r="C86" t="n">
        <v>36</v>
      </c>
      <c r="D86" t="inlineStr">
        <is>
          <t>MUI Real Cost</t>
        </is>
      </c>
      <c r="E86" t="inlineStr">
        <is>
          <t>MUI/EO</t>
        </is>
      </c>
      <c r="F86" t="inlineStr">
        <is>
          <t>Furniture</t>
        </is>
      </c>
      <c r="H86" t="inlineStr">
        <is>
          <t>Sofa Arab</t>
        </is>
      </c>
      <c r="I86" t="inlineStr">
        <is>
          <t>40cm</t>
        </is>
      </c>
      <c r="J86" t="inlineStr">
        <is>
          <t>unit/day</t>
        </is>
      </c>
      <c r="K86" t="inlineStr">
        <is>
          <t>1</t>
        </is>
      </c>
      <c r="L86" t="n">
        <v>200000</v>
      </c>
      <c r="M86" t="n">
        <v>200000</v>
      </c>
      <c r="N86">
        <f>IF(COUNT(L86:M86)=0,"",AVERAGE(L86:M86))</f>
        <v/>
      </c>
      <c r="Q86">
        <f>IF(COUNT(O86:P86)=0,"",AVERAGE(O86:P86))</f>
        <v/>
      </c>
      <c r="R86">
        <f>IF(Q86&lt;&gt;"",Q86,IF(N86&lt;&gt;"",ROUND(N86*(1+$B$2),0),""))</f>
        <v/>
      </c>
      <c r="S86">
        <f>IF(AND(N86&lt;&gt;"",Q86&lt;&gt;"",N86&lt;&gt;0),(Q86-N86)/N86,"")</f>
        <v/>
      </c>
      <c r="T86" t="inlineStr">
        <is>
          <t>2026</t>
        </is>
      </c>
      <c r="U86" t="inlineStr">
        <is>
          <t>MUI Istiqlal 2026</t>
        </is>
      </c>
      <c r="V86" t="inlineStr">
        <is>
          <t>per unit</t>
        </is>
      </c>
      <c r="X86" t="inlineStr">
        <is>
          <t>OK</t>
        </is>
      </c>
      <c r="Y86" t="inlineStr">
        <is>
          <t>sofa arab | unit/day</t>
        </is>
      </c>
    </row>
    <row r="87">
      <c r="A87" t="n">
        <v>83</v>
      </c>
      <c r="B87" t="inlineStr">
        <is>
          <t>🕌 MUI EVENT DATA</t>
        </is>
      </c>
      <c r="C87" t="n">
        <v>39</v>
      </c>
      <c r="D87" t="inlineStr">
        <is>
          <t>MUI Real Cost</t>
        </is>
      </c>
      <c r="E87" t="inlineStr">
        <is>
          <t>MUI/EO</t>
        </is>
      </c>
      <c r="F87" t="inlineStr">
        <is>
          <t>Furniture</t>
        </is>
      </c>
      <c r="H87" t="inlineStr">
        <is>
          <t>Square Table</t>
        </is>
      </c>
      <c r="J87" t="inlineStr">
        <is>
          <t>unit/day</t>
        </is>
      </c>
      <c r="K87" t="inlineStr">
        <is>
          <t>1</t>
        </is>
      </c>
      <c r="L87" t="n">
        <v>125000</v>
      </c>
      <c r="M87" t="n">
        <v>125000</v>
      </c>
      <c r="N87">
        <f>IF(COUNT(L87:M87)=0,"",AVERAGE(L87:M87))</f>
        <v/>
      </c>
      <c r="Q87">
        <f>IF(COUNT(O87:P87)=0,"",AVERAGE(O87:P87))</f>
        <v/>
      </c>
      <c r="R87">
        <f>IF(Q87&lt;&gt;"",Q87,IF(N87&lt;&gt;"",ROUND(N87*(1+$B$2),0),""))</f>
        <v/>
      </c>
      <c r="S87">
        <f>IF(AND(N87&lt;&gt;"",Q87&lt;&gt;"",N87&lt;&gt;0),(Q87-N87)/N87,"")</f>
        <v/>
      </c>
      <c r="T87" t="inlineStr">
        <is>
          <t>2026</t>
        </is>
      </c>
      <c r="U87" t="inlineStr">
        <is>
          <t>MUI Istiqlal 2026</t>
        </is>
      </c>
      <c r="V87" t="inlineStr">
        <is>
          <t>per unit</t>
        </is>
      </c>
      <c r="X87" t="inlineStr">
        <is>
          <t>OK</t>
        </is>
      </c>
      <c r="Y87" t="inlineStr">
        <is>
          <t>square table | unit/day</t>
        </is>
      </c>
    </row>
    <row r="88">
      <c r="A88" t="n">
        <v>84</v>
      </c>
      <c r="B88" t="inlineStr">
        <is>
          <t>🕌 MUI EVENT DATA</t>
        </is>
      </c>
      <c r="C88" t="n">
        <v>146</v>
      </c>
      <c r="D88" t="inlineStr">
        <is>
          <t>MUI Real Cost</t>
        </is>
      </c>
      <c r="E88" t="inlineStr">
        <is>
          <t>Arthur</t>
        </is>
      </c>
      <c r="F88" t="inlineStr">
        <is>
          <t>Genset</t>
        </is>
      </c>
      <c r="H88" t="inlineStr">
        <is>
          <t>DP Genset</t>
        </is>
      </c>
      <c r="J88" t="inlineStr">
        <is>
          <t>pckg</t>
        </is>
      </c>
      <c r="K88" t="inlineStr">
        <is>
          <t>1</t>
        </is>
      </c>
      <c r="L88" t="n">
        <v>9155200</v>
      </c>
      <c r="M88" t="n">
        <v>9155200</v>
      </c>
      <c r="N88">
        <f>IF(COUNT(L88:M88)=0,"",AVERAGE(L88:M88))</f>
        <v/>
      </c>
      <c r="Q88">
        <f>IF(COUNT(O88:P88)=0,"",AVERAGE(O88:P88))</f>
        <v/>
      </c>
      <c r="R88">
        <f>IF(Q88&lt;&gt;"",Q88,IF(N88&lt;&gt;"",ROUND(N88*(1+$B$2),0),""))</f>
        <v/>
      </c>
      <c r="S88">
        <f>IF(AND(N88&lt;&gt;"",Q88&lt;&gt;"",N88&lt;&gt;0),(Q88-N88)/N88,"")</f>
        <v/>
      </c>
      <c r="T88" t="inlineStr">
        <is>
          <t>2026</t>
        </is>
      </c>
      <c r="U88" t="inlineStr">
        <is>
          <t>MUI Istiqlal 2026</t>
        </is>
      </c>
      <c r="V88" t="inlineStr">
        <is>
          <t>RFP MUI.xlsx mutation</t>
        </is>
      </c>
      <c r="X88" t="inlineStr">
        <is>
          <t>OK</t>
        </is>
      </c>
      <c r="Y88" t="inlineStr">
        <is>
          <t>dp genset | pckg</t>
        </is>
      </c>
    </row>
    <row r="89">
      <c r="A89" t="n">
        <v>85</v>
      </c>
      <c r="B89" t="inlineStr">
        <is>
          <t>📋 PO &amp; RFP DATA</t>
        </is>
      </c>
      <c r="C89" t="n">
        <v>69</v>
      </c>
      <c r="D89" t="inlineStr">
        <is>
          <t>PO/RFP HPP</t>
        </is>
      </c>
      <c r="E89" t="inlineStr">
        <is>
          <t>PT Multi Visual Kreasindo</t>
        </is>
      </c>
      <c r="F89" t="inlineStr">
        <is>
          <t>Genset</t>
        </is>
      </c>
      <c r="H89" t="inlineStr">
        <is>
          <t>Generator 40 KVA</t>
        </is>
      </c>
      <c r="J89" t="inlineStr">
        <is>
          <t>unit</t>
        </is>
      </c>
      <c r="K89" t="inlineStr">
        <is>
          <t>1</t>
        </is>
      </c>
      <c r="L89" t="n">
        <v>3000000</v>
      </c>
      <c r="M89" t="n">
        <v>3000000</v>
      </c>
      <c r="N89">
        <f>IF(COUNT(L89:M89)=0,"",AVERAGE(L89:M89))</f>
        <v/>
      </c>
      <c r="Q89">
        <f>IF(COUNT(O89:P89)=0,"",AVERAGE(O89:P89))</f>
        <v/>
      </c>
      <c r="R89">
        <f>IF(Q89&lt;&gt;"",Q89,IF(N89&lt;&gt;"",ROUND(N89*(1+$B$2),0),""))</f>
        <v/>
      </c>
      <c r="S89">
        <f>IF(AND(N89&lt;&gt;"",Q89&lt;&gt;"",N89&lt;&gt;0),(Q89-N89)/N89,"")</f>
        <v/>
      </c>
      <c r="T89" t="inlineStr">
        <is>
          <t>2026</t>
        </is>
      </c>
      <c r="U89" t="inlineStr">
        <is>
          <t>PGN Safari Ramadan Bogor</t>
        </is>
      </c>
      <c r="X89" t="inlineStr">
        <is>
          <t>OK</t>
        </is>
      </c>
      <c r="Y89" t="inlineStr">
        <is>
          <t>generator 40 kva | unit</t>
        </is>
      </c>
    </row>
    <row r="90">
      <c r="A90" t="n">
        <v>86</v>
      </c>
      <c r="B90" t="inlineStr">
        <is>
          <t>📋 PO &amp; RFP DATA</t>
        </is>
      </c>
      <c r="C90" t="n">
        <v>12</v>
      </c>
      <c r="D90" t="inlineStr">
        <is>
          <t>PO/RFP HPP</t>
        </is>
      </c>
      <c r="E90" t="inlineStr">
        <is>
          <t>SWL</t>
        </is>
      </c>
      <c r="F90" t="inlineStr">
        <is>
          <t>Genset</t>
        </is>
      </c>
      <c r="H90" t="inlineStr">
        <is>
          <t>Genset 100 KVA</t>
        </is>
      </c>
      <c r="J90" t="inlineStr">
        <is>
          <t>unit/event</t>
        </is>
      </c>
      <c r="K90" t="inlineStr">
        <is>
          <t>2</t>
        </is>
      </c>
      <c r="L90" t="n">
        <v>0</v>
      </c>
      <c r="M90" t="n">
        <v>0</v>
      </c>
      <c r="N90">
        <f>IF(COUNT(L90:M90)=0,"",AVERAGE(L90:M90))</f>
        <v/>
      </c>
      <c r="Q90">
        <f>IF(COUNT(O90:P90)=0,"",AVERAGE(O90:P90))</f>
        <v/>
      </c>
      <c r="R90">
        <f>IF(Q90&lt;&gt;"",Q90,IF(N90&lt;&gt;"",ROUND(N90*(1+$B$2),0),""))</f>
        <v/>
      </c>
      <c r="S90">
        <f>IF(AND(N90&lt;&gt;"",Q90&lt;&gt;"",N90&lt;&gt;0),(Q90-N90)/N90,"")</f>
        <v/>
      </c>
      <c r="T90" t="inlineStr">
        <is>
          <t>2025</t>
        </is>
      </c>
      <c r="U90" t="inlineStr">
        <is>
          <t>OCBC Disney Orchestra</t>
        </is>
      </c>
      <c r="V90" t="inlineStr">
        <is>
          <t>Termasuk dalam paket SWL</t>
        </is>
      </c>
      <c r="X90" t="inlineStr">
        <is>
          <t>Zero HPP - included/package</t>
        </is>
      </c>
      <c r="Y90" t="inlineStr">
        <is>
          <t>genset 100 kva | unit/event</t>
        </is>
      </c>
    </row>
    <row r="91">
      <c r="A91" t="n">
        <v>87</v>
      </c>
      <c r="B91" t="inlineStr">
        <is>
          <t>🕌 MUI EVENT DATA</t>
        </is>
      </c>
      <c r="C91" t="n">
        <v>31</v>
      </c>
      <c r="D91" t="inlineStr">
        <is>
          <t>MUI Real Cost</t>
        </is>
      </c>
      <c r="E91" t="inlineStr">
        <is>
          <t>MUI/EO</t>
        </is>
      </c>
      <c r="F91" t="inlineStr">
        <is>
          <t>Genset</t>
        </is>
      </c>
      <c r="H91" t="inlineStr">
        <is>
          <t>Genset 150 KVA (LED+Lighting)</t>
        </is>
      </c>
      <c r="I91" t="inlineStr">
        <is>
          <t>per 1.5 hari</t>
        </is>
      </c>
      <c r="J91" t="inlineStr">
        <is>
          <t>unit/1.5day</t>
        </is>
      </c>
      <c r="K91" t="inlineStr">
        <is>
          <t>1</t>
        </is>
      </c>
      <c r="L91" t="n">
        <v>9500000</v>
      </c>
      <c r="M91" t="n">
        <v>9500000</v>
      </c>
      <c r="N91">
        <f>IF(COUNT(L91:M91)=0,"",AVERAGE(L91:M91))</f>
        <v/>
      </c>
      <c r="Q91">
        <f>IF(COUNT(O91:P91)=0,"",AVERAGE(O91:P91))</f>
        <v/>
      </c>
      <c r="R91">
        <f>IF(Q91&lt;&gt;"",Q91,IF(N91&lt;&gt;"",ROUND(N91*(1+$B$2),0),""))</f>
        <v/>
      </c>
      <c r="S91">
        <f>IF(AND(N91&lt;&gt;"",Q91&lt;&gt;"",N91&lt;&gt;0),(Q91-N91)/N91,"")</f>
        <v/>
      </c>
      <c r="T91" t="inlineStr">
        <is>
          <t>2026</t>
        </is>
      </c>
      <c r="U91" t="inlineStr">
        <is>
          <t>MUI Istiqlal 2026</t>
        </is>
      </c>
      <c r="V91" t="inlineStr">
        <is>
          <t>Real-CE MUI</t>
        </is>
      </c>
      <c r="X91" t="inlineStr">
        <is>
          <t>OK</t>
        </is>
      </c>
      <c r="Y91" t="inlineStr">
        <is>
          <t>genset 150 kva (led+lighting) | unit/1.5day</t>
        </is>
      </c>
    </row>
    <row r="92">
      <c r="A92" t="n">
        <v>88</v>
      </c>
      <c r="B92" t="inlineStr">
        <is>
          <t>🕌 MUI EVENT DATA</t>
        </is>
      </c>
      <c r="C92" t="n">
        <v>32</v>
      </c>
      <c r="D92" t="inlineStr">
        <is>
          <t>MUI Real Cost</t>
        </is>
      </c>
      <c r="E92" t="inlineStr">
        <is>
          <t>MUI/EO</t>
        </is>
      </c>
      <c r="F92" t="inlineStr">
        <is>
          <t>Genset</t>
        </is>
      </c>
      <c r="H92" t="inlineStr">
        <is>
          <t>Genset 60 KVA (Sound)</t>
        </is>
      </c>
      <c r="I92" t="inlineStr">
        <is>
          <t>per 1.5 hari</t>
        </is>
      </c>
      <c r="J92" t="inlineStr">
        <is>
          <t>unit/1.5day</t>
        </is>
      </c>
      <c r="K92" t="inlineStr">
        <is>
          <t>1</t>
        </is>
      </c>
      <c r="L92" t="n">
        <v>5500000</v>
      </c>
      <c r="M92" t="n">
        <v>5500000</v>
      </c>
      <c r="N92">
        <f>IF(COUNT(L92:M92)=0,"",AVERAGE(L92:M92))</f>
        <v/>
      </c>
      <c r="Q92">
        <f>IF(COUNT(O92:P92)=0,"",AVERAGE(O92:P92))</f>
        <v/>
      </c>
      <c r="R92">
        <f>IF(Q92&lt;&gt;"",Q92,IF(N92&lt;&gt;"",ROUND(N92*(1+$B$2),0),""))</f>
        <v/>
      </c>
      <c r="S92">
        <f>IF(AND(N92&lt;&gt;"",Q92&lt;&gt;"",N92&lt;&gt;0),(Q92-N92)/N92,"")</f>
        <v/>
      </c>
      <c r="T92" t="inlineStr">
        <is>
          <t>2026</t>
        </is>
      </c>
      <c r="U92" t="inlineStr">
        <is>
          <t>MUI Istiqlal 2026</t>
        </is>
      </c>
      <c r="V92" t="inlineStr">
        <is>
          <t>Real-CE MUI</t>
        </is>
      </c>
      <c r="X92" t="inlineStr">
        <is>
          <t>OK</t>
        </is>
      </c>
      <c r="Y92" t="inlineStr">
        <is>
          <t>genset 60 kva (sound) | unit/1.5day</t>
        </is>
      </c>
    </row>
    <row r="93">
      <c r="A93" t="n">
        <v>89</v>
      </c>
      <c r="B93" t="inlineStr">
        <is>
          <t>📋 PO &amp; RFP DATA</t>
        </is>
      </c>
      <c r="C93" t="n">
        <v>11</v>
      </c>
      <c r="D93" t="inlineStr">
        <is>
          <t>PO/RFP HPP</t>
        </is>
      </c>
      <c r="E93" t="inlineStr">
        <is>
          <t>SWL</t>
        </is>
      </c>
      <c r="F93" t="inlineStr">
        <is>
          <t>Genset</t>
        </is>
      </c>
      <c r="H93" t="inlineStr">
        <is>
          <t>Genset 80 KVA</t>
        </is>
      </c>
      <c r="J93" t="inlineStr">
        <is>
          <t>unit/event</t>
        </is>
      </c>
      <c r="K93" t="inlineStr">
        <is>
          <t>3</t>
        </is>
      </c>
      <c r="L93" t="n">
        <v>0</v>
      </c>
      <c r="M93" t="n">
        <v>0</v>
      </c>
      <c r="N93">
        <f>IF(COUNT(L93:M93)=0,"",AVERAGE(L93:M93))</f>
        <v/>
      </c>
      <c r="Q93">
        <f>IF(COUNT(O93:P93)=0,"",AVERAGE(O93:P93))</f>
        <v/>
      </c>
      <c r="R93">
        <f>IF(Q93&lt;&gt;"",Q93,IF(N93&lt;&gt;"",ROUND(N93*(1+$B$2),0),""))</f>
        <v/>
      </c>
      <c r="S93">
        <f>IF(AND(N93&lt;&gt;"",Q93&lt;&gt;"",N93&lt;&gt;0),(Q93-N93)/N93,"")</f>
        <v/>
      </c>
      <c r="T93" t="inlineStr">
        <is>
          <t>2025</t>
        </is>
      </c>
      <c r="U93" t="inlineStr">
        <is>
          <t>OCBC Disney Orchestra</t>
        </is>
      </c>
      <c r="V93" t="inlineStr">
        <is>
          <t>Termasuk dalam paket SWL</t>
        </is>
      </c>
      <c r="X93" t="inlineStr">
        <is>
          <t>Zero HPP - included/package</t>
        </is>
      </c>
      <c r="Y93" t="inlineStr">
        <is>
          <t>genset 80 kva | unit/event</t>
        </is>
      </c>
    </row>
    <row r="94">
      <c r="A94" t="n">
        <v>90</v>
      </c>
      <c r="B94" t="inlineStr">
        <is>
          <t>🕌 MUI EVENT DATA</t>
        </is>
      </c>
      <c r="C94" t="n">
        <v>9</v>
      </c>
      <c r="D94" t="inlineStr">
        <is>
          <t>MUI Real Cost</t>
        </is>
      </c>
      <c r="E94" t="inlineStr">
        <is>
          <t>MUI/EO</t>
        </is>
      </c>
      <c r="F94" t="inlineStr">
        <is>
          <t>HSE</t>
        </is>
      </c>
      <c r="H94" t="inlineStr">
        <is>
          <t>Damkar</t>
        </is>
      </c>
      <c r="J94" t="inlineStr">
        <is>
          <t>pckg</t>
        </is>
      </c>
      <c r="K94" t="inlineStr">
        <is>
          <t>1</t>
        </is>
      </c>
      <c r="L94" t="n">
        <v>2500000</v>
      </c>
      <c r="M94" t="n">
        <v>2500000</v>
      </c>
      <c r="N94">
        <f>IF(COUNT(L94:M94)=0,"",AVERAGE(L94:M94))</f>
        <v/>
      </c>
      <c r="Q94">
        <f>IF(COUNT(O94:P94)=0,"",AVERAGE(O94:P94))</f>
        <v/>
      </c>
      <c r="R94">
        <f>IF(Q94&lt;&gt;"",Q94,IF(N94&lt;&gt;"",ROUND(N94*(1+$B$2),0),""))</f>
        <v/>
      </c>
      <c r="S94">
        <f>IF(AND(N94&lt;&gt;"",Q94&lt;&gt;"",N94&lt;&gt;0),(Q94-N94)/N94,"")</f>
        <v/>
      </c>
      <c r="T94" t="inlineStr">
        <is>
          <t>2026</t>
        </is>
      </c>
      <c r="U94" t="inlineStr">
        <is>
          <t>MUI Istiqlal 2026</t>
        </is>
      </c>
      <c r="V94" t="inlineStr">
        <is>
          <t>Real-CE MUI</t>
        </is>
      </c>
      <c r="X94" t="inlineStr">
        <is>
          <t>OK</t>
        </is>
      </c>
      <c r="Y94" t="inlineStr">
        <is>
          <t>damkar | pckg</t>
        </is>
      </c>
    </row>
    <row r="95">
      <c r="A95" t="n">
        <v>91</v>
      </c>
      <c r="B95" t="inlineStr">
        <is>
          <t>🕌 MUI EVENT DATA</t>
        </is>
      </c>
      <c r="C95" t="n">
        <v>10</v>
      </c>
      <c r="D95" t="inlineStr">
        <is>
          <t>MUI Real Cost</t>
        </is>
      </c>
      <c r="E95" t="inlineStr">
        <is>
          <t>MUI/EO</t>
        </is>
      </c>
      <c r="F95" t="inlineStr">
        <is>
          <t>HSE</t>
        </is>
      </c>
      <c r="H95" t="inlineStr">
        <is>
          <t>Doctor VVIP</t>
        </is>
      </c>
      <c r="J95" t="inlineStr">
        <is>
          <t>prs/day</t>
        </is>
      </c>
      <c r="K95" t="inlineStr">
        <is>
          <t>1</t>
        </is>
      </c>
      <c r="L95" t="n">
        <v>3000000</v>
      </c>
      <c r="M95" t="n">
        <v>3000000</v>
      </c>
      <c r="N95">
        <f>IF(COUNT(L95:M95)=0,"",AVERAGE(L95:M95))</f>
        <v/>
      </c>
      <c r="Q95">
        <f>IF(COUNT(O95:P95)=0,"",AVERAGE(O95:P95))</f>
        <v/>
      </c>
      <c r="R95">
        <f>IF(Q95&lt;&gt;"",Q95,IF(N95&lt;&gt;"",ROUND(N95*(1+$B$2),0),""))</f>
        <v/>
      </c>
      <c r="S95">
        <f>IF(AND(N95&lt;&gt;"",Q95&lt;&gt;"",N95&lt;&gt;0),(Q95-N95)/N95,"")</f>
        <v/>
      </c>
      <c r="T95" t="inlineStr">
        <is>
          <t>2026</t>
        </is>
      </c>
      <c r="U95" t="inlineStr">
        <is>
          <t>MUI Istiqlal 2026</t>
        </is>
      </c>
      <c r="V95" t="inlineStr">
        <is>
          <t>Real-CE MUI</t>
        </is>
      </c>
      <c r="X95" t="inlineStr">
        <is>
          <t>OK</t>
        </is>
      </c>
      <c r="Y95" t="inlineStr">
        <is>
          <t>doctor vvip | prs/day</t>
        </is>
      </c>
    </row>
    <row r="96">
      <c r="A96" t="n">
        <v>92</v>
      </c>
      <c r="B96" t="inlineStr">
        <is>
          <t>💰 HPP VENDOR</t>
        </is>
      </c>
      <c r="C96" t="n">
        <v>47</v>
      </c>
      <c r="D96" t="inlineStr">
        <is>
          <t>Vendor HPP</t>
        </is>
      </c>
      <c r="E96" t="inlineStr">
        <is>
          <t>PT IAS Support Indonesia</t>
        </is>
      </c>
      <c r="F96" t="inlineStr">
        <is>
          <t>IT / Internet</t>
        </is>
      </c>
      <c r="H96" t="inlineStr">
        <is>
          <t>Internet Dedicated 50Mbps Main+Backup</t>
        </is>
      </c>
      <c r="I96" t="inlineStr">
        <is>
          <t>one time charge event</t>
        </is>
      </c>
      <c r="J96" t="inlineStr">
        <is>
          <t>paket</t>
        </is>
      </c>
      <c r="K96" t="inlineStr">
        <is>
          <t>1</t>
        </is>
      </c>
      <c r="L96" t="n">
        <v>15000000</v>
      </c>
      <c r="M96" t="n">
        <v>15000000</v>
      </c>
      <c r="N96">
        <f>IF(COUNT(L96:M96)=0,"",AVERAGE(L96:M96))</f>
        <v/>
      </c>
      <c r="Q96">
        <f>IF(COUNT(O96:P96)=0,"",AVERAGE(O96:P96))</f>
        <v/>
      </c>
      <c r="R96">
        <f>IF(Q96&lt;&gt;"",Q96,IF(N96&lt;&gt;"",ROUND(N96*(1+$B$2),0),""))</f>
        <v/>
      </c>
      <c r="S96">
        <f>IF(AND(N96&lt;&gt;"",Q96&lt;&gt;"",N96&lt;&gt;0),(Q96-N96)/N96,"")</f>
        <v/>
      </c>
      <c r="T96" t="inlineStr">
        <is>
          <t>2025</t>
        </is>
      </c>
      <c r="U96" t="inlineStr">
        <is>
          <t>Event TMII 18 Des 2025</t>
        </is>
      </c>
      <c r="V96" t="inlineStr">
        <is>
          <t>HPP Vendor</t>
        </is>
      </c>
      <c r="W96" t="inlineStr">
        <is>
          <t>INV IASS/INV/XII/2025/007057; + PPN 12%</t>
        </is>
      </c>
      <c r="X96" t="inlineStr">
        <is>
          <t>OK</t>
        </is>
      </c>
      <c r="Y96" t="inlineStr">
        <is>
          <t>internet dedicated 50mbps main+backup | paket</t>
        </is>
      </c>
    </row>
    <row r="97">
      <c r="A97" t="n">
        <v>93</v>
      </c>
      <c r="B97" t="inlineStr">
        <is>
          <t>📋 PO &amp; RFP DATA</t>
        </is>
      </c>
      <c r="C97" t="n">
        <v>82</v>
      </c>
      <c r="D97" t="inlineStr">
        <is>
          <t>PO/RFP HPP</t>
        </is>
      </c>
      <c r="E97" t="inlineStr">
        <is>
          <t>PT Daikin Airconditioning Indonesia</t>
        </is>
      </c>
      <c r="F97" t="inlineStr">
        <is>
          <t>Interior/Renovation</t>
        </is>
      </c>
      <c r="H97" t="inlineStr">
        <is>
          <t>Management Fee DAIKIN (10%)</t>
        </is>
      </c>
      <c r="I97" t="inlineStr">
        <is>
          <t>10% dari project cost</t>
        </is>
      </c>
      <c r="J97" t="inlineStr">
        <is>
          <t>paket</t>
        </is>
      </c>
      <c r="K97" t="inlineStr">
        <is>
          <t>1</t>
        </is>
      </c>
      <c r="L97" t="n">
        <v>40074452</v>
      </c>
      <c r="M97" t="n">
        <v>40074452</v>
      </c>
      <c r="N97">
        <f>IF(COUNT(L97:M97)=0,"",AVERAGE(L97:M97))</f>
        <v/>
      </c>
      <c r="Q97">
        <f>IF(COUNT(O97:P97)=0,"",AVERAGE(O97:P97))</f>
        <v/>
      </c>
      <c r="R97">
        <f>IF(Q97&lt;&gt;"",Q97,IF(N97&lt;&gt;"",ROUND(N97*(1+$B$2),0),""))</f>
        <v/>
      </c>
      <c r="S97">
        <f>IF(AND(N97&lt;&gt;"",Q97&lt;&gt;"",N97&lt;&gt;0),(Q97-N97)/N97,"")</f>
        <v/>
      </c>
      <c r="T97" t="inlineStr">
        <is>
          <t>2026</t>
        </is>
      </c>
      <c r="U97" t="inlineStr">
        <is>
          <t>DAIKIN COE Pasar Rebo</t>
        </is>
      </c>
      <c r="X97" t="inlineStr">
        <is>
          <t>OK</t>
        </is>
      </c>
      <c r="Y97" t="inlineStr">
        <is>
          <t>management fee daikin (10%) | paket</t>
        </is>
      </c>
    </row>
    <row r="98">
      <c r="A98" t="n">
        <v>94</v>
      </c>
      <c r="B98" t="inlineStr">
        <is>
          <t>📋 PO &amp; RFP DATA</t>
        </is>
      </c>
      <c r="C98" t="n">
        <v>81</v>
      </c>
      <c r="D98" t="inlineStr">
        <is>
          <t>PO/RFP HPP</t>
        </is>
      </c>
      <c r="E98" t="inlineStr">
        <is>
          <t>PT Daikin Airconditioning Indonesia</t>
        </is>
      </c>
      <c r="F98" t="inlineStr">
        <is>
          <t>Interior/Renovation</t>
        </is>
      </c>
      <c r="H98" t="inlineStr">
        <is>
          <t>Paket DAIKIN COE PPKPI Pasar Rebo</t>
        </is>
      </c>
      <c r="I98" t="inlineStr">
        <is>
          <t>interior + instalasi COE</t>
        </is>
      </c>
      <c r="J98" t="inlineStr">
        <is>
          <t>unit</t>
        </is>
      </c>
      <c r="K98" t="inlineStr">
        <is>
          <t>1</t>
        </is>
      </c>
      <c r="L98" t="n">
        <v>400744520</v>
      </c>
      <c r="M98" t="n">
        <v>400744520</v>
      </c>
      <c r="N98">
        <f>IF(COUNT(L98:M98)=0,"",AVERAGE(L98:M98))</f>
        <v/>
      </c>
      <c r="Q98">
        <f>IF(COUNT(O98:P98)=0,"",AVERAGE(O98:P98))</f>
        <v/>
      </c>
      <c r="R98">
        <f>IF(Q98&lt;&gt;"",Q98,IF(N98&lt;&gt;"",ROUND(N98*(1+$B$2),0),""))</f>
        <v/>
      </c>
      <c r="S98">
        <f>IF(AND(N98&lt;&gt;"",Q98&lt;&gt;"",N98&lt;&gt;0),(Q98-N98)/N98,"")</f>
        <v/>
      </c>
      <c r="T98" t="inlineStr">
        <is>
          <t>2026</t>
        </is>
      </c>
      <c r="U98" t="inlineStr">
        <is>
          <t>DAIKIN COE Pasar Rebo</t>
        </is>
      </c>
      <c r="V98" t="inlineStr">
        <is>
          <t>PO 3100002337; + management fee 10%</t>
        </is>
      </c>
      <c r="X98" t="inlineStr">
        <is>
          <t>OK</t>
        </is>
      </c>
      <c r="Y98" t="inlineStr">
        <is>
          <t>paket daikin coe ppkpi pasar rebo | unit</t>
        </is>
      </c>
    </row>
    <row r="99">
      <c r="A99" t="n">
        <v>95</v>
      </c>
      <c r="B99" t="inlineStr">
        <is>
          <t>💰 HPP VENDOR</t>
        </is>
      </c>
      <c r="C99" t="n">
        <v>91</v>
      </c>
      <c r="D99" t="inlineStr">
        <is>
          <t>Vendor HPP</t>
        </is>
      </c>
      <c r="F99" t="inlineStr">
        <is>
          <t>Jakarta</t>
        </is>
      </c>
      <c r="H99" t="inlineStr">
        <is>
          <t>3D Design &amp; Render, Visual Production</t>
        </is>
      </c>
      <c r="N99">
        <f>IF(COUNT(L99:M99)=0,"",AVERAGE(L99:M99))</f>
        <v/>
      </c>
      <c r="Q99">
        <f>IF(COUNT(O99:P99)=0,"",AVERAGE(O99:P99))</f>
        <v/>
      </c>
      <c r="R99">
        <f>IF(Q99&lt;&gt;"",Q99,IF(N99&lt;&gt;"",ROUND(N99*(1+$B$2),0),""))</f>
        <v/>
      </c>
      <c r="S99">
        <f>IF(AND(N99&lt;&gt;"",Q99&lt;&gt;"",N99&lt;&gt;0),(Q99-N99)/N99,"")</f>
        <v/>
      </c>
      <c r="U99" t="inlineStr">
        <is>
          <t>BCA 586-535-2236</t>
        </is>
      </c>
      <c r="V99" t="inlineStr">
        <is>
          <t>HPP Vendor</t>
        </is>
      </c>
      <c r="X99" t="inlineStr">
        <is>
          <t>Missing unit; Missing price</t>
        </is>
      </c>
      <c r="Y99" t="inlineStr">
        <is>
          <t xml:space="preserve">3d design &amp; render, visual production | </t>
        </is>
      </c>
    </row>
    <row r="100">
      <c r="A100" t="n">
        <v>96</v>
      </c>
      <c r="B100" t="inlineStr">
        <is>
          <t>💰 HPP VENDOR</t>
        </is>
      </c>
      <c r="C100" t="n">
        <v>81</v>
      </c>
      <c r="D100" t="inlineStr">
        <is>
          <t>Vendor HPP</t>
        </is>
      </c>
      <c r="F100" t="inlineStr">
        <is>
          <t>Jakarta</t>
        </is>
      </c>
      <c r="H100" t="inlineStr">
        <is>
          <t>Catering Buffet, F&amp;B Event</t>
        </is>
      </c>
      <c r="L100" t="n">
        <v>2139080</v>
      </c>
      <c r="M100" t="n">
        <v>2139080</v>
      </c>
      <c r="N100">
        <f>IF(COUNT(L100:M100)=0,"",AVERAGE(L100:M100))</f>
        <v/>
      </c>
      <c r="Q100">
        <f>IF(COUNT(O100:P100)=0,"",AVERAGE(O100:P100))</f>
        <v/>
      </c>
      <c r="R100">
        <f>IF(Q100&lt;&gt;"",Q100,IF(N100&lt;&gt;"",ROUND(N100*(1+$B$2),0),""))</f>
        <v/>
      </c>
      <c r="S100">
        <f>IF(AND(N100&lt;&gt;"",Q100&lt;&gt;"",N100&lt;&gt;0),(Q100-N100)/N100,"")</f>
        <v/>
      </c>
      <c r="U100" t="inlineStr">
        <is>
          <t>admin@arkamayaculinary.com</t>
        </is>
      </c>
      <c r="V100" t="inlineStr">
        <is>
          <t>HPP Vendor</t>
        </is>
      </c>
      <c r="X100" t="inlineStr">
        <is>
          <t>Missing unit</t>
        </is>
      </c>
      <c r="Y100" t="inlineStr">
        <is>
          <t xml:space="preserve">catering buffet, f&amp;b event | </t>
        </is>
      </c>
    </row>
    <row r="101">
      <c r="A101" t="n">
        <v>97</v>
      </c>
      <c r="B101" t="inlineStr">
        <is>
          <t>💰 HPP VENDOR</t>
        </is>
      </c>
      <c r="C101" t="n">
        <v>86</v>
      </c>
      <c r="D101" t="inlineStr">
        <is>
          <t>Vendor HPP</t>
        </is>
      </c>
      <c r="F101" t="inlineStr">
        <is>
          <t>Jakarta</t>
        </is>
      </c>
      <c r="H101" t="inlineStr">
        <is>
          <t>Plakat, Trophy, Cetak</t>
        </is>
      </c>
      <c r="N101">
        <f>IF(COUNT(L101:M101)=0,"",AVERAGE(L101:M101))</f>
        <v/>
      </c>
      <c r="Q101">
        <f>IF(COUNT(O101:P101)=0,"",AVERAGE(O101:P101))</f>
        <v/>
      </c>
      <c r="R101">
        <f>IF(Q101&lt;&gt;"",Q101,IF(N101&lt;&gt;"",ROUND(N101*(1+$B$2),0),""))</f>
        <v/>
      </c>
      <c r="S101">
        <f>IF(AND(N101&lt;&gt;"",Q101&lt;&gt;"",N101&lt;&gt;0),(Q101-N101)/N101,"")</f>
        <v/>
      </c>
      <c r="U101" t="inlineStr">
        <is>
          <t>BCA 6042091321</t>
        </is>
      </c>
      <c r="V101" t="inlineStr">
        <is>
          <t>HPP Vendor</t>
        </is>
      </c>
      <c r="X101" t="inlineStr">
        <is>
          <t>Missing unit; Missing price</t>
        </is>
      </c>
      <c r="Y101" t="inlineStr">
        <is>
          <t xml:space="preserve">plakat, trophy, cetak | </t>
        </is>
      </c>
    </row>
    <row r="102">
      <c r="A102" t="n">
        <v>98</v>
      </c>
      <c r="B102" t="inlineStr">
        <is>
          <t>💰 HPP VENDOR</t>
        </is>
      </c>
      <c r="C102" t="n">
        <v>90</v>
      </c>
      <c r="D102" t="inlineStr">
        <is>
          <t>Vendor HPP</t>
        </is>
      </c>
      <c r="F102" t="inlineStr">
        <is>
          <t>Jakarta</t>
        </is>
      </c>
      <c r="H102" t="inlineStr">
        <is>
          <t>Sewa Hiace Premio 14 Seat</t>
        </is>
      </c>
      <c r="L102" t="n">
        <v>8111015977</v>
      </c>
      <c r="M102" t="n">
        <v>8111015977</v>
      </c>
      <c r="N102">
        <f>IF(COUNT(L102:M102)=0,"",AVERAGE(L102:M102))</f>
        <v/>
      </c>
      <c r="Q102">
        <f>IF(COUNT(O102:P102)=0,"",AVERAGE(O102:P102))</f>
        <v/>
      </c>
      <c r="R102">
        <f>IF(Q102&lt;&gt;"",Q102,IF(N102&lt;&gt;"",ROUND(N102*(1+$B$2),0),""))</f>
        <v/>
      </c>
      <c r="S102">
        <f>IF(AND(N102&lt;&gt;"",Q102&lt;&gt;"",N102&lt;&gt;0),(Q102-N102)/N102,"")</f>
        <v/>
      </c>
      <c r="U102" t="inlineStr">
        <is>
          <t>Mandiri 127-00668877-85</t>
        </is>
      </c>
      <c r="V102" t="inlineStr">
        <is>
          <t>HPP Vendor</t>
        </is>
      </c>
      <c r="X102" t="inlineStr">
        <is>
          <t>Missing unit</t>
        </is>
      </c>
      <c r="Y102" t="inlineStr">
        <is>
          <t xml:space="preserve">sewa hiace premio 14 seat | </t>
        </is>
      </c>
    </row>
    <row r="103">
      <c r="A103" t="n">
        <v>99</v>
      </c>
      <c r="B103" t="inlineStr">
        <is>
          <t>💰 HPP VENDOR</t>
        </is>
      </c>
      <c r="C103" t="n">
        <v>80</v>
      </c>
      <c r="D103" t="inlineStr">
        <is>
          <t>Vendor HPP</t>
        </is>
      </c>
      <c r="F103" t="inlineStr">
        <is>
          <t>Jakarta</t>
        </is>
      </c>
      <c r="H103" t="inlineStr">
        <is>
          <t>Show Management (Director, Comm, Stage Mgr, VJ, Crew)</t>
        </is>
      </c>
      <c r="L103" t="n">
        <v>816</v>
      </c>
      <c r="M103" t="n">
        <v>816</v>
      </c>
      <c r="N103">
        <f>IF(COUNT(L103:M103)=0,"",AVERAGE(L103:M103))</f>
        <v/>
      </c>
      <c r="Q103">
        <f>IF(COUNT(O103:P103)=0,"",AVERAGE(O103:P103))</f>
        <v/>
      </c>
      <c r="R103">
        <f>IF(Q103&lt;&gt;"",Q103,IF(N103&lt;&gt;"",ROUND(N103*(1+$B$2),0),""))</f>
        <v/>
      </c>
      <c r="S103">
        <f>IF(AND(N103&lt;&gt;"",Q103&lt;&gt;"",N103&lt;&gt;0),(Q103-N103)/N103,"")</f>
        <v/>
      </c>
      <c r="U103" t="inlineStr">
        <is>
          <t>bray@...</t>
        </is>
      </c>
      <c r="V103" t="inlineStr">
        <is>
          <t>HPP Vendor</t>
        </is>
      </c>
      <c r="X103" t="inlineStr">
        <is>
          <t>Missing unit</t>
        </is>
      </c>
      <c r="Y103" t="inlineStr">
        <is>
          <t xml:space="preserve">show management (director, comm, stage mgr, vj, crew) | </t>
        </is>
      </c>
    </row>
    <row r="104">
      <c r="A104" t="n">
        <v>100</v>
      </c>
      <c r="B104" t="inlineStr">
        <is>
          <t>💰 HPP VENDOR</t>
        </is>
      </c>
      <c r="C104" t="n">
        <v>85</v>
      </c>
      <c r="D104" t="inlineStr">
        <is>
          <t>Vendor HPP</t>
        </is>
      </c>
      <c r="F104" t="inlineStr">
        <is>
          <t>Jakarta</t>
        </is>
      </c>
      <c r="H104" t="inlineStr">
        <is>
          <t>Tari Kontemporer, Dancer</t>
        </is>
      </c>
      <c r="L104" t="n">
        <v>82236333562</v>
      </c>
      <c r="M104" t="n">
        <v>82236333562</v>
      </c>
      <c r="N104">
        <f>IF(COUNT(L104:M104)=0,"",AVERAGE(L104:M104))</f>
        <v/>
      </c>
      <c r="Q104">
        <f>IF(COUNT(O104:P104)=0,"",AVERAGE(O104:P104))</f>
        <v/>
      </c>
      <c r="R104">
        <f>IF(Q104&lt;&gt;"",Q104,IF(N104&lt;&gt;"",ROUND(N104*(1+$B$2),0),""))</f>
        <v/>
      </c>
      <c r="S104">
        <f>IF(AND(N104&lt;&gt;"",Q104&lt;&gt;"",N104&lt;&gt;0),(Q104-N104)/N104,"")</f>
        <v/>
      </c>
      <c r="U104" t="inlineStr">
        <is>
          <t>BCA 6975060474</t>
        </is>
      </c>
      <c r="V104" t="inlineStr">
        <is>
          <t>HPP Vendor</t>
        </is>
      </c>
      <c r="X104" t="inlineStr">
        <is>
          <t>Missing unit</t>
        </is>
      </c>
      <c r="Y104" t="inlineStr">
        <is>
          <t xml:space="preserve">tari kontemporer, dancer | </t>
        </is>
      </c>
    </row>
    <row r="105">
      <c r="A105" t="n">
        <v>101</v>
      </c>
      <c r="B105" t="inlineStr">
        <is>
          <t>💰 HPP VENDOR</t>
        </is>
      </c>
      <c r="C105" t="n">
        <v>84</v>
      </c>
      <c r="D105" t="inlineStr">
        <is>
          <t>Vendor HPP</t>
        </is>
      </c>
      <c r="F105" t="inlineStr">
        <is>
          <t>Jakarta</t>
        </is>
      </c>
      <c r="H105" t="inlineStr">
        <is>
          <t>Tari Tradisional Indonesia (Bali, Nusantara)</t>
        </is>
      </c>
      <c r="L105" t="n">
        <v>62878</v>
      </c>
      <c r="M105" t="n">
        <v>62878</v>
      </c>
      <c r="N105">
        <f>IF(COUNT(L105:M105)=0,"",AVERAGE(L105:M105))</f>
        <v/>
      </c>
      <c r="Q105">
        <f>IF(COUNT(O105:P105)=0,"",AVERAGE(O105:P105))</f>
        <v/>
      </c>
      <c r="R105">
        <f>IF(Q105&lt;&gt;"",Q105,IF(N105&lt;&gt;"",ROUND(N105*(1+$B$2),0),""))</f>
        <v/>
      </c>
      <c r="S105">
        <f>IF(AND(N105&lt;&gt;"",Q105&lt;&gt;"",N105&lt;&gt;0),(Q105-N105)/N105,"")</f>
        <v/>
      </c>
      <c r="U105" t="inlineStr">
        <is>
          <t>BNI 8899115567</t>
        </is>
      </c>
      <c r="V105" t="inlineStr">
        <is>
          <t>HPP Vendor</t>
        </is>
      </c>
      <c r="X105" t="inlineStr">
        <is>
          <t>Missing unit</t>
        </is>
      </c>
      <c r="Y105" t="inlineStr">
        <is>
          <t xml:space="preserve">tari tradisional indonesia (bali, nusantara) | </t>
        </is>
      </c>
    </row>
    <row r="106">
      <c r="A106" t="n">
        <v>102</v>
      </c>
      <c r="B106" t="inlineStr">
        <is>
          <t>💰 HPP VENDOR</t>
        </is>
      </c>
      <c r="C106" t="n">
        <v>89</v>
      </c>
      <c r="D106" t="inlineStr">
        <is>
          <t>Vendor HPP</t>
        </is>
      </c>
      <c r="F106" t="inlineStr">
        <is>
          <t>Jakarta</t>
        </is>
      </c>
      <c r="H106" t="inlineStr">
        <is>
          <t>Vendor Lokal Multi-item (F&amp;B, Talent, Karpet)</t>
        </is>
      </c>
      <c r="N106">
        <f>IF(COUNT(L106:M106)=0,"",AVERAGE(L106:M106))</f>
        <v/>
      </c>
      <c r="Q106">
        <f>IF(COUNT(O106:P106)=0,"",AVERAGE(O106:P106))</f>
        <v/>
      </c>
      <c r="R106">
        <f>IF(Q106&lt;&gt;"",Q106,IF(N106&lt;&gt;"",ROUND(N106*(1+$B$2),0),""))</f>
        <v/>
      </c>
      <c r="S106">
        <f>IF(AND(N106&lt;&gt;"",Q106&lt;&gt;"",N106&lt;&gt;0),(Q106-N106)/N106,"")</f>
        <v/>
      </c>
      <c r="U106" t="inlineStr">
        <is>
          <t>Mandiri 1650003960292</t>
        </is>
      </c>
      <c r="V106" t="inlineStr">
        <is>
          <t>HPP Vendor</t>
        </is>
      </c>
      <c r="X106" t="inlineStr">
        <is>
          <t>Missing unit; Missing price</t>
        </is>
      </c>
      <c r="Y106" t="inlineStr">
        <is>
          <t xml:space="preserve">vendor lokal multi-item (f&amp;b, talent, karpet) | </t>
        </is>
      </c>
    </row>
    <row r="107">
      <c r="A107" t="n">
        <v>103</v>
      </c>
      <c r="B107" t="inlineStr">
        <is>
          <t>💰 HPP VENDOR</t>
        </is>
      </c>
      <c r="C107" t="n">
        <v>88</v>
      </c>
      <c r="D107" t="inlineStr">
        <is>
          <t>Vendor HPP</t>
        </is>
      </c>
      <c r="F107" t="inlineStr">
        <is>
          <t>Jakarta Selatan</t>
        </is>
      </c>
      <c r="H107" t="inlineStr">
        <is>
          <t>VVIP Catering, Buffet, Coffee Break</t>
        </is>
      </c>
      <c r="N107">
        <f>IF(COUNT(L107:M107)=0,"",AVERAGE(L107:M107))</f>
        <v/>
      </c>
      <c r="Q107">
        <f>IF(COUNT(O107:P107)=0,"",AVERAGE(O107:P107))</f>
        <v/>
      </c>
      <c r="R107">
        <f>IF(Q107&lt;&gt;"",Q107,IF(N107&lt;&gt;"",ROUND(N107*(1+$B$2),0),""))</f>
        <v/>
      </c>
      <c r="S107">
        <f>IF(AND(N107&lt;&gt;"",Q107&lt;&gt;"",N107&lt;&gt;0),(Q107-N107)/N107,"")</f>
        <v/>
      </c>
      <c r="U107" t="inlineStr">
        <is>
          <t>BCA 622-0787-999</t>
        </is>
      </c>
      <c r="V107" t="inlineStr">
        <is>
          <t>HPP Vendor</t>
        </is>
      </c>
      <c r="X107" t="inlineStr">
        <is>
          <t>Missing unit; Missing price</t>
        </is>
      </c>
      <c r="Y107" t="inlineStr">
        <is>
          <t xml:space="preserve">vvip catering, buffet, coffee break | </t>
        </is>
      </c>
    </row>
    <row r="108">
      <c r="A108" t="n">
        <v>104</v>
      </c>
      <c r="B108" t="inlineStr">
        <is>
          <t>📋 PO &amp; RFP DATA</t>
        </is>
      </c>
      <c r="C108" t="n">
        <v>27</v>
      </c>
      <c r="D108" t="inlineStr">
        <is>
          <t>PO/RFP HPP</t>
        </is>
      </c>
      <c r="E108" t="inlineStr">
        <is>
          <t>Kohesiv</t>
        </is>
      </c>
      <c r="F108" t="inlineStr">
        <is>
          <t>Konsep / Proposal</t>
        </is>
      </c>
      <c r="H108" t="inlineStr">
        <is>
          <t>Event Proposal (Konsep)</t>
        </is>
      </c>
      <c r="J108" t="inlineStr">
        <is>
          <t>package</t>
        </is>
      </c>
      <c r="K108" t="inlineStr">
        <is>
          <t>1</t>
        </is>
      </c>
      <c r="L108" t="n">
        <v>10000000</v>
      </c>
      <c r="M108" t="n">
        <v>10000000</v>
      </c>
      <c r="N108">
        <f>IF(COUNT(L108:M108)=0,"",AVERAGE(L108:M108))</f>
        <v/>
      </c>
      <c r="Q108">
        <f>IF(COUNT(O108:P108)=0,"",AVERAGE(O108:P108))</f>
        <v/>
      </c>
      <c r="R108">
        <f>IF(Q108&lt;&gt;"",Q108,IF(N108&lt;&gt;"",ROUND(N108*(1+$B$2),0),""))</f>
        <v/>
      </c>
      <c r="S108">
        <f>IF(AND(N108&lt;&gt;"",Q108&lt;&gt;"",N108&lt;&gt;0),(Q108-N108)/N108,"")</f>
        <v/>
      </c>
      <c r="T108" t="inlineStr">
        <is>
          <t>2025</t>
        </is>
      </c>
      <c r="U108" t="inlineStr">
        <is>
          <t>E-Quanik Melon Fest</t>
        </is>
      </c>
      <c r="V108" t="inlineStr">
        <is>
          <t>PO 49/JBBS/E-QUANIK/VI/2025</t>
        </is>
      </c>
      <c r="X108" t="inlineStr">
        <is>
          <t>OK</t>
        </is>
      </c>
      <c r="Y108" t="inlineStr">
        <is>
          <t>event proposal (konsep) | package</t>
        </is>
      </c>
    </row>
    <row r="109">
      <c r="A109" t="n">
        <v>105</v>
      </c>
      <c r="B109" t="inlineStr">
        <is>
          <t>💰 HPP VENDOR</t>
        </is>
      </c>
      <c r="C109" t="n">
        <v>77</v>
      </c>
      <c r="D109" t="inlineStr">
        <is>
          <t>Vendor HPP</t>
        </is>
      </c>
      <c r="F109" t="inlineStr">
        <is>
          <t>Kota/Area</t>
        </is>
      </c>
      <c r="H109" t="inlineStr">
        <is>
          <t>Layanan Utama</t>
        </is>
      </c>
      <c r="N109">
        <f>IF(COUNT(L109:M109)=0,"",AVERAGE(L109:M109))</f>
        <v/>
      </c>
      <c r="Q109">
        <f>IF(COUNT(O109:P109)=0,"",AVERAGE(O109:P109))</f>
        <v/>
      </c>
      <c r="R109">
        <f>IF(Q109&lt;&gt;"",Q109,IF(N109&lt;&gt;"",ROUND(N109*(1+$B$2),0),""))</f>
        <v/>
      </c>
      <c r="S109">
        <f>IF(AND(N109&lt;&gt;"",Q109&lt;&gt;"",N109&lt;&gt;0),(Q109-N109)/N109,"")</f>
        <v/>
      </c>
      <c r="U109" t="inlineStr">
        <is>
          <t>Rekening/Email</t>
        </is>
      </c>
      <c r="V109" t="inlineStr">
        <is>
          <t>HPP Vendor</t>
        </is>
      </c>
      <c r="X109" t="inlineStr">
        <is>
          <t>Missing unit; Missing price</t>
        </is>
      </c>
      <c r="Y109" t="inlineStr">
        <is>
          <t xml:space="preserve">layanan utama | </t>
        </is>
      </c>
    </row>
    <row r="110">
      <c r="A110" t="n">
        <v>106</v>
      </c>
      <c r="B110" t="inlineStr">
        <is>
          <t>📋 PO &amp; RFP DATA</t>
        </is>
      </c>
      <c r="C110" t="n">
        <v>23</v>
      </c>
      <c r="D110" t="inlineStr">
        <is>
          <t>PO/RFP HPP</t>
        </is>
      </c>
      <c r="E110" t="inlineStr">
        <is>
          <t>Vocal Director</t>
        </is>
      </c>
      <c r="F110" t="inlineStr">
        <is>
          <t>Kreatif</t>
        </is>
      </c>
      <c r="H110" t="inlineStr">
        <is>
          <t>Vocal Directing</t>
        </is>
      </c>
      <c r="I110" t="inlineStr">
        <is>
          <t>per event</t>
        </is>
      </c>
      <c r="J110" t="inlineStr">
        <is>
          <t>unit/event</t>
        </is>
      </c>
      <c r="K110" t="inlineStr">
        <is>
          <t>1</t>
        </is>
      </c>
      <c r="L110" t="n">
        <v>20000000</v>
      </c>
      <c r="M110" t="n">
        <v>20000000</v>
      </c>
      <c r="N110">
        <f>IF(COUNT(L110:M110)=0,"",AVERAGE(L110:M110))</f>
        <v/>
      </c>
      <c r="Q110">
        <f>IF(COUNT(O110:P110)=0,"",AVERAGE(O110:P110))</f>
        <v/>
      </c>
      <c r="R110">
        <f>IF(Q110&lt;&gt;"",Q110,IF(N110&lt;&gt;"",ROUND(N110*(1+$B$2),0),""))</f>
        <v/>
      </c>
      <c r="S110">
        <f>IF(AND(N110&lt;&gt;"",Q110&lt;&gt;"",N110&lt;&gt;0),(Q110-N110)/N110,"")</f>
        <v/>
      </c>
      <c r="T110" t="inlineStr">
        <is>
          <t>2025</t>
        </is>
      </c>
      <c r="U110" t="inlineStr">
        <is>
          <t>OCBC Disney Orchestra</t>
        </is>
      </c>
      <c r="V110" t="inlineStr">
        <is>
          <t>PO Vocal Directing OCBC</t>
        </is>
      </c>
      <c r="X110" t="inlineStr">
        <is>
          <t>OK</t>
        </is>
      </c>
      <c r="Y110" t="inlineStr">
        <is>
          <t>vocal directing | unit/event</t>
        </is>
      </c>
    </row>
    <row r="111">
      <c r="A111" t="n">
        <v>107</v>
      </c>
      <c r="B111" t="inlineStr">
        <is>
          <t>🕌 MUI EVENT DATA</t>
        </is>
      </c>
      <c r="C111" t="n">
        <v>19</v>
      </c>
      <c r="D111" t="inlineStr">
        <is>
          <t>MUI Real Cost</t>
        </is>
      </c>
      <c r="E111" t="inlineStr">
        <is>
          <t>MUI/EO</t>
        </is>
      </c>
      <c r="F111" t="inlineStr">
        <is>
          <t>LED</t>
        </is>
      </c>
      <c r="H111" t="inlineStr">
        <is>
          <t>Base LED Indoor</t>
        </is>
      </c>
      <c r="I111" t="inlineStr">
        <is>
          <t>122x1952 h.150</t>
        </is>
      </c>
      <c r="J111" t="inlineStr">
        <is>
          <t>pckg/day</t>
        </is>
      </c>
      <c r="K111" t="inlineStr">
        <is>
          <t>1</t>
        </is>
      </c>
      <c r="L111" t="n">
        <v>9000000</v>
      </c>
      <c r="M111" t="n">
        <v>9000000</v>
      </c>
      <c r="N111">
        <f>IF(COUNT(L111:M111)=0,"",AVERAGE(L111:M111))</f>
        <v/>
      </c>
      <c r="Q111">
        <f>IF(COUNT(O111:P111)=0,"",AVERAGE(O111:P111))</f>
        <v/>
      </c>
      <c r="R111">
        <f>IF(Q111&lt;&gt;"",Q111,IF(N111&lt;&gt;"",ROUND(N111*(1+$B$2),0),""))</f>
        <v/>
      </c>
      <c r="S111">
        <f>IF(AND(N111&lt;&gt;"",Q111&lt;&gt;"",N111&lt;&gt;0),(Q111-N111)/N111,"")</f>
        <v/>
      </c>
      <c r="T111" t="inlineStr">
        <is>
          <t>2026</t>
        </is>
      </c>
      <c r="U111" t="inlineStr">
        <is>
          <t>MUI Istiqlal 2026</t>
        </is>
      </c>
      <c r="V111" t="inlineStr">
        <is>
          <t>Real-CE MUI</t>
        </is>
      </c>
      <c r="X111" t="inlineStr">
        <is>
          <t>OK</t>
        </is>
      </c>
      <c r="Y111" t="inlineStr">
        <is>
          <t>base led indoor | pckg/day</t>
        </is>
      </c>
    </row>
    <row r="112">
      <c r="A112" t="n">
        <v>108</v>
      </c>
      <c r="B112" t="inlineStr">
        <is>
          <t>🕌 MUI EVENT DATA</t>
        </is>
      </c>
      <c r="C112" t="n">
        <v>22</v>
      </c>
      <c r="D112" t="inlineStr">
        <is>
          <t>MUI Real Cost</t>
        </is>
      </c>
      <c r="E112" t="inlineStr">
        <is>
          <t>MUI/EO</t>
        </is>
      </c>
      <c r="F112" t="inlineStr">
        <is>
          <t>LED</t>
        </is>
      </c>
      <c r="H112" t="inlineStr">
        <is>
          <t>Base LED Outdoor</t>
        </is>
      </c>
      <c r="I112" t="inlineStr">
        <is>
          <t>dim.122x400 h.150cm</t>
        </is>
      </c>
      <c r="J112" t="inlineStr">
        <is>
          <t>pckg/day</t>
        </is>
      </c>
      <c r="K112" t="inlineStr">
        <is>
          <t>1</t>
        </is>
      </c>
      <c r="L112" t="n">
        <v>2000000</v>
      </c>
      <c r="M112" t="n">
        <v>2000000</v>
      </c>
      <c r="N112">
        <f>IF(COUNT(L112:M112)=0,"",AVERAGE(L112:M112))</f>
        <v/>
      </c>
      <c r="Q112">
        <f>IF(COUNT(O112:P112)=0,"",AVERAGE(O112:P112))</f>
        <v/>
      </c>
      <c r="R112">
        <f>IF(Q112&lt;&gt;"",Q112,IF(N112&lt;&gt;"",ROUND(N112*(1+$B$2),0),""))</f>
        <v/>
      </c>
      <c r="S112">
        <f>IF(AND(N112&lt;&gt;"",Q112&lt;&gt;"",N112&lt;&gt;0),(Q112-N112)/N112,"")</f>
        <v/>
      </c>
      <c r="T112" t="inlineStr">
        <is>
          <t>2026</t>
        </is>
      </c>
      <c r="U112" t="inlineStr">
        <is>
          <t>MUI Istiqlal 2026</t>
        </is>
      </c>
      <c r="V112" t="inlineStr">
        <is>
          <t>Real-CE MUI</t>
        </is>
      </c>
      <c r="X112" t="inlineStr">
        <is>
          <t>OK</t>
        </is>
      </c>
      <c r="Y112" t="inlineStr">
        <is>
          <t>base led outdoor | pckg/day</t>
        </is>
      </c>
    </row>
    <row r="113">
      <c r="A113" t="n">
        <v>109</v>
      </c>
      <c r="B113" t="inlineStr">
        <is>
          <t>🕌 MUI EVENT DATA</t>
        </is>
      </c>
      <c r="C113" t="n">
        <v>18</v>
      </c>
      <c r="D113" t="inlineStr">
        <is>
          <t>MUI Real Cost</t>
        </is>
      </c>
      <c r="E113" t="inlineStr">
        <is>
          <t>MUI/EO</t>
        </is>
      </c>
      <c r="F113" t="inlineStr">
        <is>
          <t>LED</t>
        </is>
      </c>
      <c r="H113" t="inlineStr">
        <is>
          <t>LED Indoor 6x20m (per meter)</t>
        </is>
      </c>
      <c r="J113" t="inlineStr">
        <is>
          <t>meter/day</t>
        </is>
      </c>
      <c r="K113" t="inlineStr">
        <is>
          <t>120</t>
        </is>
      </c>
      <c r="L113" t="n">
        <v>450000</v>
      </c>
      <c r="M113" t="n">
        <v>450000</v>
      </c>
      <c r="N113">
        <f>IF(COUNT(L113:M113)=0,"",AVERAGE(L113:M113))</f>
        <v/>
      </c>
      <c r="Q113">
        <f>IF(COUNT(O113:P113)=0,"",AVERAGE(O113:P113))</f>
        <v/>
      </c>
      <c r="R113">
        <f>IF(Q113&lt;&gt;"",Q113,IF(N113&lt;&gt;"",ROUND(N113*(1+$B$2),0),""))</f>
        <v/>
      </c>
      <c r="S113">
        <f>IF(AND(N113&lt;&gt;"",Q113&lt;&gt;"",N113&lt;&gt;0),(Q113-N113)/N113,"")</f>
        <v/>
      </c>
      <c r="T113" t="inlineStr">
        <is>
          <t>2026</t>
        </is>
      </c>
      <c r="U113" t="inlineStr">
        <is>
          <t>MUI Istiqlal 2026</t>
        </is>
      </c>
      <c r="V113" t="inlineStr">
        <is>
          <t>Real-CE; Rp450rb/meter</t>
        </is>
      </c>
      <c r="X113" t="inlineStr">
        <is>
          <t>OK</t>
        </is>
      </c>
      <c r="Y113" t="inlineStr">
        <is>
          <t>led indoor 6x20m (per meter) | meter/day</t>
        </is>
      </c>
    </row>
    <row r="114">
      <c r="A114" t="n">
        <v>110</v>
      </c>
      <c r="B114" t="inlineStr">
        <is>
          <t>🕌 MUI EVENT DATA</t>
        </is>
      </c>
      <c r="C114" t="n">
        <v>21</v>
      </c>
      <c r="D114" t="inlineStr">
        <is>
          <t>MUI Real Cost</t>
        </is>
      </c>
      <c r="E114" t="inlineStr">
        <is>
          <t>MUI/EO</t>
        </is>
      </c>
      <c r="F114" t="inlineStr">
        <is>
          <t>LED</t>
        </is>
      </c>
      <c r="H114" t="inlineStr">
        <is>
          <t>LED Outdoor dim.2.5x4m (per meter)</t>
        </is>
      </c>
      <c r="I114" t="inlineStr">
        <is>
          <t>per meter per 1.5 hari</t>
        </is>
      </c>
      <c r="J114" t="inlineStr">
        <is>
          <t>meter/1.5day</t>
        </is>
      </c>
      <c r="K114" t="inlineStr">
        <is>
          <t>1</t>
        </is>
      </c>
      <c r="L114" t="n">
        <v>500000</v>
      </c>
      <c r="M114" t="n">
        <v>500000</v>
      </c>
      <c r="N114">
        <f>IF(COUNT(L114:M114)=0,"",AVERAGE(L114:M114))</f>
        <v/>
      </c>
      <c r="Q114">
        <f>IF(COUNT(O114:P114)=0,"",AVERAGE(O114:P114))</f>
        <v/>
      </c>
      <c r="R114">
        <f>IF(Q114&lt;&gt;"",Q114,IF(N114&lt;&gt;"",ROUND(N114*(1+$B$2),0),""))</f>
        <v/>
      </c>
      <c r="S114">
        <f>IF(AND(N114&lt;&gt;"",Q114&lt;&gt;"",N114&lt;&gt;0),(Q114-N114)/N114,"")</f>
        <v/>
      </c>
      <c r="T114" t="inlineStr">
        <is>
          <t>2026</t>
        </is>
      </c>
      <c r="U114" t="inlineStr">
        <is>
          <t>MUI Istiqlal 2026</t>
        </is>
      </c>
      <c r="V114" t="inlineStr">
        <is>
          <t>Real-CE; Rp500rb/m</t>
        </is>
      </c>
      <c r="X114" t="inlineStr">
        <is>
          <t>OK</t>
        </is>
      </c>
      <c r="Y114" t="inlineStr">
        <is>
          <t>led outdoor dim.2.5x4m (per meter) | meter/1.5day</t>
        </is>
      </c>
    </row>
    <row r="115">
      <c r="A115" t="n">
        <v>111</v>
      </c>
      <c r="B115" t="inlineStr">
        <is>
          <t>🕌 MUI EVENT DATA</t>
        </is>
      </c>
      <c r="C115" t="n">
        <v>20</v>
      </c>
      <c r="D115" t="inlineStr">
        <is>
          <t>MUI Real Cost</t>
        </is>
      </c>
      <c r="E115" t="inlineStr">
        <is>
          <t>MUI/EO</t>
        </is>
      </c>
      <c r="F115" t="inlineStr">
        <is>
          <t>LED</t>
        </is>
      </c>
      <c r="H115" t="inlineStr">
        <is>
          <t>Truss Safety LED Indoor 6x18m</t>
        </is>
      </c>
      <c r="J115" t="inlineStr">
        <is>
          <t>pckg/day</t>
        </is>
      </c>
      <c r="K115" t="inlineStr">
        <is>
          <t>1</t>
        </is>
      </c>
      <c r="L115" t="n">
        <v>10000000</v>
      </c>
      <c r="M115" t="n">
        <v>10000000</v>
      </c>
      <c r="N115">
        <f>IF(COUNT(L115:M115)=0,"",AVERAGE(L115:M115))</f>
        <v/>
      </c>
      <c r="Q115">
        <f>IF(COUNT(O115:P115)=0,"",AVERAGE(O115:P115))</f>
        <v/>
      </c>
      <c r="R115">
        <f>IF(Q115&lt;&gt;"",Q115,IF(N115&lt;&gt;"",ROUND(N115*(1+$B$2),0),""))</f>
        <v/>
      </c>
      <c r="S115">
        <f>IF(AND(N115&lt;&gt;"",Q115&lt;&gt;"",N115&lt;&gt;0),(Q115-N115)/N115,"")</f>
        <v/>
      </c>
      <c r="T115" t="inlineStr">
        <is>
          <t>2026</t>
        </is>
      </c>
      <c r="U115" t="inlineStr">
        <is>
          <t>MUI Istiqlal 2026</t>
        </is>
      </c>
      <c r="V115" t="inlineStr">
        <is>
          <t>Real-CE MUI</t>
        </is>
      </c>
      <c r="X115" t="inlineStr">
        <is>
          <t>OK</t>
        </is>
      </c>
      <c r="Y115" t="inlineStr">
        <is>
          <t>truss safety led indoor 6x18m | pckg/day</t>
        </is>
      </c>
    </row>
    <row r="116">
      <c r="A116" t="n">
        <v>112</v>
      </c>
      <c r="B116" t="inlineStr">
        <is>
          <t>🕌 MUI EVENT DATA</t>
        </is>
      </c>
      <c r="C116" t="n">
        <v>23</v>
      </c>
      <c r="D116" t="inlineStr">
        <is>
          <t>MUI Real Cost</t>
        </is>
      </c>
      <c r="E116" t="inlineStr">
        <is>
          <t>MUI/EO</t>
        </is>
      </c>
      <c r="F116" t="inlineStr">
        <is>
          <t>LED</t>
        </is>
      </c>
      <c r="H116" t="inlineStr">
        <is>
          <t>Truss Safety LED Outdoor 4x4m</t>
        </is>
      </c>
      <c r="J116" t="inlineStr">
        <is>
          <t>pckg/day</t>
        </is>
      </c>
      <c r="K116" t="inlineStr">
        <is>
          <t>1</t>
        </is>
      </c>
      <c r="L116" t="n">
        <v>4500000</v>
      </c>
      <c r="M116" t="n">
        <v>4500000</v>
      </c>
      <c r="N116">
        <f>IF(COUNT(L116:M116)=0,"",AVERAGE(L116:M116))</f>
        <v/>
      </c>
      <c r="Q116">
        <f>IF(COUNT(O116:P116)=0,"",AVERAGE(O116:P116))</f>
        <v/>
      </c>
      <c r="R116">
        <f>IF(Q116&lt;&gt;"",Q116,IF(N116&lt;&gt;"",ROUND(N116*(1+$B$2),0),""))</f>
        <v/>
      </c>
      <c r="S116">
        <f>IF(AND(N116&lt;&gt;"",Q116&lt;&gt;"",N116&lt;&gt;0),(Q116-N116)/N116,"")</f>
        <v/>
      </c>
      <c r="T116" t="inlineStr">
        <is>
          <t>2026</t>
        </is>
      </c>
      <c r="U116" t="inlineStr">
        <is>
          <t>MUI Istiqlal 2026</t>
        </is>
      </c>
      <c r="V116" t="inlineStr">
        <is>
          <t>Real-CE MUI</t>
        </is>
      </c>
      <c r="X116" t="inlineStr">
        <is>
          <t>OK</t>
        </is>
      </c>
      <c r="Y116" t="inlineStr">
        <is>
          <t>truss safety led outdoor 4x4m | pckg/day</t>
        </is>
      </c>
    </row>
    <row r="117">
      <c r="A117" t="n">
        <v>113</v>
      </c>
      <c r="B117" t="inlineStr">
        <is>
          <t>📋 PO &amp; RFP DATA</t>
        </is>
      </c>
      <c r="C117" t="n">
        <v>7</v>
      </c>
      <c r="D117" t="inlineStr">
        <is>
          <t>PO/RFP HPP</t>
        </is>
      </c>
      <c r="E117" t="inlineStr">
        <is>
          <t>SWL</t>
        </is>
      </c>
      <c r="F117" t="inlineStr">
        <is>
          <t>LED &amp; Lighting</t>
        </is>
      </c>
      <c r="H117" t="inlineStr">
        <is>
          <t>Paket LED + Lighting + Sound Sistem (FULL)</t>
        </is>
      </c>
      <c r="I117" t="inlineStr">
        <is>
          <t>LED Ambience 48m2 + LED Screen 112m2 + LED Wing 30m2 + Lighting System (Freshnell,Minibrute,Moving Head,Follow Spot,Hazer) + Sound 60KW + Genset</t>
        </is>
      </c>
      <c r="J117" t="inlineStr">
        <is>
          <t>paket</t>
        </is>
      </c>
      <c r="K117" t="inlineStr">
        <is>
          <t>1</t>
        </is>
      </c>
      <c r="L117" t="n">
        <v>407500000</v>
      </c>
      <c r="M117" t="n">
        <v>407500000</v>
      </c>
      <c r="N117">
        <f>IF(COUNT(L117:M117)=0,"",AVERAGE(L117:M117))</f>
        <v/>
      </c>
      <c r="Q117">
        <f>IF(COUNT(O117:P117)=0,"",AVERAGE(O117:P117))</f>
        <v/>
      </c>
      <c r="R117">
        <f>IF(Q117&lt;&gt;"",Q117,IF(N117&lt;&gt;"",ROUND(N117*(1+$B$2),0),""))</f>
        <v/>
      </c>
      <c r="S117">
        <f>IF(AND(N117&lt;&gt;"",Q117&lt;&gt;"",N117&lt;&gt;0),(Q117-N117)/N117,"")</f>
        <v/>
      </c>
      <c r="T117" t="inlineStr">
        <is>
          <t>2025</t>
        </is>
      </c>
      <c r="U117" t="inlineStr">
        <is>
          <t>OCBC Disney Orchestra</t>
        </is>
      </c>
      <c r="V117" t="inlineStr">
        <is>
          <t>PO 51/JBBS/OCBC/VI/2025</t>
        </is>
      </c>
      <c r="X117" t="inlineStr">
        <is>
          <t>OK</t>
        </is>
      </c>
      <c r="Y117" t="inlineStr">
        <is>
          <t>paket led + lighting + sound sistem (full) | paket</t>
        </is>
      </c>
    </row>
    <row r="118">
      <c r="A118" t="n">
        <v>114</v>
      </c>
      <c r="B118" t="inlineStr">
        <is>
          <t>📋 PO &amp; RFP DATA</t>
        </is>
      </c>
      <c r="C118" t="n">
        <v>8</v>
      </c>
      <c r="D118" t="inlineStr">
        <is>
          <t>PO/RFP HPP</t>
        </is>
      </c>
      <c r="E118" t="inlineStr">
        <is>
          <t>SWL</t>
        </is>
      </c>
      <c r="F118" t="inlineStr">
        <is>
          <t>LED Screen</t>
        </is>
      </c>
      <c r="H118" t="inlineStr">
        <is>
          <t>LED Ambience 4x6 (2 unit, incl. Rehearsal H-1)</t>
        </is>
      </c>
      <c r="I118" t="inlineStr">
        <is>
          <t>P2.6, dim 4x6, 2 unit</t>
        </is>
      </c>
      <c r="J118" t="inlineStr">
        <is>
          <t>m2/event</t>
        </is>
      </c>
      <c r="K118" t="inlineStr">
        <is>
          <t>48</t>
        </is>
      </c>
      <c r="L118" t="n">
        <v>0</v>
      </c>
      <c r="M118" t="n">
        <v>0</v>
      </c>
      <c r="N118">
        <f>IF(COUNT(L118:M118)=0,"",AVERAGE(L118:M118))</f>
        <v/>
      </c>
      <c r="Q118">
        <f>IF(COUNT(O118:P118)=0,"",AVERAGE(O118:P118))</f>
        <v/>
      </c>
      <c r="R118">
        <f>IF(Q118&lt;&gt;"",Q118,IF(N118&lt;&gt;"",ROUND(N118*(1+$B$2),0),""))</f>
        <v/>
      </c>
      <c r="S118">
        <f>IF(AND(N118&lt;&gt;"",Q118&lt;&gt;"",N118&lt;&gt;0),(Q118-N118)/N118,"")</f>
        <v/>
      </c>
      <c r="T118" t="inlineStr">
        <is>
          <t>2025</t>
        </is>
      </c>
      <c r="U118" t="inlineStr">
        <is>
          <t>OCBC Disney Orchestra</t>
        </is>
      </c>
      <c r="V118" t="inlineStr">
        <is>
          <t>Termasuk dalam paket SWL 407,5jt</t>
        </is>
      </c>
      <c r="X118" t="inlineStr">
        <is>
          <t>Zero HPP - included/package</t>
        </is>
      </c>
      <c r="Y118" t="inlineStr">
        <is>
          <t>led ambience 4x6 (2 unit, incl. rehearsal h-1) | m2/event</t>
        </is>
      </c>
    </row>
    <row r="119">
      <c r="A119" t="n">
        <v>115</v>
      </c>
      <c r="B119" t="inlineStr">
        <is>
          <t>📋 PO &amp; RFP DATA</t>
        </is>
      </c>
      <c r="C119" t="n">
        <v>9</v>
      </c>
      <c r="D119" t="inlineStr">
        <is>
          <t>PO/RFP HPP</t>
        </is>
      </c>
      <c r="E119" t="inlineStr">
        <is>
          <t>SWL</t>
        </is>
      </c>
      <c r="F119" t="inlineStr">
        <is>
          <t>LED Screen</t>
        </is>
      </c>
      <c r="H119" t="inlineStr">
        <is>
          <t>LED Screen 14x8 (incl. Rehearsal H-1)</t>
        </is>
      </c>
      <c r="J119" t="inlineStr">
        <is>
          <t>m2/day</t>
        </is>
      </c>
      <c r="K119" t="inlineStr">
        <is>
          <t>112</t>
        </is>
      </c>
      <c r="L119" t="n">
        <v>0</v>
      </c>
      <c r="M119" t="n">
        <v>0</v>
      </c>
      <c r="N119">
        <f>IF(COUNT(L119:M119)=0,"",AVERAGE(L119:M119))</f>
        <v/>
      </c>
      <c r="Q119">
        <f>IF(COUNT(O119:P119)=0,"",AVERAGE(O119:P119))</f>
        <v/>
      </c>
      <c r="R119">
        <f>IF(Q119&lt;&gt;"",Q119,IF(N119&lt;&gt;"",ROUND(N119*(1+$B$2),0),""))</f>
        <v/>
      </c>
      <c r="S119">
        <f>IF(AND(N119&lt;&gt;"",Q119&lt;&gt;"",N119&lt;&gt;0),(Q119-N119)/N119,"")</f>
        <v/>
      </c>
      <c r="T119" t="inlineStr">
        <is>
          <t>2025</t>
        </is>
      </c>
      <c r="U119" t="inlineStr">
        <is>
          <t>OCBC Disney Orchestra</t>
        </is>
      </c>
      <c r="V119" t="inlineStr">
        <is>
          <t>Termasuk dalam paket SWL</t>
        </is>
      </c>
      <c r="X119" t="inlineStr">
        <is>
          <t>Zero HPP - included/package</t>
        </is>
      </c>
      <c r="Y119" t="inlineStr">
        <is>
          <t>led screen 14x8 (incl. rehearsal h-1) | m2/day</t>
        </is>
      </c>
    </row>
    <row r="120">
      <c r="A120" t="n">
        <v>116</v>
      </c>
      <c r="B120" t="inlineStr">
        <is>
          <t>💰 HPP VENDOR</t>
        </is>
      </c>
      <c r="C120" t="n">
        <v>23</v>
      </c>
      <c r="D120" t="inlineStr">
        <is>
          <t>Vendor HPP</t>
        </is>
      </c>
      <c r="E120" t="inlineStr">
        <is>
          <t>Dinamix Production</t>
        </is>
      </c>
      <c r="F120" t="inlineStr">
        <is>
          <t>Lainnya</t>
        </is>
      </c>
      <c r="H120" t="inlineStr">
        <is>
          <t>Dokumentasi Foto + Video Highlight</t>
        </is>
      </c>
      <c r="J120" t="inlineStr">
        <is>
          <t>pack</t>
        </is>
      </c>
      <c r="K120" t="inlineStr">
        <is>
          <t>1</t>
        </is>
      </c>
      <c r="L120" t="n">
        <v>4000000</v>
      </c>
      <c r="M120" t="n">
        <v>4000000</v>
      </c>
      <c r="N120">
        <f>IF(COUNT(L120:M120)=0,"",AVERAGE(L120:M120))</f>
        <v/>
      </c>
      <c r="Q120">
        <f>IF(COUNT(O120:P120)=0,"",AVERAGE(O120:P120))</f>
        <v/>
      </c>
      <c r="R120">
        <f>IF(Q120&lt;&gt;"",Q120,IF(N120&lt;&gt;"",ROUND(N120*(1+$B$2),0),""))</f>
        <v/>
      </c>
      <c r="S120">
        <f>IF(AND(N120&lt;&gt;"",Q120&lt;&gt;"",N120&lt;&gt;0),(Q120-N120)/N120,"")</f>
        <v/>
      </c>
      <c r="T120" t="inlineStr">
        <is>
          <t>2025</t>
        </is>
      </c>
      <c r="U120" t="inlineStr">
        <is>
          <t>Sunpride Bandung</t>
        </is>
      </c>
      <c r="V120" t="inlineStr">
        <is>
          <t>HPP Vendor</t>
        </is>
      </c>
      <c r="X120" t="inlineStr">
        <is>
          <t>OK</t>
        </is>
      </c>
      <c r="Y120" t="inlineStr">
        <is>
          <t>dokumentasi foto + video highlight | pack</t>
        </is>
      </c>
    </row>
    <row r="121">
      <c r="A121" t="n">
        <v>117</v>
      </c>
      <c r="B121" t="inlineStr">
        <is>
          <t>💰 HPP VENDOR</t>
        </is>
      </c>
      <c r="C121" t="n">
        <v>67</v>
      </c>
      <c r="D121" t="inlineStr">
        <is>
          <t>Vendor HPP</t>
        </is>
      </c>
      <c r="E121" t="inlineStr">
        <is>
          <t>Inge Milasari Sanjaya (Vendor Lokal)</t>
        </is>
      </c>
      <c r="F121" t="inlineStr">
        <is>
          <t>Lainnya</t>
        </is>
      </c>
      <c r="H121" t="inlineStr">
        <is>
          <t>Goodie Bag per pax</t>
        </is>
      </c>
      <c r="I121" t="inlineStr">
        <is>
          <t>yayasan</t>
        </is>
      </c>
      <c r="J121" t="inlineStr">
        <is>
          <t>pax</t>
        </is>
      </c>
      <c r="K121" t="inlineStr">
        <is>
          <t>30</t>
        </is>
      </c>
      <c r="L121" t="n">
        <v>40000</v>
      </c>
      <c r="M121" t="n">
        <v>40000</v>
      </c>
      <c r="N121">
        <f>IF(COUNT(L121:M121)=0,"",AVERAGE(L121:M121))</f>
        <v/>
      </c>
      <c r="Q121">
        <f>IF(COUNT(O121:P121)=0,"",AVERAGE(O121:P121))</f>
        <v/>
      </c>
      <c r="R121">
        <f>IF(Q121&lt;&gt;"",Q121,IF(N121&lt;&gt;"",ROUND(N121*(1+$B$2),0),""))</f>
        <v/>
      </c>
      <c r="S121">
        <f>IF(AND(N121&lt;&gt;"",Q121&lt;&gt;"",N121&lt;&gt;0),(Q121-N121)/N121,"")</f>
        <v/>
      </c>
      <c r="T121" t="inlineStr">
        <is>
          <t>2026</t>
        </is>
      </c>
      <c r="U121" t="inlineStr">
        <is>
          <t>Safari Ramadhan PGN Bogor</t>
        </is>
      </c>
      <c r="V121" t="inlineStr">
        <is>
          <t>HPP Vendor</t>
        </is>
      </c>
      <c r="X121" t="inlineStr">
        <is>
          <t>OK</t>
        </is>
      </c>
      <c r="Y121" t="inlineStr">
        <is>
          <t>goodie bag per pax | pax</t>
        </is>
      </c>
    </row>
    <row r="122">
      <c r="A122" t="n">
        <v>118</v>
      </c>
      <c r="B122" t="inlineStr">
        <is>
          <t>💰 HPP VENDOR</t>
        </is>
      </c>
      <c r="C122" t="n">
        <v>22</v>
      </c>
      <c r="D122" t="inlineStr">
        <is>
          <t>Vendor HPP</t>
        </is>
      </c>
      <c r="E122" t="inlineStr">
        <is>
          <t>Dinamix Production</t>
        </is>
      </c>
      <c r="F122" t="inlineStr">
        <is>
          <t>Lainnya</t>
        </is>
      </c>
      <c r="H122" t="inlineStr">
        <is>
          <t>HT Standard</t>
        </is>
      </c>
      <c r="J122" t="inlineStr">
        <is>
          <t>unit/event</t>
        </is>
      </c>
      <c r="K122" t="inlineStr">
        <is>
          <t>1</t>
        </is>
      </c>
      <c r="L122" t="n">
        <v>40000</v>
      </c>
      <c r="M122" t="n">
        <v>40000</v>
      </c>
      <c r="N122">
        <f>IF(COUNT(L122:M122)=0,"",AVERAGE(L122:M122))</f>
        <v/>
      </c>
      <c r="Q122">
        <f>IF(COUNT(O122:P122)=0,"",AVERAGE(O122:P122))</f>
        <v/>
      </c>
      <c r="R122">
        <f>IF(Q122&lt;&gt;"",Q122,IF(N122&lt;&gt;"",ROUND(N122*(1+$B$2),0),""))</f>
        <v/>
      </c>
      <c r="S122">
        <f>IF(AND(N122&lt;&gt;"",Q122&lt;&gt;"",N122&lt;&gt;0),(Q122-N122)/N122,"")</f>
        <v/>
      </c>
      <c r="T122" t="inlineStr">
        <is>
          <t>2025</t>
        </is>
      </c>
      <c r="U122" t="inlineStr">
        <is>
          <t>Sunpride Bandung</t>
        </is>
      </c>
      <c r="V122" t="inlineStr">
        <is>
          <t>HPP Vendor</t>
        </is>
      </c>
      <c r="W122" t="inlineStr">
        <is>
          <t>per unit</t>
        </is>
      </c>
      <c r="X122" t="inlineStr">
        <is>
          <t>OK</t>
        </is>
      </c>
      <c r="Y122" t="inlineStr">
        <is>
          <t>ht standard | unit/event</t>
        </is>
      </c>
    </row>
    <row r="123">
      <c r="A123" t="n">
        <v>119</v>
      </c>
      <c r="B123" t="inlineStr">
        <is>
          <t>💰 HPP VENDOR</t>
        </is>
      </c>
      <c r="C123" t="n">
        <v>66</v>
      </c>
      <c r="D123" t="inlineStr">
        <is>
          <t>Vendor HPP</t>
        </is>
      </c>
      <c r="E123" t="inlineStr">
        <is>
          <t>Inge Milasari Sanjaya (Vendor Lokal)</t>
        </is>
      </c>
      <c r="F123" t="inlineStr">
        <is>
          <t>Lainnya</t>
        </is>
      </c>
      <c r="H123" t="inlineStr">
        <is>
          <t>Karpet Area dim 4.6x18.6m</t>
        </is>
      </c>
      <c r="I123" t="inlineStr">
        <is>
          <t>30x2m each roll</t>
        </is>
      </c>
      <c r="J123" t="inlineStr">
        <is>
          <t>pckg</t>
        </is>
      </c>
      <c r="K123" t="inlineStr">
        <is>
          <t>1</t>
        </is>
      </c>
      <c r="L123" t="n">
        <v>5292000</v>
      </c>
      <c r="M123" t="n">
        <v>5292000</v>
      </c>
      <c r="N123">
        <f>IF(COUNT(L123:M123)=0,"",AVERAGE(L123:M123))</f>
        <v/>
      </c>
      <c r="Q123">
        <f>IF(COUNT(O123:P123)=0,"",AVERAGE(O123:P123))</f>
        <v/>
      </c>
      <c r="R123">
        <f>IF(Q123&lt;&gt;"",Q123,IF(N123&lt;&gt;"",ROUND(N123*(1+$B$2),0),""))</f>
        <v/>
      </c>
      <c r="S123">
        <f>IF(AND(N123&lt;&gt;"",Q123&lt;&gt;"",N123&lt;&gt;0),(Q123-N123)/N123,"")</f>
        <v/>
      </c>
      <c r="T123" t="inlineStr">
        <is>
          <t>2026</t>
        </is>
      </c>
      <c r="U123" t="inlineStr">
        <is>
          <t>Safari Ramadhan PGN Bogor</t>
        </is>
      </c>
      <c r="V123" t="inlineStr">
        <is>
          <t>HPP Vendor</t>
        </is>
      </c>
      <c r="W123" t="inlineStr">
        <is>
          <t>incl. ongkos pasang</t>
        </is>
      </c>
      <c r="X123" t="inlineStr">
        <is>
          <t>OK</t>
        </is>
      </c>
      <c r="Y123" t="inlineStr">
        <is>
          <t>karpet area dim 4.6x18.6m | pckg</t>
        </is>
      </c>
    </row>
    <row r="124">
      <c r="A124" t="n">
        <v>120</v>
      </c>
      <c r="B124" t="inlineStr">
        <is>
          <t>💰 HPP VENDOR</t>
        </is>
      </c>
      <c r="C124" t="n">
        <v>24</v>
      </c>
      <c r="D124" t="inlineStr">
        <is>
          <t>Vendor HPP</t>
        </is>
      </c>
      <c r="E124" t="inlineStr">
        <is>
          <t>Dinamix Production</t>
        </is>
      </c>
      <c r="F124" t="inlineStr">
        <is>
          <t>Lainnya</t>
        </is>
      </c>
      <c r="H124" t="inlineStr">
        <is>
          <t>Pawang Hujan</t>
        </is>
      </c>
      <c r="J124" t="inlineStr">
        <is>
          <t>orang</t>
        </is>
      </c>
      <c r="K124" t="inlineStr">
        <is>
          <t>1</t>
        </is>
      </c>
      <c r="L124" t="n">
        <v>1500000</v>
      </c>
      <c r="M124" t="n">
        <v>1500000</v>
      </c>
      <c r="N124">
        <f>IF(COUNT(L124:M124)=0,"",AVERAGE(L124:M124))</f>
        <v/>
      </c>
      <c r="Q124">
        <f>IF(COUNT(O124:P124)=0,"",AVERAGE(O124:P124))</f>
        <v/>
      </c>
      <c r="R124">
        <f>IF(Q124&lt;&gt;"",Q124,IF(N124&lt;&gt;"",ROUND(N124*(1+$B$2),0),""))</f>
        <v/>
      </c>
      <c r="S124">
        <f>IF(AND(N124&lt;&gt;"",Q124&lt;&gt;"",N124&lt;&gt;0),(Q124-N124)/N124,"")</f>
        <v/>
      </c>
      <c r="T124" t="inlineStr">
        <is>
          <t>2025</t>
        </is>
      </c>
      <c r="U124" t="inlineStr">
        <is>
          <t>Sunpride Bandung</t>
        </is>
      </c>
      <c r="V124" t="inlineStr">
        <is>
          <t>HPP Vendor</t>
        </is>
      </c>
      <c r="X124" t="inlineStr">
        <is>
          <t>OK</t>
        </is>
      </c>
      <c r="Y124" t="inlineStr">
        <is>
          <t>pawang hujan | orang</t>
        </is>
      </c>
    </row>
    <row r="125">
      <c r="A125" t="n">
        <v>121</v>
      </c>
      <c r="B125" t="inlineStr">
        <is>
          <t>🕌 MUI EVENT DATA</t>
        </is>
      </c>
      <c r="C125" t="n">
        <v>30</v>
      </c>
      <c r="D125" t="inlineStr">
        <is>
          <t>MUI Real Cost</t>
        </is>
      </c>
      <c r="E125" t="inlineStr">
        <is>
          <t>MUI/EO</t>
        </is>
      </c>
      <c r="F125" t="inlineStr">
        <is>
          <t>Lighting</t>
        </is>
      </c>
      <c r="H125" t="inlineStr">
        <is>
          <t>Lighting System Indoor</t>
        </is>
      </c>
      <c r="I125" t="inlineStr">
        <is>
          <t>Fresnell 12 unit + tripod</t>
        </is>
      </c>
      <c r="J125" t="inlineStr">
        <is>
          <t>set/day</t>
        </is>
      </c>
      <c r="K125" t="inlineStr">
        <is>
          <t>2</t>
        </is>
      </c>
      <c r="L125" t="n">
        <v>4000000</v>
      </c>
      <c r="M125" t="n">
        <v>4000000</v>
      </c>
      <c r="N125">
        <f>IF(COUNT(L125:M125)=0,"",AVERAGE(L125:M125))</f>
        <v/>
      </c>
      <c r="Q125">
        <f>IF(COUNT(O125:P125)=0,"",AVERAGE(O125:P125))</f>
        <v/>
      </c>
      <c r="R125">
        <f>IF(Q125&lt;&gt;"",Q125,IF(N125&lt;&gt;"",ROUND(N125*(1+$B$2),0),""))</f>
        <v/>
      </c>
      <c r="S125">
        <f>IF(AND(N125&lt;&gt;"",Q125&lt;&gt;"",N125&lt;&gt;0),(Q125-N125)/N125,"")</f>
        <v/>
      </c>
      <c r="T125" t="inlineStr">
        <is>
          <t>2026</t>
        </is>
      </c>
      <c r="U125" t="inlineStr">
        <is>
          <t>MUI Istiqlal 2026</t>
        </is>
      </c>
      <c r="V125" t="inlineStr">
        <is>
          <t>per set</t>
        </is>
      </c>
      <c r="X125" t="inlineStr">
        <is>
          <t>OK</t>
        </is>
      </c>
      <c r="Y125" t="inlineStr">
        <is>
          <t>lighting system indoor | set/day</t>
        </is>
      </c>
    </row>
    <row r="126">
      <c r="A126" t="n">
        <v>122</v>
      </c>
      <c r="B126" t="inlineStr">
        <is>
          <t>📊 SUMMARY</t>
        </is>
      </c>
      <c r="C126" t="n">
        <v>43</v>
      </c>
      <c r="D126" t="inlineStr">
        <is>
          <t>Summary Range</t>
        </is>
      </c>
      <c r="F126" t="inlineStr">
        <is>
          <t>MANPOWER</t>
        </is>
      </c>
      <c r="H126" t="inlineStr">
        <is>
          <t>Dokumentasi (Foto+Video+Drone)</t>
        </is>
      </c>
      <c r="J126" t="inlineStr">
        <is>
          <t>group/day</t>
        </is>
      </c>
      <c r="N126">
        <f>IF(COUNT(L126:M126)=0,"",AVERAGE(L126:M126))</f>
        <v/>
      </c>
      <c r="O126" t="n">
        <v>2500000</v>
      </c>
      <c r="P126" t="n">
        <v>4000000</v>
      </c>
      <c r="Q126">
        <f>IF(COUNT(O126:P126)=0,"",AVERAGE(O126:P126))</f>
        <v/>
      </c>
      <c r="R126">
        <f>IF(Q126&lt;&gt;"",Q126,IF(N126&lt;&gt;"",ROUND(N126*(1+$B$2),0),""))</f>
        <v/>
      </c>
      <c r="S126">
        <f>IF(AND(N126&lt;&gt;"",Q126&lt;&gt;"",N126&lt;&gt;0),(Q126-N126)/N126,"")</f>
        <v/>
      </c>
      <c r="V126" t="inlineStr">
        <is>
          <t>Summary Ratecard</t>
        </is>
      </c>
      <c r="X126" t="inlineStr">
        <is>
          <t>OK</t>
        </is>
      </c>
      <c r="Y126" t="inlineStr">
        <is>
          <t>dokumentasi (foto+video+drone) | group/day</t>
        </is>
      </c>
    </row>
    <row r="127">
      <c r="A127" t="n">
        <v>123</v>
      </c>
      <c r="B127" t="inlineStr">
        <is>
          <t>📊 SUMMARY</t>
        </is>
      </c>
      <c r="C127" t="n">
        <v>41</v>
      </c>
      <c r="D127" t="inlineStr">
        <is>
          <t>Summary Range</t>
        </is>
      </c>
      <c r="F127" t="inlineStr">
        <is>
          <t>MANPOWER</t>
        </is>
      </c>
      <c r="H127" t="inlineStr">
        <is>
          <t>Floor Crew</t>
        </is>
      </c>
      <c r="J127" t="inlineStr">
        <is>
          <t>person/day</t>
        </is>
      </c>
      <c r="N127">
        <f>IF(COUNT(L127:M127)=0,"",AVERAGE(L127:M127))</f>
        <v/>
      </c>
      <c r="O127" t="n">
        <v>300000</v>
      </c>
      <c r="P127" t="n">
        <v>400000</v>
      </c>
      <c r="Q127">
        <f>IF(COUNT(O127:P127)=0,"",AVERAGE(O127:P127))</f>
        <v/>
      </c>
      <c r="R127">
        <f>IF(Q127&lt;&gt;"",Q127,IF(N127&lt;&gt;"",ROUND(N127*(1+$B$2),0),""))</f>
        <v/>
      </c>
      <c r="S127">
        <f>IF(AND(N127&lt;&gt;"",Q127&lt;&gt;"",N127&lt;&gt;0),(Q127-N127)/N127,"")</f>
        <v/>
      </c>
      <c r="V127" t="inlineStr">
        <is>
          <t>Summary Ratecard</t>
        </is>
      </c>
      <c r="X127" t="inlineStr">
        <is>
          <t>Potential duplicate x3</t>
        </is>
      </c>
      <c r="Y127" t="inlineStr">
        <is>
          <t>floor crew | person/day</t>
        </is>
      </c>
    </row>
    <row r="128">
      <c r="A128" t="n">
        <v>124</v>
      </c>
      <c r="B128" t="inlineStr">
        <is>
          <t>📊 SUMMARY</t>
        </is>
      </c>
      <c r="C128" t="n">
        <v>38</v>
      </c>
      <c r="D128" t="inlineStr">
        <is>
          <t>Summary Range</t>
        </is>
      </c>
      <c r="F128" t="inlineStr">
        <is>
          <t>MANPOWER</t>
        </is>
      </c>
      <c r="H128" t="inlineStr">
        <is>
          <t>Project Officer</t>
        </is>
      </c>
      <c r="J128" t="inlineStr">
        <is>
          <t>person/event</t>
        </is>
      </c>
      <c r="N128">
        <f>IF(COUNT(L128:M128)=0,"",AVERAGE(L128:M128))</f>
        <v/>
      </c>
      <c r="O128" t="n">
        <v>10000000</v>
      </c>
      <c r="P128" t="n">
        <v>15000000</v>
      </c>
      <c r="Q128">
        <f>IF(COUNT(O128:P128)=0,"",AVERAGE(O128:P128))</f>
        <v/>
      </c>
      <c r="R128">
        <f>IF(Q128&lt;&gt;"",Q128,IF(N128&lt;&gt;"",ROUND(N128*(1+$B$2),0),""))</f>
        <v/>
      </c>
      <c r="S128">
        <f>IF(AND(N128&lt;&gt;"",Q128&lt;&gt;"",N128&lt;&gt;0),(Q128-N128)/N128,"")</f>
        <v/>
      </c>
      <c r="V128" t="inlineStr">
        <is>
          <t>Summary Ratecard</t>
        </is>
      </c>
      <c r="X128" t="inlineStr">
        <is>
          <t>Potential duplicate x2</t>
        </is>
      </c>
      <c r="Y128" t="inlineStr">
        <is>
          <t>project officer | person/event</t>
        </is>
      </c>
    </row>
    <row r="129">
      <c r="A129" t="n">
        <v>125</v>
      </c>
      <c r="B129" t="inlineStr">
        <is>
          <t>📊 SUMMARY</t>
        </is>
      </c>
      <c r="C129" t="n">
        <v>39</v>
      </c>
      <c r="D129" t="inlineStr">
        <is>
          <t>Summary Range</t>
        </is>
      </c>
      <c r="F129" t="inlineStr">
        <is>
          <t>MANPOWER</t>
        </is>
      </c>
      <c r="H129" t="inlineStr">
        <is>
          <t>Show Director</t>
        </is>
      </c>
      <c r="J129" t="inlineStr">
        <is>
          <t>person/event</t>
        </is>
      </c>
      <c r="N129">
        <f>IF(COUNT(L129:M129)=0,"",AVERAGE(L129:M129))</f>
        <v/>
      </c>
      <c r="O129" t="n">
        <v>2500000</v>
      </c>
      <c r="P129" t="n">
        <v>3500000</v>
      </c>
      <c r="Q129">
        <f>IF(COUNT(O129:P129)=0,"",AVERAGE(O129:P129))</f>
        <v/>
      </c>
      <c r="R129">
        <f>IF(Q129&lt;&gt;"",Q129,IF(N129&lt;&gt;"",ROUND(N129*(1+$B$2),0),""))</f>
        <v/>
      </c>
      <c r="S129">
        <f>IF(AND(N129&lt;&gt;"",Q129&lt;&gt;"",N129&lt;&gt;0),(Q129-N129)/N129,"")</f>
        <v/>
      </c>
      <c r="V129" t="inlineStr">
        <is>
          <t>Summary Ratecard</t>
        </is>
      </c>
      <c r="X129" t="inlineStr">
        <is>
          <t>Potential duplicate x2</t>
        </is>
      </c>
      <c r="Y129" t="inlineStr">
        <is>
          <t>show director | person/event</t>
        </is>
      </c>
    </row>
    <row r="130">
      <c r="A130" t="n">
        <v>126</v>
      </c>
      <c r="B130" t="inlineStr">
        <is>
          <t>📊 SUMMARY</t>
        </is>
      </c>
      <c r="C130" t="n">
        <v>40</v>
      </c>
      <c r="D130" t="inlineStr">
        <is>
          <t>Summary Range</t>
        </is>
      </c>
      <c r="F130" t="inlineStr">
        <is>
          <t>MANPOWER</t>
        </is>
      </c>
      <c r="H130" t="inlineStr">
        <is>
          <t>Stage Manager</t>
        </is>
      </c>
      <c r="J130" t="inlineStr">
        <is>
          <t>person/event</t>
        </is>
      </c>
      <c r="N130">
        <f>IF(COUNT(L130:M130)=0,"",AVERAGE(L130:M130))</f>
        <v/>
      </c>
      <c r="O130" t="n">
        <v>1500000</v>
      </c>
      <c r="P130" t="n">
        <v>2000000</v>
      </c>
      <c r="Q130">
        <f>IF(COUNT(O130:P130)=0,"",AVERAGE(O130:P130))</f>
        <v/>
      </c>
      <c r="R130">
        <f>IF(Q130&lt;&gt;"",Q130,IF(N130&lt;&gt;"",ROUND(N130*(1+$B$2),0),""))</f>
        <v/>
      </c>
      <c r="S130">
        <f>IF(AND(N130&lt;&gt;"",Q130&lt;&gt;"",N130&lt;&gt;0),(Q130-N130)/N130,"")</f>
        <v/>
      </c>
      <c r="V130" t="inlineStr">
        <is>
          <t>Summary Ratecard</t>
        </is>
      </c>
      <c r="X130" t="inlineStr">
        <is>
          <t>Potential duplicate x2</t>
        </is>
      </c>
      <c r="Y130" t="inlineStr">
        <is>
          <t>stage manager | person/event</t>
        </is>
      </c>
    </row>
    <row r="131">
      <c r="A131" t="n">
        <v>127</v>
      </c>
      <c r="B131" t="inlineStr">
        <is>
          <t>📊 SUMMARY</t>
        </is>
      </c>
      <c r="C131" t="n">
        <v>42</v>
      </c>
      <c r="D131" t="inlineStr">
        <is>
          <t>Summary Range</t>
        </is>
      </c>
      <c r="F131" t="inlineStr">
        <is>
          <t>MANPOWER</t>
        </is>
      </c>
      <c r="H131" t="inlineStr">
        <is>
          <t>Usher</t>
        </is>
      </c>
      <c r="J131" t="inlineStr">
        <is>
          <t>person/day</t>
        </is>
      </c>
      <c r="N131">
        <f>IF(COUNT(L131:M131)=0,"",AVERAGE(L131:M131))</f>
        <v/>
      </c>
      <c r="O131" t="n">
        <v>1000000</v>
      </c>
      <c r="P131" t="n">
        <v>1500000</v>
      </c>
      <c r="Q131">
        <f>IF(COUNT(O131:P131)=0,"",AVERAGE(O131:P131))</f>
        <v/>
      </c>
      <c r="R131">
        <f>IF(Q131&lt;&gt;"",Q131,IF(N131&lt;&gt;"",ROUND(N131*(1+$B$2),0),""))</f>
        <v/>
      </c>
      <c r="S131">
        <f>IF(AND(N131&lt;&gt;"",Q131&lt;&gt;"",N131&lt;&gt;0),(Q131-N131)/N131,"")</f>
        <v/>
      </c>
      <c r="V131" t="inlineStr">
        <is>
          <t>Summary Ratecard</t>
        </is>
      </c>
      <c r="X131" t="inlineStr">
        <is>
          <t>Potential duplicate x2</t>
        </is>
      </c>
      <c r="Y131" t="inlineStr">
        <is>
          <t>usher | person/day</t>
        </is>
      </c>
    </row>
    <row r="132">
      <c r="A132" t="n">
        <v>128</v>
      </c>
      <c r="B132" t="inlineStr">
        <is>
          <t>📦 RATECARD DB</t>
        </is>
      </c>
      <c r="C132" t="n">
        <v>100</v>
      </c>
      <c r="D132" t="inlineStr">
        <is>
          <t>Master Ratecard</t>
        </is>
      </c>
      <c r="F132" t="inlineStr">
        <is>
          <t>MANPOWER</t>
        </is>
      </c>
      <c r="G132" t="inlineStr">
        <is>
          <t>Crew</t>
        </is>
      </c>
      <c r="H132" t="inlineStr">
        <is>
          <t>Community Handling</t>
        </is>
      </c>
      <c r="J132" t="inlineStr">
        <is>
          <t>person/event</t>
        </is>
      </c>
      <c r="L132" t="n">
        <v>1000000</v>
      </c>
      <c r="M132" t="n">
        <v>1000000</v>
      </c>
      <c r="N132">
        <f>IF(COUNT(L132:M132)=0,"",AVERAGE(L132:M132))</f>
        <v/>
      </c>
      <c r="O132" t="n">
        <v>1500000</v>
      </c>
      <c r="P132" t="n">
        <v>1500000</v>
      </c>
      <c r="Q132">
        <f>IF(COUNT(O132:P132)=0,"",AVERAGE(O132:P132))</f>
        <v/>
      </c>
      <c r="R132">
        <f>IF(Q132&lt;&gt;"",Q132,IF(N132&lt;&gt;"",ROUND(N132*(1+$B$2),0),""))</f>
        <v/>
      </c>
      <c r="S132">
        <f>IF(AND(N132&lt;&gt;"",Q132&lt;&gt;"",N132&lt;&gt;0),(Q132-N132)/N132,"")</f>
        <v/>
      </c>
      <c r="T132" t="inlineStr">
        <is>
          <t>2025</t>
        </is>
      </c>
      <c r="V132" t="inlineStr">
        <is>
          <t>Heppiii Skate Day</t>
        </is>
      </c>
      <c r="X132" t="inlineStr">
        <is>
          <t>OK</t>
        </is>
      </c>
      <c r="Y132" t="inlineStr">
        <is>
          <t>community handling | person/event</t>
        </is>
      </c>
    </row>
    <row r="133">
      <c r="A133" t="n">
        <v>129</v>
      </c>
      <c r="B133" t="inlineStr">
        <is>
          <t>📦 RATECARD DB</t>
        </is>
      </c>
      <c r="C133" t="n">
        <v>96</v>
      </c>
      <c r="D133" t="inlineStr">
        <is>
          <t>Master Ratecard</t>
        </is>
      </c>
      <c r="F133" t="inlineStr">
        <is>
          <t>MANPOWER</t>
        </is>
      </c>
      <c r="G133" t="inlineStr">
        <is>
          <t>Crew</t>
        </is>
      </c>
      <c r="H133" t="inlineStr">
        <is>
          <t>Floor Crew</t>
        </is>
      </c>
      <c r="J133" t="inlineStr">
        <is>
          <t>person/day</t>
        </is>
      </c>
      <c r="L133" t="n">
        <v>300000</v>
      </c>
      <c r="M133" t="n">
        <v>300000</v>
      </c>
      <c r="N133">
        <f>IF(COUNT(L133:M133)=0,"",AVERAGE(L133:M133))</f>
        <v/>
      </c>
      <c r="O133" t="n">
        <v>400000</v>
      </c>
      <c r="P133" t="n">
        <v>400000</v>
      </c>
      <c r="Q133">
        <f>IF(COUNT(O133:P133)=0,"",AVERAGE(O133:P133))</f>
        <v/>
      </c>
      <c r="R133">
        <f>IF(Q133&lt;&gt;"",Q133,IF(N133&lt;&gt;"",ROUND(N133*(1+$B$2),0),""))</f>
        <v/>
      </c>
      <c r="S133">
        <f>IF(AND(N133&lt;&gt;"",Q133&lt;&gt;"",N133&lt;&gt;0),(Q133-N133)/N133,"")</f>
        <v/>
      </c>
      <c r="T133" t="inlineStr">
        <is>
          <t>2025</t>
        </is>
      </c>
      <c r="V133" t="inlineStr">
        <is>
          <t>Multi event</t>
        </is>
      </c>
      <c r="X133" t="inlineStr">
        <is>
          <t>Potential duplicate x3</t>
        </is>
      </c>
      <c r="Y133" t="inlineStr">
        <is>
          <t>floor crew | person/day</t>
        </is>
      </c>
    </row>
    <row r="134">
      <c r="A134" t="n">
        <v>130</v>
      </c>
      <c r="B134" t="inlineStr">
        <is>
          <t>📦 RATECARD DB</t>
        </is>
      </c>
      <c r="C134" t="n">
        <v>98</v>
      </c>
      <c r="D134" t="inlineStr">
        <is>
          <t>Master Ratecard</t>
        </is>
      </c>
      <c r="F134" t="inlineStr">
        <is>
          <t>MANPOWER</t>
        </is>
      </c>
      <c r="G134" t="inlineStr">
        <is>
          <t>Crew</t>
        </is>
      </c>
      <c r="H134" t="inlineStr">
        <is>
          <t>Liaison Officer (LO)</t>
        </is>
      </c>
      <c r="J134" t="inlineStr">
        <is>
          <t>person/day</t>
        </is>
      </c>
      <c r="L134" t="n">
        <v>600000</v>
      </c>
      <c r="M134" t="n">
        <v>600000</v>
      </c>
      <c r="N134">
        <f>IF(COUNT(L134:M134)=0,"",AVERAGE(L134:M134))</f>
        <v/>
      </c>
      <c r="O134" t="n">
        <v>750000</v>
      </c>
      <c r="P134" t="n">
        <v>750000</v>
      </c>
      <c r="Q134">
        <f>IF(COUNT(O134:P134)=0,"",AVERAGE(O134:P134))</f>
        <v/>
      </c>
      <c r="R134">
        <f>IF(Q134&lt;&gt;"",Q134,IF(N134&lt;&gt;"",ROUND(N134*(1+$B$2),0),""))</f>
        <v/>
      </c>
      <c r="S134">
        <f>IF(AND(N134&lt;&gt;"",Q134&lt;&gt;"",N134&lt;&gt;0),(Q134-N134)/N134,"")</f>
        <v/>
      </c>
      <c r="T134" t="inlineStr">
        <is>
          <t>2025</t>
        </is>
      </c>
      <c r="V134" t="inlineStr">
        <is>
          <t>Multi event</t>
        </is>
      </c>
      <c r="X134" t="inlineStr">
        <is>
          <t>OK</t>
        </is>
      </c>
      <c r="Y134" t="inlineStr">
        <is>
          <t>liaison officer (lo) | person/day</t>
        </is>
      </c>
    </row>
    <row r="135">
      <c r="A135" t="n">
        <v>131</v>
      </c>
      <c r="B135" t="inlineStr">
        <is>
          <t>📦 RATECARD DB</t>
        </is>
      </c>
      <c r="C135" t="n">
        <v>97</v>
      </c>
      <c r="D135" t="inlineStr">
        <is>
          <t>Master Ratecard</t>
        </is>
      </c>
      <c r="F135" t="inlineStr">
        <is>
          <t>MANPOWER</t>
        </is>
      </c>
      <c r="G135" t="inlineStr">
        <is>
          <t>Crew</t>
        </is>
      </c>
      <c r="H135" t="inlineStr">
        <is>
          <t>Logistic Crew</t>
        </is>
      </c>
      <c r="J135" t="inlineStr">
        <is>
          <t>person/day</t>
        </is>
      </c>
      <c r="L135" t="n">
        <v>300000</v>
      </c>
      <c r="M135" t="n">
        <v>300000</v>
      </c>
      <c r="N135">
        <f>IF(COUNT(L135:M135)=0,"",AVERAGE(L135:M135))</f>
        <v/>
      </c>
      <c r="O135" t="n">
        <v>400000</v>
      </c>
      <c r="P135" t="n">
        <v>400000</v>
      </c>
      <c r="Q135">
        <f>IF(COUNT(O135:P135)=0,"",AVERAGE(O135:P135))</f>
        <v/>
      </c>
      <c r="R135">
        <f>IF(Q135&lt;&gt;"",Q135,IF(N135&lt;&gt;"",ROUND(N135*(1+$B$2),0),""))</f>
        <v/>
      </c>
      <c r="S135">
        <f>IF(AND(N135&lt;&gt;"",Q135&lt;&gt;"",N135&lt;&gt;0),(Q135-N135)/N135,"")</f>
        <v/>
      </c>
      <c r="T135" t="inlineStr">
        <is>
          <t>2025</t>
        </is>
      </c>
      <c r="V135" t="inlineStr">
        <is>
          <t>Multi event</t>
        </is>
      </c>
      <c r="X135" t="inlineStr">
        <is>
          <t>OK</t>
        </is>
      </c>
      <c r="Y135" t="inlineStr">
        <is>
          <t>logistic crew | person/day</t>
        </is>
      </c>
    </row>
    <row r="136">
      <c r="A136" t="n">
        <v>132</v>
      </c>
      <c r="B136" t="inlineStr">
        <is>
          <t>📦 RATECARD DB</t>
        </is>
      </c>
      <c r="C136" t="n">
        <v>99</v>
      </c>
      <c r="D136" t="inlineStr">
        <is>
          <t>Master Ratecard</t>
        </is>
      </c>
      <c r="F136" t="inlineStr">
        <is>
          <t>MANPOWER</t>
        </is>
      </c>
      <c r="G136" t="inlineStr">
        <is>
          <t>Crew</t>
        </is>
      </c>
      <c r="H136" t="inlineStr">
        <is>
          <t>Talent Coordinator</t>
        </is>
      </c>
      <c r="J136" t="inlineStr">
        <is>
          <t>person/event</t>
        </is>
      </c>
      <c r="L136" t="n">
        <v>1000000</v>
      </c>
      <c r="M136" t="n">
        <v>1000000</v>
      </c>
      <c r="N136">
        <f>IF(COUNT(L136:M136)=0,"",AVERAGE(L136:M136))</f>
        <v/>
      </c>
      <c r="O136" t="n">
        <v>1500000</v>
      </c>
      <c r="P136" t="n">
        <v>1500000</v>
      </c>
      <c r="Q136">
        <f>IF(COUNT(O136:P136)=0,"",AVERAGE(O136:P136))</f>
        <v/>
      </c>
      <c r="R136">
        <f>IF(Q136&lt;&gt;"",Q136,IF(N136&lt;&gt;"",ROUND(N136*(1+$B$2),0),""))</f>
        <v/>
      </c>
      <c r="S136">
        <f>IF(AND(N136&lt;&gt;"",Q136&lt;&gt;"",N136&lt;&gt;0),(Q136-N136)/N136,"")</f>
        <v/>
      </c>
      <c r="T136" t="inlineStr">
        <is>
          <t>2025</t>
        </is>
      </c>
      <c r="V136" t="inlineStr">
        <is>
          <t>Multi event</t>
        </is>
      </c>
      <c r="X136" t="inlineStr">
        <is>
          <t>Potential duplicate x2</t>
        </is>
      </c>
      <c r="Y136" t="inlineStr">
        <is>
          <t>talent coordinator | person/event</t>
        </is>
      </c>
    </row>
    <row r="137">
      <c r="A137" t="n">
        <v>133</v>
      </c>
      <c r="B137" t="inlineStr">
        <is>
          <t>📦 RATECARD DB</t>
        </is>
      </c>
      <c r="C137" t="n">
        <v>109</v>
      </c>
      <c r="D137" t="inlineStr">
        <is>
          <t>Master Ratecard</t>
        </is>
      </c>
      <c r="F137" t="inlineStr">
        <is>
          <t>MANPOWER</t>
        </is>
      </c>
      <c r="G137" t="inlineStr">
        <is>
          <t>Dokumentasi</t>
        </is>
      </c>
      <c r="H137" t="inlineStr">
        <is>
          <t>Foto &amp; Video (Drone)</t>
        </is>
      </c>
      <c r="I137" t="inlineStr">
        <is>
          <t>matt / drone foto video</t>
        </is>
      </c>
      <c r="J137" t="inlineStr">
        <is>
          <t>package/day</t>
        </is>
      </c>
      <c r="L137" t="n">
        <v>2500000</v>
      </c>
      <c r="M137" t="n">
        <v>2500000</v>
      </c>
      <c r="N137">
        <f>IF(COUNT(L137:M137)=0,"",AVERAGE(L137:M137))</f>
        <v/>
      </c>
      <c r="O137" t="n">
        <v>3500000</v>
      </c>
      <c r="P137" t="n">
        <v>3500000</v>
      </c>
      <c r="Q137">
        <f>IF(COUNT(O137:P137)=0,"",AVERAGE(O137:P137))</f>
        <v/>
      </c>
      <c r="R137">
        <f>IF(Q137&lt;&gt;"",Q137,IF(N137&lt;&gt;"",ROUND(N137*(1+$B$2),0),""))</f>
        <v/>
      </c>
      <c r="S137">
        <f>IF(AND(N137&lt;&gt;"",Q137&lt;&gt;"",N137&lt;&gt;0),(Q137-N137)/N137,"")</f>
        <v/>
      </c>
      <c r="T137" t="inlineStr">
        <is>
          <t>2025</t>
        </is>
      </c>
      <c r="V137" t="inlineStr">
        <is>
          <t>Heppiii Skate Day</t>
        </is>
      </c>
      <c r="X137" t="inlineStr">
        <is>
          <t>OK</t>
        </is>
      </c>
      <c r="Y137" t="inlineStr">
        <is>
          <t>foto &amp; video (drone) | package/day</t>
        </is>
      </c>
    </row>
    <row r="138">
      <c r="A138" t="n">
        <v>134</v>
      </c>
      <c r="B138" t="inlineStr">
        <is>
          <t>📦 RATECARD DB</t>
        </is>
      </c>
      <c r="C138" t="n">
        <v>90</v>
      </c>
      <c r="D138" t="inlineStr">
        <is>
          <t>Master Ratecard</t>
        </is>
      </c>
      <c r="F138" t="inlineStr">
        <is>
          <t>MANPOWER</t>
        </is>
      </c>
      <c r="G138" t="inlineStr">
        <is>
          <t>Project Mgmt</t>
        </is>
      </c>
      <c r="H138" t="inlineStr">
        <is>
          <t>Production Manager</t>
        </is>
      </c>
      <c r="J138" t="inlineStr">
        <is>
          <t>person/event</t>
        </is>
      </c>
      <c r="L138" t="n">
        <v>4000000</v>
      </c>
      <c r="M138" t="n">
        <v>4000000</v>
      </c>
      <c r="N138">
        <f>IF(COUNT(L138:M138)=0,"",AVERAGE(L138:M138))</f>
        <v/>
      </c>
      <c r="O138" t="n">
        <v>6000000</v>
      </c>
      <c r="P138" t="n">
        <v>6000000</v>
      </c>
      <c r="Q138">
        <f>IF(COUNT(O138:P138)=0,"",AVERAGE(O138:P138))</f>
        <v/>
      </c>
      <c r="R138">
        <f>IF(Q138&lt;&gt;"",Q138,IF(N138&lt;&gt;"",ROUND(N138*(1+$B$2),0),""))</f>
        <v/>
      </c>
      <c r="S138">
        <f>IF(AND(N138&lt;&gt;"",Q138&lt;&gt;"",N138&lt;&gt;0),(Q138-N138)/N138,"")</f>
        <v/>
      </c>
      <c r="T138" t="inlineStr">
        <is>
          <t>2025</t>
        </is>
      </c>
      <c r="V138" t="inlineStr">
        <is>
          <t>Multi event</t>
        </is>
      </c>
      <c r="X138" t="inlineStr">
        <is>
          <t>OK</t>
        </is>
      </c>
      <c r="Y138" t="inlineStr">
        <is>
          <t>production manager | person/event</t>
        </is>
      </c>
    </row>
    <row r="139">
      <c r="A139" t="n">
        <v>135</v>
      </c>
      <c r="B139" t="inlineStr">
        <is>
          <t>📦 RATECARD DB</t>
        </is>
      </c>
      <c r="C139" t="n">
        <v>89</v>
      </c>
      <c r="D139" t="inlineStr">
        <is>
          <t>Master Ratecard</t>
        </is>
      </c>
      <c r="F139" t="inlineStr">
        <is>
          <t>MANPOWER</t>
        </is>
      </c>
      <c r="G139" t="inlineStr">
        <is>
          <t>Project Mgmt</t>
        </is>
      </c>
      <c r="H139" t="inlineStr">
        <is>
          <t>Project Officer</t>
        </is>
      </c>
      <c r="J139" t="inlineStr">
        <is>
          <t>person/event</t>
        </is>
      </c>
      <c r="L139" t="n">
        <v>8000000</v>
      </c>
      <c r="M139" t="n">
        <v>8000000</v>
      </c>
      <c r="N139">
        <f>IF(COUNT(L139:M139)=0,"",AVERAGE(L139:M139))</f>
        <v/>
      </c>
      <c r="O139" t="n">
        <v>15000000</v>
      </c>
      <c r="P139" t="n">
        <v>15000000</v>
      </c>
      <c r="Q139">
        <f>IF(COUNT(O139:P139)=0,"",AVERAGE(O139:P139))</f>
        <v/>
      </c>
      <c r="R139">
        <f>IF(Q139&lt;&gt;"",Q139,IF(N139&lt;&gt;"",ROUND(N139*(1+$B$2),0),""))</f>
        <v/>
      </c>
      <c r="S139">
        <f>IF(AND(N139&lt;&gt;"",Q139&lt;&gt;"",N139&lt;&gt;0),(Q139-N139)/N139,"")</f>
        <v/>
      </c>
      <c r="T139" t="inlineStr">
        <is>
          <t>2025</t>
        </is>
      </c>
      <c r="V139" t="inlineStr">
        <is>
          <t>Multi event</t>
        </is>
      </c>
      <c r="X139" t="inlineStr">
        <is>
          <t>Potential duplicate x2</t>
        </is>
      </c>
      <c r="Y139" t="inlineStr">
        <is>
          <t>project officer | person/event</t>
        </is>
      </c>
    </row>
    <row r="140">
      <c r="A140" t="n">
        <v>136</v>
      </c>
      <c r="B140" t="inlineStr">
        <is>
          <t>📦 RATECARD DB</t>
        </is>
      </c>
      <c r="C140" t="n">
        <v>102</v>
      </c>
      <c r="D140" t="inlineStr">
        <is>
          <t>Master Ratecard</t>
        </is>
      </c>
      <c r="F140" t="inlineStr">
        <is>
          <t>MANPOWER</t>
        </is>
      </c>
      <c r="G140" t="inlineStr">
        <is>
          <t>Security</t>
        </is>
      </c>
      <c r="H140" t="inlineStr">
        <is>
          <t>Coordinator Internal Guard</t>
        </is>
      </c>
      <c r="J140" t="inlineStr">
        <is>
          <t>person/day</t>
        </is>
      </c>
      <c r="L140" t="n">
        <v>700000</v>
      </c>
      <c r="M140" t="n">
        <v>700000</v>
      </c>
      <c r="N140">
        <f>IF(COUNT(L140:M140)=0,"",AVERAGE(L140:M140))</f>
        <v/>
      </c>
      <c r="O140" t="n">
        <v>1000000</v>
      </c>
      <c r="P140" t="n">
        <v>1000000</v>
      </c>
      <c r="Q140">
        <f>IF(COUNT(O140:P140)=0,"",AVERAGE(O140:P140))</f>
        <v/>
      </c>
      <c r="R140">
        <f>IF(Q140&lt;&gt;"",Q140,IF(N140&lt;&gt;"",ROUND(N140*(1+$B$2),0),""))</f>
        <v/>
      </c>
      <c r="S140">
        <f>IF(AND(N140&lt;&gt;"",Q140&lt;&gt;"",N140&lt;&gt;0),(Q140-N140)/N140,"")</f>
        <v/>
      </c>
      <c r="T140" t="inlineStr">
        <is>
          <t>2025</t>
        </is>
      </c>
      <c r="V140" t="inlineStr">
        <is>
          <t>Kemendikdasmen</t>
        </is>
      </c>
      <c r="X140" t="inlineStr">
        <is>
          <t>OK</t>
        </is>
      </c>
      <c r="Y140" t="inlineStr">
        <is>
          <t>coordinator internal guard | person/day</t>
        </is>
      </c>
    </row>
    <row r="141">
      <c r="A141" t="n">
        <v>137</v>
      </c>
      <c r="B141" t="inlineStr">
        <is>
          <t>📦 RATECARD DB</t>
        </is>
      </c>
      <c r="C141" t="n">
        <v>104</v>
      </c>
      <c r="D141" t="inlineStr">
        <is>
          <t>Master Ratecard</t>
        </is>
      </c>
      <c r="F141" t="inlineStr">
        <is>
          <t>MANPOWER</t>
        </is>
      </c>
      <c r="G141" t="inlineStr">
        <is>
          <t>Security</t>
        </is>
      </c>
      <c r="H141" t="inlineStr">
        <is>
          <t>Crowd Control</t>
        </is>
      </c>
      <c r="J141" t="inlineStr">
        <is>
          <t>person/day</t>
        </is>
      </c>
      <c r="L141" t="n">
        <v>500000</v>
      </c>
      <c r="M141" t="n">
        <v>500000</v>
      </c>
      <c r="N141">
        <f>IF(COUNT(L141:M141)=0,"",AVERAGE(L141:M141))</f>
        <v/>
      </c>
      <c r="O141" t="n">
        <v>700000</v>
      </c>
      <c r="P141" t="n">
        <v>700000</v>
      </c>
      <c r="Q141">
        <f>IF(COUNT(O141:P141)=0,"",AVERAGE(O141:P141))</f>
        <v/>
      </c>
      <c r="R141">
        <f>IF(Q141&lt;&gt;"",Q141,IF(N141&lt;&gt;"",ROUND(N141*(1+$B$2),0),""))</f>
        <v/>
      </c>
      <c r="S141">
        <f>IF(AND(N141&lt;&gt;"",Q141&lt;&gt;"",N141&lt;&gt;0),(Q141-N141)/N141,"")</f>
        <v/>
      </c>
      <c r="T141" t="inlineStr">
        <is>
          <t>2025</t>
        </is>
      </c>
      <c r="V141" t="inlineStr">
        <is>
          <t>Kemendikdasmen</t>
        </is>
      </c>
      <c r="X141" t="inlineStr">
        <is>
          <t>Potential duplicate x2</t>
        </is>
      </c>
      <c r="Y141" t="inlineStr">
        <is>
          <t>crowd control | person/day</t>
        </is>
      </c>
    </row>
    <row r="142">
      <c r="A142" t="n">
        <v>138</v>
      </c>
      <c r="B142" t="inlineStr">
        <is>
          <t>📦 RATECARD DB</t>
        </is>
      </c>
      <c r="C142" t="n">
        <v>103</v>
      </c>
      <c r="D142" t="inlineStr">
        <is>
          <t>Master Ratecard</t>
        </is>
      </c>
      <c r="F142" t="inlineStr">
        <is>
          <t>MANPOWER</t>
        </is>
      </c>
      <c r="G142" t="inlineStr">
        <is>
          <t>Security</t>
        </is>
      </c>
      <c r="H142" t="inlineStr">
        <is>
          <t>Internal Guard</t>
        </is>
      </c>
      <c r="J142" t="inlineStr">
        <is>
          <t>person/day</t>
        </is>
      </c>
      <c r="L142" t="n">
        <v>500000</v>
      </c>
      <c r="M142" t="n">
        <v>500000</v>
      </c>
      <c r="N142">
        <f>IF(COUNT(L142:M142)=0,"",AVERAGE(L142:M142))</f>
        <v/>
      </c>
      <c r="O142" t="n">
        <v>700000</v>
      </c>
      <c r="P142" t="n">
        <v>700000</v>
      </c>
      <c r="Q142">
        <f>IF(COUNT(O142:P142)=0,"",AVERAGE(O142:P142))</f>
        <v/>
      </c>
      <c r="R142">
        <f>IF(Q142&lt;&gt;"",Q142,IF(N142&lt;&gt;"",ROUND(N142*(1+$B$2),0),""))</f>
        <v/>
      </c>
      <c r="S142">
        <f>IF(AND(N142&lt;&gt;"",Q142&lt;&gt;"",N142&lt;&gt;0),(Q142-N142)/N142,"")</f>
        <v/>
      </c>
      <c r="T142" t="inlineStr">
        <is>
          <t>2025</t>
        </is>
      </c>
      <c r="V142" t="inlineStr">
        <is>
          <t>Kemendikdasmen</t>
        </is>
      </c>
      <c r="X142" t="inlineStr">
        <is>
          <t>Potential duplicate x2</t>
        </is>
      </c>
      <c r="Y142" t="inlineStr">
        <is>
          <t>internal guard | person/day</t>
        </is>
      </c>
    </row>
    <row r="143">
      <c r="A143" t="n">
        <v>139</v>
      </c>
      <c r="B143" t="inlineStr">
        <is>
          <t>📦 RATECARD DB</t>
        </is>
      </c>
      <c r="C143" t="n">
        <v>101</v>
      </c>
      <c r="D143" t="inlineStr">
        <is>
          <t>Master Ratecard</t>
        </is>
      </c>
      <c r="F143" t="inlineStr">
        <is>
          <t>MANPOWER</t>
        </is>
      </c>
      <c r="G143" t="inlineStr">
        <is>
          <t>Security</t>
        </is>
      </c>
      <c r="H143" t="inlineStr">
        <is>
          <t>Safety &amp; Security Officer</t>
        </is>
      </c>
      <c r="J143" t="inlineStr">
        <is>
          <t>person/event</t>
        </is>
      </c>
      <c r="L143" t="n">
        <v>5000000</v>
      </c>
      <c r="M143" t="n">
        <v>5000000</v>
      </c>
      <c r="N143">
        <f>IF(COUNT(L143:M143)=0,"",AVERAGE(L143:M143))</f>
        <v/>
      </c>
      <c r="O143" t="n">
        <v>8000000</v>
      </c>
      <c r="P143" t="n">
        <v>8000000</v>
      </c>
      <c r="Q143">
        <f>IF(COUNT(O143:P143)=0,"",AVERAGE(O143:P143))</f>
        <v/>
      </c>
      <c r="R143">
        <f>IF(Q143&lt;&gt;"",Q143,IF(N143&lt;&gt;"",ROUND(N143*(1+$B$2),0),""))</f>
        <v/>
      </c>
      <c r="S143">
        <f>IF(AND(N143&lt;&gt;"",Q143&lt;&gt;"",N143&lt;&gt;0),(Q143-N143)/N143,"")</f>
        <v/>
      </c>
      <c r="T143" t="inlineStr">
        <is>
          <t>2025</t>
        </is>
      </c>
      <c r="V143" t="inlineStr">
        <is>
          <t>Kemendikdasmen</t>
        </is>
      </c>
      <c r="X143" t="inlineStr">
        <is>
          <t>OK</t>
        </is>
      </c>
      <c r="Y143" t="inlineStr">
        <is>
          <t>safety &amp; security officer | person/event</t>
        </is>
      </c>
    </row>
    <row r="144">
      <c r="A144" t="n">
        <v>140</v>
      </c>
      <c r="B144" t="inlineStr">
        <is>
          <t>📦 RATECARD DB</t>
        </is>
      </c>
      <c r="C144" t="n">
        <v>93</v>
      </c>
      <c r="D144" t="inlineStr">
        <is>
          <t>Master Ratecard</t>
        </is>
      </c>
      <c r="F144" t="inlineStr">
        <is>
          <t>MANPOWER</t>
        </is>
      </c>
      <c r="G144" t="inlineStr">
        <is>
          <t>Show Mgmt</t>
        </is>
      </c>
      <c r="H144" t="inlineStr">
        <is>
          <t>Floor Manager</t>
        </is>
      </c>
      <c r="J144" t="inlineStr">
        <is>
          <t>person/event</t>
        </is>
      </c>
      <c r="L144" t="n">
        <v>1000000</v>
      </c>
      <c r="M144" t="n">
        <v>1000000</v>
      </c>
      <c r="N144">
        <f>IF(COUNT(L144:M144)=0,"",AVERAGE(L144:M144))</f>
        <v/>
      </c>
      <c r="O144" t="n">
        <v>1500000</v>
      </c>
      <c r="P144" t="n">
        <v>1500000</v>
      </c>
      <c r="Q144">
        <f>IF(COUNT(O144:P144)=0,"",AVERAGE(O144:P144))</f>
        <v/>
      </c>
      <c r="R144">
        <f>IF(Q144&lt;&gt;"",Q144,IF(N144&lt;&gt;"",ROUND(N144*(1+$B$2),0),""))</f>
        <v/>
      </c>
      <c r="S144">
        <f>IF(AND(N144&lt;&gt;"",Q144&lt;&gt;"",N144&lt;&gt;0),(Q144-N144)/N144,"")</f>
        <v/>
      </c>
      <c r="T144" t="inlineStr">
        <is>
          <t>2025</t>
        </is>
      </c>
      <c r="V144" t="inlineStr">
        <is>
          <t>Heppiii Skate Day</t>
        </is>
      </c>
      <c r="X144" t="inlineStr">
        <is>
          <t>OK</t>
        </is>
      </c>
      <c r="Y144" t="inlineStr">
        <is>
          <t>floor manager | person/event</t>
        </is>
      </c>
    </row>
    <row r="145">
      <c r="A145" t="n">
        <v>141</v>
      </c>
      <c r="B145" t="inlineStr">
        <is>
          <t>📦 RATECARD DB</t>
        </is>
      </c>
      <c r="C145" t="n">
        <v>94</v>
      </c>
      <c r="D145" t="inlineStr">
        <is>
          <t>Master Ratecard</t>
        </is>
      </c>
      <c r="F145" t="inlineStr">
        <is>
          <t>MANPOWER</t>
        </is>
      </c>
      <c r="G145" t="inlineStr">
        <is>
          <t>Show Mgmt</t>
        </is>
      </c>
      <c r="H145" t="inlineStr">
        <is>
          <t>MC Briefer / Rundown Director</t>
        </is>
      </c>
      <c r="J145" t="inlineStr">
        <is>
          <t>person/event</t>
        </is>
      </c>
      <c r="L145" t="n">
        <v>1000000</v>
      </c>
      <c r="M145" t="n">
        <v>1000000</v>
      </c>
      <c r="N145">
        <f>IF(COUNT(L145:M145)=0,"",AVERAGE(L145:M145))</f>
        <v/>
      </c>
      <c r="O145" t="n">
        <v>1500000</v>
      </c>
      <c r="P145" t="n">
        <v>1500000</v>
      </c>
      <c r="Q145">
        <f>IF(COUNT(O145:P145)=0,"",AVERAGE(O145:P145))</f>
        <v/>
      </c>
      <c r="R145">
        <f>IF(Q145&lt;&gt;"",Q145,IF(N145&lt;&gt;"",ROUND(N145*(1+$B$2),0),""))</f>
        <v/>
      </c>
      <c r="S145">
        <f>IF(AND(N145&lt;&gt;"",Q145&lt;&gt;"",N145&lt;&gt;0),(Q145-N145)/N145,"")</f>
        <v/>
      </c>
      <c r="T145" t="inlineStr">
        <is>
          <t>2025</t>
        </is>
      </c>
      <c r="V145" t="inlineStr">
        <is>
          <t>Multi event</t>
        </is>
      </c>
      <c r="X145" t="inlineStr">
        <is>
          <t>OK</t>
        </is>
      </c>
      <c r="Y145" t="inlineStr">
        <is>
          <t>mc briefer / rundown director | person/event</t>
        </is>
      </c>
    </row>
    <row r="146">
      <c r="A146" t="n">
        <v>142</v>
      </c>
      <c r="B146" t="inlineStr">
        <is>
          <t>📦 RATECARD DB</t>
        </is>
      </c>
      <c r="C146" t="n">
        <v>91</v>
      </c>
      <c r="D146" t="inlineStr">
        <is>
          <t>Master Ratecard</t>
        </is>
      </c>
      <c r="F146" t="inlineStr">
        <is>
          <t>MANPOWER</t>
        </is>
      </c>
      <c r="G146" t="inlineStr">
        <is>
          <t>Show Mgmt</t>
        </is>
      </c>
      <c r="H146" t="inlineStr">
        <is>
          <t>Show Director</t>
        </is>
      </c>
      <c r="J146" t="inlineStr">
        <is>
          <t>person/event</t>
        </is>
      </c>
      <c r="L146" t="n">
        <v>2000000</v>
      </c>
      <c r="M146" t="n">
        <v>2000000</v>
      </c>
      <c r="N146">
        <f>IF(COUNT(L146:M146)=0,"",AVERAGE(L146:M146))</f>
        <v/>
      </c>
      <c r="O146" t="n">
        <v>3500000</v>
      </c>
      <c r="P146" t="n">
        <v>3500000</v>
      </c>
      <c r="Q146">
        <f>IF(COUNT(O146:P146)=0,"",AVERAGE(O146:P146))</f>
        <v/>
      </c>
      <c r="R146">
        <f>IF(Q146&lt;&gt;"",Q146,IF(N146&lt;&gt;"",ROUND(N146*(1+$B$2),0),""))</f>
        <v/>
      </c>
      <c r="S146">
        <f>IF(AND(N146&lt;&gt;"",Q146&lt;&gt;"",N146&lt;&gt;0),(Q146-N146)/N146,"")</f>
        <v/>
      </c>
      <c r="T146" t="inlineStr">
        <is>
          <t>2025</t>
        </is>
      </c>
      <c r="V146" t="inlineStr">
        <is>
          <t>Heppiii Skate Day</t>
        </is>
      </c>
      <c r="X146" t="inlineStr">
        <is>
          <t>Potential duplicate x2</t>
        </is>
      </c>
      <c r="Y146" t="inlineStr">
        <is>
          <t>show director | person/event</t>
        </is>
      </c>
    </row>
    <row r="147">
      <c r="A147" t="n">
        <v>143</v>
      </c>
      <c r="B147" t="inlineStr">
        <is>
          <t>📦 RATECARD DB</t>
        </is>
      </c>
      <c r="C147" t="n">
        <v>92</v>
      </c>
      <c r="D147" t="inlineStr">
        <is>
          <t>Master Ratecard</t>
        </is>
      </c>
      <c r="F147" t="inlineStr">
        <is>
          <t>MANPOWER</t>
        </is>
      </c>
      <c r="G147" t="inlineStr">
        <is>
          <t>Show Mgmt</t>
        </is>
      </c>
      <c r="H147" t="inlineStr">
        <is>
          <t>Stage Manager</t>
        </is>
      </c>
      <c r="J147" t="inlineStr">
        <is>
          <t>person/event</t>
        </is>
      </c>
      <c r="L147" t="n">
        <v>1200000</v>
      </c>
      <c r="M147" t="n">
        <v>1200000</v>
      </c>
      <c r="N147">
        <f>IF(COUNT(L147:M147)=0,"",AVERAGE(L147:M147))</f>
        <v/>
      </c>
      <c r="O147" t="n">
        <v>2000000</v>
      </c>
      <c r="P147" t="n">
        <v>2000000</v>
      </c>
      <c r="Q147">
        <f>IF(COUNT(O147:P147)=0,"",AVERAGE(O147:P147))</f>
        <v/>
      </c>
      <c r="R147">
        <f>IF(Q147&lt;&gt;"",Q147,IF(N147&lt;&gt;"",ROUND(N147*(1+$B$2),0),""))</f>
        <v/>
      </c>
      <c r="S147">
        <f>IF(AND(N147&lt;&gt;"",Q147&lt;&gt;"",N147&lt;&gt;0),(Q147-N147)/N147,"")</f>
        <v/>
      </c>
      <c r="T147" t="inlineStr">
        <is>
          <t>2025</t>
        </is>
      </c>
      <c r="V147" t="inlineStr">
        <is>
          <t>Multi event</t>
        </is>
      </c>
      <c r="X147" t="inlineStr">
        <is>
          <t>Potential duplicate x2</t>
        </is>
      </c>
      <c r="Y147" t="inlineStr">
        <is>
          <t>stage manager | person/event</t>
        </is>
      </c>
    </row>
    <row r="148">
      <c r="A148" t="n">
        <v>144</v>
      </c>
      <c r="B148" t="inlineStr">
        <is>
          <t>📦 RATECARD DB</t>
        </is>
      </c>
      <c r="C148" t="n">
        <v>95</v>
      </c>
      <c r="D148" t="inlineStr">
        <is>
          <t>Master Ratecard</t>
        </is>
      </c>
      <c r="F148" t="inlineStr">
        <is>
          <t>MANPOWER</t>
        </is>
      </c>
      <c r="G148" t="inlineStr">
        <is>
          <t>Show Mgmt</t>
        </is>
      </c>
      <c r="H148" t="inlineStr">
        <is>
          <t>Visual Jockey (VJ)</t>
        </is>
      </c>
      <c r="J148" t="inlineStr">
        <is>
          <t>person/event</t>
        </is>
      </c>
      <c r="L148" t="n">
        <v>1000000</v>
      </c>
      <c r="M148" t="n">
        <v>1000000</v>
      </c>
      <c r="N148">
        <f>IF(COUNT(L148:M148)=0,"",AVERAGE(L148:M148))</f>
        <v/>
      </c>
      <c r="O148" t="n">
        <v>1500000</v>
      </c>
      <c r="P148" t="n">
        <v>1500000</v>
      </c>
      <c r="Q148">
        <f>IF(COUNT(O148:P148)=0,"",AVERAGE(O148:P148))</f>
        <v/>
      </c>
      <c r="R148">
        <f>IF(Q148&lt;&gt;"",Q148,IF(N148&lt;&gt;"",ROUND(N148*(1+$B$2),0),""))</f>
        <v/>
      </c>
      <c r="S148">
        <f>IF(AND(N148&lt;&gt;"",Q148&lt;&gt;"",N148&lt;&gt;0),(Q148-N148)/N148,"")</f>
        <v/>
      </c>
      <c r="T148" t="inlineStr">
        <is>
          <t>2025</t>
        </is>
      </c>
      <c r="V148" t="inlineStr">
        <is>
          <t>Heppiii Skate Day</t>
        </is>
      </c>
      <c r="X148" t="inlineStr">
        <is>
          <t>OK</t>
        </is>
      </c>
      <c r="Y148" t="inlineStr">
        <is>
          <t>visual jockey (vj) | person/event</t>
        </is>
      </c>
    </row>
    <row r="149">
      <c r="A149" t="n">
        <v>145</v>
      </c>
      <c r="B149" t="inlineStr">
        <is>
          <t>📦 RATECARD DB</t>
        </is>
      </c>
      <c r="C149" t="n">
        <v>106</v>
      </c>
      <c r="D149" t="inlineStr">
        <is>
          <t>Master Ratecard</t>
        </is>
      </c>
      <c r="F149" t="inlineStr">
        <is>
          <t>MANPOWER</t>
        </is>
      </c>
      <c r="G149" t="inlineStr">
        <is>
          <t>VVIP</t>
        </is>
      </c>
      <c r="H149" t="inlineStr">
        <is>
          <t>Paspampres Liaison</t>
        </is>
      </c>
      <c r="J149" t="inlineStr">
        <is>
          <t>person/event</t>
        </is>
      </c>
      <c r="L149" t="n">
        <v>8000000</v>
      </c>
      <c r="M149" t="n">
        <v>8000000</v>
      </c>
      <c r="N149">
        <f>IF(COUNT(L149:M149)=0,"",AVERAGE(L149:M149))</f>
        <v/>
      </c>
      <c r="O149" t="n">
        <v>12500000</v>
      </c>
      <c r="P149" t="n">
        <v>12500000</v>
      </c>
      <c r="Q149">
        <f>IF(COUNT(O149:P149)=0,"",AVERAGE(O149:P149))</f>
        <v/>
      </c>
      <c r="R149">
        <f>IF(Q149&lt;&gt;"",Q149,IF(N149&lt;&gt;"",ROUND(N149*(1+$B$2),0),""))</f>
        <v/>
      </c>
      <c r="S149">
        <f>IF(AND(N149&lt;&gt;"",Q149&lt;&gt;"",N149&lt;&gt;0),(Q149-N149)/N149,"")</f>
        <v/>
      </c>
      <c r="T149" t="inlineStr">
        <is>
          <t>2025</t>
        </is>
      </c>
      <c r="V149" t="inlineStr">
        <is>
          <t>Kemendikdasmen</t>
        </is>
      </c>
      <c r="X149" t="inlineStr">
        <is>
          <t>Potential duplicate x2</t>
        </is>
      </c>
      <c r="Y149" t="inlineStr">
        <is>
          <t>paspampres liaison | person/event</t>
        </is>
      </c>
    </row>
    <row r="150">
      <c r="A150" t="n">
        <v>146</v>
      </c>
      <c r="B150" t="inlineStr">
        <is>
          <t>📦 RATECARD DB</t>
        </is>
      </c>
      <c r="C150" t="n">
        <v>105</v>
      </c>
      <c r="D150" t="inlineStr">
        <is>
          <t>Master Ratecard</t>
        </is>
      </c>
      <c r="F150" t="inlineStr">
        <is>
          <t>MANPOWER</t>
        </is>
      </c>
      <c r="G150" t="inlineStr">
        <is>
          <t>VVIP</t>
        </is>
      </c>
      <c r="H150" t="inlineStr">
        <is>
          <t>Protokoler Liaison</t>
        </is>
      </c>
      <c r="J150" t="inlineStr">
        <is>
          <t>person/event</t>
        </is>
      </c>
      <c r="L150" t="n">
        <v>8000000</v>
      </c>
      <c r="M150" t="n">
        <v>8000000</v>
      </c>
      <c r="N150">
        <f>IF(COUNT(L150:M150)=0,"",AVERAGE(L150:M150))</f>
        <v/>
      </c>
      <c r="O150" t="n">
        <v>12500000</v>
      </c>
      <c r="P150" t="n">
        <v>12500000</v>
      </c>
      <c r="Q150">
        <f>IF(COUNT(O150:P150)=0,"",AVERAGE(O150:P150))</f>
        <v/>
      </c>
      <c r="R150">
        <f>IF(Q150&lt;&gt;"",Q150,IF(N150&lt;&gt;"",ROUND(N150*(1+$B$2),0),""))</f>
        <v/>
      </c>
      <c r="S150">
        <f>IF(AND(N150&lt;&gt;"",Q150&lt;&gt;"",N150&lt;&gt;0),(Q150-N150)/N150,"")</f>
        <v/>
      </c>
      <c r="T150" t="inlineStr">
        <is>
          <t>2025</t>
        </is>
      </c>
      <c r="V150" t="inlineStr">
        <is>
          <t>Kemendikdasmen</t>
        </is>
      </c>
      <c r="X150" t="inlineStr">
        <is>
          <t>Potential duplicate x2</t>
        </is>
      </c>
      <c r="Y150" t="inlineStr">
        <is>
          <t>protokoler liaison | person/event</t>
        </is>
      </c>
    </row>
    <row r="151">
      <c r="A151" t="n">
        <v>147</v>
      </c>
      <c r="B151" t="inlineStr">
        <is>
          <t>📦 RATECARD DB</t>
        </is>
      </c>
      <c r="C151" t="n">
        <v>108</v>
      </c>
      <c r="D151" t="inlineStr">
        <is>
          <t>Master Ratecard</t>
        </is>
      </c>
      <c r="F151" t="inlineStr">
        <is>
          <t>MANPOWER</t>
        </is>
      </c>
      <c r="G151" t="inlineStr">
        <is>
          <t>VVIP</t>
        </is>
      </c>
      <c r="H151" t="inlineStr">
        <is>
          <t>Usher</t>
        </is>
      </c>
      <c r="J151" t="inlineStr">
        <is>
          <t>person/day</t>
        </is>
      </c>
      <c r="L151" t="n">
        <v>1000000</v>
      </c>
      <c r="M151" t="n">
        <v>1000000</v>
      </c>
      <c r="N151">
        <f>IF(COUNT(L151:M151)=0,"",AVERAGE(L151:M151))</f>
        <v/>
      </c>
      <c r="O151" t="n">
        <v>1500000</v>
      </c>
      <c r="P151" t="n">
        <v>1500000</v>
      </c>
      <c r="Q151">
        <f>IF(COUNT(O151:P151)=0,"",AVERAGE(O151:P151))</f>
        <v/>
      </c>
      <c r="R151">
        <f>IF(Q151&lt;&gt;"",Q151,IF(N151&lt;&gt;"",ROUND(N151*(1+$B$2),0),""))</f>
        <v/>
      </c>
      <c r="S151">
        <f>IF(AND(N151&lt;&gt;"",Q151&lt;&gt;"",N151&lt;&gt;0),(Q151-N151)/N151,"")</f>
        <v/>
      </c>
      <c r="T151" t="inlineStr">
        <is>
          <t>2025</t>
        </is>
      </c>
      <c r="V151" t="inlineStr">
        <is>
          <t>Kemendikdasmen</t>
        </is>
      </c>
      <c r="X151" t="inlineStr">
        <is>
          <t>Potential duplicate x2</t>
        </is>
      </c>
      <c r="Y151" t="inlineStr">
        <is>
          <t>usher | person/day</t>
        </is>
      </c>
    </row>
    <row r="152">
      <c r="A152" t="n">
        <v>148</v>
      </c>
      <c r="B152" t="inlineStr">
        <is>
          <t>📦 RATECARD DB</t>
        </is>
      </c>
      <c r="C152" t="n">
        <v>107</v>
      </c>
      <c r="D152" t="inlineStr">
        <is>
          <t>Master Ratecard</t>
        </is>
      </c>
      <c r="F152" t="inlineStr">
        <is>
          <t>MANPOWER</t>
        </is>
      </c>
      <c r="G152" t="inlineStr">
        <is>
          <t>VVIP</t>
        </is>
      </c>
      <c r="H152" t="inlineStr">
        <is>
          <t>VVIP Escort</t>
        </is>
      </c>
      <c r="J152" t="inlineStr">
        <is>
          <t>person/event</t>
        </is>
      </c>
      <c r="L152" t="n">
        <v>2000000</v>
      </c>
      <c r="M152" t="n">
        <v>2000000</v>
      </c>
      <c r="N152">
        <f>IF(COUNT(L152:M152)=0,"",AVERAGE(L152:M152))</f>
        <v/>
      </c>
      <c r="O152" t="n">
        <v>3500000</v>
      </c>
      <c r="P152" t="n">
        <v>3500000</v>
      </c>
      <c r="Q152">
        <f>IF(COUNT(O152:P152)=0,"",AVERAGE(O152:P152))</f>
        <v/>
      </c>
      <c r="R152">
        <f>IF(Q152&lt;&gt;"",Q152,IF(N152&lt;&gt;"",ROUND(N152*(1+$B$2),0),""))</f>
        <v/>
      </c>
      <c r="S152">
        <f>IF(AND(N152&lt;&gt;"",Q152&lt;&gt;"",N152&lt;&gt;0),(Q152-N152)/N152,"")</f>
        <v/>
      </c>
      <c r="T152" t="inlineStr">
        <is>
          <t>2025</t>
        </is>
      </c>
      <c r="V152" t="inlineStr">
        <is>
          <t>Kemendikdasmen</t>
        </is>
      </c>
      <c r="X152" t="inlineStr">
        <is>
          <t>OK</t>
        </is>
      </c>
      <c r="Y152" t="inlineStr">
        <is>
          <t>vvip escort | person/event</t>
        </is>
      </c>
    </row>
    <row r="153">
      <c r="A153" t="n">
        <v>149</v>
      </c>
      <c r="B153" t="inlineStr">
        <is>
          <t>📋 PO &amp; RFP DATA</t>
        </is>
      </c>
      <c r="C153" t="n">
        <v>59</v>
      </c>
      <c r="D153" t="inlineStr">
        <is>
          <t>PO/RFP HPP</t>
        </is>
      </c>
      <c r="E153" t="inlineStr">
        <is>
          <t>Internal Team</t>
        </is>
      </c>
      <c r="F153" t="inlineStr">
        <is>
          <t>Manpower</t>
        </is>
      </c>
      <c r="H153" t="inlineStr">
        <is>
          <t>CA Logistik (uang muka operasional)</t>
        </is>
      </c>
      <c r="I153" t="inlineStr">
        <is>
          <t>per event</t>
        </is>
      </c>
      <c r="J153" t="inlineStr">
        <is>
          <t>pckg</t>
        </is>
      </c>
      <c r="K153" t="inlineStr">
        <is>
          <t>1</t>
        </is>
      </c>
      <c r="L153" t="n">
        <v>500000</v>
      </c>
      <c r="M153" t="n">
        <v>500000</v>
      </c>
      <c r="N153">
        <f>IF(COUNT(L153:M153)=0,"",AVERAGE(L153:M153))</f>
        <v/>
      </c>
      <c r="Q153">
        <f>IF(COUNT(O153:P153)=0,"",AVERAGE(O153:P153))</f>
        <v/>
      </c>
      <c r="R153">
        <f>IF(Q153&lt;&gt;"",Q153,IF(N153&lt;&gt;"",ROUND(N153*(1+$B$2),0),""))</f>
        <v/>
      </c>
      <c r="S153">
        <f>IF(AND(N153&lt;&gt;"",Q153&lt;&gt;"",N153&lt;&gt;0),(Q153-N153)/N153,"")</f>
        <v/>
      </c>
      <c r="T153" t="inlineStr">
        <is>
          <t>2026</t>
        </is>
      </c>
      <c r="U153" t="inlineStr">
        <is>
          <t>GAPEMPI Mandarin Oriental</t>
        </is>
      </c>
      <c r="X153" t="inlineStr">
        <is>
          <t>OK</t>
        </is>
      </c>
      <c r="Y153" t="inlineStr">
        <is>
          <t>ca logistik (uang muka operasional) | pckg</t>
        </is>
      </c>
    </row>
    <row r="154">
      <c r="A154" t="n">
        <v>150</v>
      </c>
      <c r="B154" t="inlineStr">
        <is>
          <t>🕌 MUI EVENT DATA</t>
        </is>
      </c>
      <c r="C154" t="n">
        <v>90</v>
      </c>
      <c r="D154" t="inlineStr">
        <is>
          <t>MUI Real Cost</t>
        </is>
      </c>
      <c r="E154" t="inlineStr">
        <is>
          <t>Syahrul Bekti</t>
        </is>
      </c>
      <c r="F154" t="inlineStr">
        <is>
          <t>Manpower</t>
        </is>
      </c>
      <c r="H154" t="inlineStr">
        <is>
          <t>Crew Kebersihan (paket 50 orang)</t>
        </is>
      </c>
      <c r="I154" t="inlineStr">
        <is>
          <t>7 Feb 2026</t>
        </is>
      </c>
      <c r="J154" t="inlineStr">
        <is>
          <t>team</t>
        </is>
      </c>
      <c r="K154" t="inlineStr">
        <is>
          <t>1</t>
        </is>
      </c>
      <c r="L154" t="n">
        <v>12500000</v>
      </c>
      <c r="M154" t="n">
        <v>12500000</v>
      </c>
      <c r="N154">
        <f>IF(COUNT(L154:M154)=0,"",AVERAGE(L154:M154))</f>
        <v/>
      </c>
      <c r="Q154">
        <f>IF(COUNT(O154:P154)=0,"",AVERAGE(O154:P154))</f>
        <v/>
      </c>
      <c r="R154">
        <f>IF(Q154&lt;&gt;"",Q154,IF(N154&lt;&gt;"",ROUND(N154*(1+$B$2),0),""))</f>
        <v/>
      </c>
      <c r="S154">
        <f>IF(AND(N154&lt;&gt;"",Q154&lt;&gt;"",N154&lt;&gt;0),(Q154-N154)/N154,"")</f>
        <v/>
      </c>
      <c r="T154" t="inlineStr">
        <is>
          <t>2026</t>
        </is>
      </c>
      <c r="U154" t="inlineStr">
        <is>
          <t>MUI Istiqlal 2026</t>
        </is>
      </c>
      <c r="V154" t="inlineStr">
        <is>
          <t>SPK 22/JBBS/SPK-MUI/II/2026</t>
        </is>
      </c>
      <c r="X154" t="inlineStr">
        <is>
          <t>OK</t>
        </is>
      </c>
      <c r="Y154" t="inlineStr">
        <is>
          <t>crew kebersihan (paket 50 orang) | team</t>
        </is>
      </c>
    </row>
    <row r="155">
      <c r="A155" t="n">
        <v>151</v>
      </c>
      <c r="B155" t="inlineStr">
        <is>
          <t>🕌 MUI EVENT DATA</t>
        </is>
      </c>
      <c r="C155" t="n">
        <v>107</v>
      </c>
      <c r="D155" t="inlineStr">
        <is>
          <t>MUI Real Cost</t>
        </is>
      </c>
      <c r="E155" t="inlineStr">
        <is>
          <t>Internal</t>
        </is>
      </c>
      <c r="F155" t="inlineStr">
        <is>
          <t>Manpower</t>
        </is>
      </c>
      <c r="H155" t="inlineStr">
        <is>
          <t>Crowd Control</t>
        </is>
      </c>
      <c r="I155" t="inlineStr">
        <is>
          <t>per orang per hari</t>
        </is>
      </c>
      <c r="J155" t="inlineStr">
        <is>
          <t>person/day</t>
        </is>
      </c>
      <c r="K155" t="inlineStr">
        <is>
          <t>1</t>
        </is>
      </c>
      <c r="L155" t="n">
        <v>350000</v>
      </c>
      <c r="M155" t="n">
        <v>350000</v>
      </c>
      <c r="N155">
        <f>IF(COUNT(L155:M155)=0,"",AVERAGE(L155:M155))</f>
        <v/>
      </c>
      <c r="Q155">
        <f>IF(COUNT(O155:P155)=0,"",AVERAGE(O155:P155))</f>
        <v/>
      </c>
      <c r="R155">
        <f>IF(Q155&lt;&gt;"",Q155,IF(N155&lt;&gt;"",ROUND(N155*(1+$B$2),0),""))</f>
        <v/>
      </c>
      <c r="S155">
        <f>IF(AND(N155&lt;&gt;"",Q155&lt;&gt;"",N155&lt;&gt;0),(Q155-N155)/N155,"")</f>
        <v/>
      </c>
      <c r="T155" t="inlineStr">
        <is>
          <t>2026</t>
        </is>
      </c>
      <c r="U155" t="inlineStr">
        <is>
          <t>MUI Istiqlal 2026</t>
        </is>
      </c>
      <c r="V155" t="inlineStr">
        <is>
          <t>Real-CE MUI</t>
        </is>
      </c>
      <c r="X155" t="inlineStr">
        <is>
          <t>Potential duplicate x2</t>
        </is>
      </c>
      <c r="Y155" t="inlineStr">
        <is>
          <t>crowd control | person/day</t>
        </is>
      </c>
    </row>
    <row r="156">
      <c r="A156" t="n">
        <v>152</v>
      </c>
      <c r="B156" t="inlineStr">
        <is>
          <t>🕌 MUI EVENT DATA</t>
        </is>
      </c>
      <c r="C156" t="n">
        <v>88</v>
      </c>
      <c r="D156" t="inlineStr">
        <is>
          <t>MUI Real Cost</t>
        </is>
      </c>
      <c r="E156" t="inlineStr">
        <is>
          <t>M Fikri Mahadika</t>
        </is>
      </c>
      <c r="F156" t="inlineStr">
        <is>
          <t>Manpower</t>
        </is>
      </c>
      <c r="H156" t="inlineStr">
        <is>
          <t>Designer 2D</t>
        </is>
      </c>
      <c r="I156" t="inlineStr">
        <is>
          <t>25 Jan - 7 Feb 2026</t>
        </is>
      </c>
      <c r="J156" t="inlineStr">
        <is>
          <t>person/event</t>
        </is>
      </c>
      <c r="K156" t="inlineStr">
        <is>
          <t>1</t>
        </is>
      </c>
      <c r="L156" t="n">
        <v>5000000</v>
      </c>
      <c r="M156" t="n">
        <v>5000000</v>
      </c>
      <c r="N156">
        <f>IF(COUNT(L156:M156)=0,"",AVERAGE(L156:M156))</f>
        <v/>
      </c>
      <c r="Q156">
        <f>IF(COUNT(O156:P156)=0,"",AVERAGE(O156:P156))</f>
        <v/>
      </c>
      <c r="R156">
        <f>IF(Q156&lt;&gt;"",Q156,IF(N156&lt;&gt;"",ROUND(N156*(1+$B$2),0),""))</f>
        <v/>
      </c>
      <c r="S156">
        <f>IF(AND(N156&lt;&gt;"",Q156&lt;&gt;"",N156&lt;&gt;0),(Q156-N156)/N156,"")</f>
        <v/>
      </c>
      <c r="T156" t="inlineStr">
        <is>
          <t>2026</t>
        </is>
      </c>
      <c r="U156" t="inlineStr">
        <is>
          <t>MUI Istiqlal 2026</t>
        </is>
      </c>
      <c r="V156" t="inlineStr">
        <is>
          <t>SPK 24/JBBS/SPK-MUI/II/2026</t>
        </is>
      </c>
      <c r="X156" t="inlineStr">
        <is>
          <t>OK</t>
        </is>
      </c>
      <c r="Y156" t="inlineStr">
        <is>
          <t>designer 2d | person/event</t>
        </is>
      </c>
    </row>
    <row r="157">
      <c r="A157" t="n">
        <v>153</v>
      </c>
      <c r="B157" t="inlineStr">
        <is>
          <t>🕌 MUI EVENT DATA</t>
        </is>
      </c>
      <c r="C157" t="n">
        <v>87</v>
      </c>
      <c r="D157" t="inlineStr">
        <is>
          <t>MUI Real Cost</t>
        </is>
      </c>
      <c r="E157" t="inlineStr">
        <is>
          <t>Harti Kusmiran</t>
        </is>
      </c>
      <c r="F157" t="inlineStr">
        <is>
          <t>Manpower</t>
        </is>
      </c>
      <c r="H157" t="inlineStr">
        <is>
          <t>Designer 3D</t>
        </is>
      </c>
      <c r="I157" t="inlineStr">
        <is>
          <t>25 Jan - 7 Feb 2026</t>
        </is>
      </c>
      <c r="J157" t="inlineStr">
        <is>
          <t>person/event</t>
        </is>
      </c>
      <c r="K157" t="inlineStr">
        <is>
          <t>1</t>
        </is>
      </c>
      <c r="L157" t="n">
        <v>5000000</v>
      </c>
      <c r="M157" t="n">
        <v>5000000</v>
      </c>
      <c r="N157">
        <f>IF(COUNT(L157:M157)=0,"",AVERAGE(L157:M157))</f>
        <v/>
      </c>
      <c r="Q157">
        <f>IF(COUNT(O157:P157)=0,"",AVERAGE(O157:P157))</f>
        <v/>
      </c>
      <c r="R157">
        <f>IF(Q157&lt;&gt;"",Q157,IF(N157&lt;&gt;"",ROUND(N157*(1+$B$2),0),""))</f>
        <v/>
      </c>
      <c r="S157">
        <f>IF(AND(N157&lt;&gt;"",Q157&lt;&gt;"",N157&lt;&gt;0),(Q157-N157)/N157,"")</f>
        <v/>
      </c>
      <c r="T157" t="inlineStr">
        <is>
          <t>2026</t>
        </is>
      </c>
      <c r="U157" t="inlineStr">
        <is>
          <t>MUI Istiqlal 2026</t>
        </is>
      </c>
      <c r="V157" t="inlineStr">
        <is>
          <t>SPK 25/JBBS/SPK-MUI/II/2026</t>
        </is>
      </c>
      <c r="X157" t="inlineStr">
        <is>
          <t>OK</t>
        </is>
      </c>
      <c r="Y157" t="inlineStr">
        <is>
          <t>designer 3d | person/event</t>
        </is>
      </c>
    </row>
    <row r="158">
      <c r="A158" t="n">
        <v>154</v>
      </c>
      <c r="B158" t="inlineStr">
        <is>
          <t>💰 HPP VENDOR</t>
        </is>
      </c>
      <c r="C158" t="n">
        <v>18</v>
      </c>
      <c r="D158" t="inlineStr">
        <is>
          <t>Vendor HPP</t>
        </is>
      </c>
      <c r="E158" t="inlineStr">
        <is>
          <t>Dinamix Production</t>
        </is>
      </c>
      <c r="F158" t="inlineStr">
        <is>
          <t>Manpower</t>
        </is>
      </c>
      <c r="H158" t="inlineStr">
        <is>
          <t>Event Crew / Runner</t>
        </is>
      </c>
      <c r="J158" t="inlineStr">
        <is>
          <t>pax</t>
        </is>
      </c>
      <c r="K158" t="inlineStr">
        <is>
          <t>1</t>
        </is>
      </c>
      <c r="L158" t="n">
        <v>450000</v>
      </c>
      <c r="M158" t="n">
        <v>450000</v>
      </c>
      <c r="N158">
        <f>IF(COUNT(L158:M158)=0,"",AVERAGE(L158:M158))</f>
        <v/>
      </c>
      <c r="Q158">
        <f>IF(COUNT(O158:P158)=0,"",AVERAGE(O158:P158))</f>
        <v/>
      </c>
      <c r="R158">
        <f>IF(Q158&lt;&gt;"",Q158,IF(N158&lt;&gt;"",ROUND(N158*(1+$B$2),0),""))</f>
        <v/>
      </c>
      <c r="S158">
        <f>IF(AND(N158&lt;&gt;"",Q158&lt;&gt;"",N158&lt;&gt;0),(Q158-N158)/N158,"")</f>
        <v/>
      </c>
      <c r="T158" t="inlineStr">
        <is>
          <t>2025</t>
        </is>
      </c>
      <c r="U158" t="inlineStr">
        <is>
          <t>Sunpride Bandung</t>
        </is>
      </c>
      <c r="V158" t="inlineStr">
        <is>
          <t>HPP Vendor</t>
        </is>
      </c>
      <c r="W158" t="inlineStr">
        <is>
          <t>per orang</t>
        </is>
      </c>
      <c r="X158" t="inlineStr">
        <is>
          <t>OK</t>
        </is>
      </c>
      <c r="Y158" t="inlineStr">
        <is>
          <t>event crew / runner | pax</t>
        </is>
      </c>
    </row>
    <row r="159">
      <c r="A159" t="n">
        <v>155</v>
      </c>
      <c r="B159" t="inlineStr">
        <is>
          <t>📋 PO &amp; RFP DATA</t>
        </is>
      </c>
      <c r="C159" t="n">
        <v>61</v>
      </c>
      <c r="D159" t="inlineStr">
        <is>
          <t>PO/RFP HPP</t>
        </is>
      </c>
      <c r="E159" t="inlineStr">
        <is>
          <t>Internal Team</t>
        </is>
      </c>
      <c r="F159" t="inlineStr">
        <is>
          <t>Manpower</t>
        </is>
      </c>
      <c r="H159" t="inlineStr">
        <is>
          <t>Fee Produksi Team (EL BRAMO)</t>
        </is>
      </c>
      <c r="I159" t="inlineStr">
        <is>
          <t>show management crew</t>
        </is>
      </c>
      <c r="J159" t="inlineStr">
        <is>
          <t>paket</t>
        </is>
      </c>
      <c r="K159" t="inlineStr">
        <is>
          <t>1</t>
        </is>
      </c>
      <c r="L159" t="n">
        <v>5500000</v>
      </c>
      <c r="M159" t="n">
        <v>5500000</v>
      </c>
      <c r="N159">
        <f>IF(COUNT(L159:M159)=0,"",AVERAGE(L159:M159))</f>
        <v/>
      </c>
      <c r="Q159">
        <f>IF(COUNT(O159:P159)=0,"",AVERAGE(O159:P159))</f>
        <v/>
      </c>
      <c r="R159">
        <f>IF(Q159&lt;&gt;"",Q159,IF(N159&lt;&gt;"",ROUND(N159*(1+$B$2),0),""))</f>
        <v/>
      </c>
      <c r="S159">
        <f>IF(AND(N159&lt;&gt;"",Q159&lt;&gt;"",N159&lt;&gt;0),(Q159-N159)/N159,"")</f>
        <v/>
      </c>
      <c r="T159" t="inlineStr">
        <is>
          <t>2026</t>
        </is>
      </c>
      <c r="U159" t="inlineStr">
        <is>
          <t>GAPEMPI Mandarin Oriental</t>
        </is>
      </c>
      <c r="V159" t="inlineStr">
        <is>
          <t>SPK 11/JBBS/SPK-GAGEMPI</t>
        </is>
      </c>
      <c r="X159" t="inlineStr">
        <is>
          <t>OK</t>
        </is>
      </c>
      <c r="Y159" t="inlineStr">
        <is>
          <t>fee produksi team (el bramo) | paket</t>
        </is>
      </c>
    </row>
    <row r="160">
      <c r="A160" t="n">
        <v>156</v>
      </c>
      <c r="B160" t="inlineStr">
        <is>
          <t>🕌 MUI EVENT DATA</t>
        </is>
      </c>
      <c r="C160" t="n">
        <v>103</v>
      </c>
      <c r="D160" t="inlineStr">
        <is>
          <t>MUI Real Cost</t>
        </is>
      </c>
      <c r="E160" t="inlineStr">
        <is>
          <t>Internal</t>
        </is>
      </c>
      <c r="F160" t="inlineStr">
        <is>
          <t>Manpower</t>
        </is>
      </c>
      <c r="H160" t="inlineStr">
        <is>
          <t>Floor Crew</t>
        </is>
      </c>
      <c r="I160" t="inlineStr">
        <is>
          <t>per orang per hari</t>
        </is>
      </c>
      <c r="J160" t="inlineStr">
        <is>
          <t>person/day</t>
        </is>
      </c>
      <c r="K160" t="inlineStr">
        <is>
          <t>1</t>
        </is>
      </c>
      <c r="L160" t="n">
        <v>400000</v>
      </c>
      <c r="M160" t="n">
        <v>400000</v>
      </c>
      <c r="N160">
        <f>IF(COUNT(L160:M160)=0,"",AVERAGE(L160:M160))</f>
        <v/>
      </c>
      <c r="Q160">
        <f>IF(COUNT(O160:P160)=0,"",AVERAGE(O160:P160))</f>
        <v/>
      </c>
      <c r="R160">
        <f>IF(Q160&lt;&gt;"",Q160,IF(N160&lt;&gt;"",ROUND(N160*(1+$B$2),0),""))</f>
        <v/>
      </c>
      <c r="S160">
        <f>IF(AND(N160&lt;&gt;"",Q160&lt;&gt;"",N160&lt;&gt;0),(Q160-N160)/N160,"")</f>
        <v/>
      </c>
      <c r="T160" t="inlineStr">
        <is>
          <t>2026</t>
        </is>
      </c>
      <c r="U160" t="inlineStr">
        <is>
          <t>MUI Istiqlal 2026</t>
        </is>
      </c>
      <c r="V160" t="inlineStr">
        <is>
          <t>Real-CE MUI</t>
        </is>
      </c>
      <c r="X160" t="inlineStr">
        <is>
          <t>Potential duplicate x3</t>
        </is>
      </c>
      <c r="Y160" t="inlineStr">
        <is>
          <t>floor crew | person/day</t>
        </is>
      </c>
    </row>
    <row r="161">
      <c r="A161" t="n">
        <v>157</v>
      </c>
      <c r="B161" t="inlineStr">
        <is>
          <t>🕌 MUI EVENT DATA</t>
        </is>
      </c>
      <c r="C161" t="n">
        <v>82</v>
      </c>
      <c r="D161" t="inlineStr">
        <is>
          <t>MUI Real Cost</t>
        </is>
      </c>
      <c r="E161" t="inlineStr">
        <is>
          <t>Medina Soleman</t>
        </is>
      </c>
      <c r="F161" t="inlineStr">
        <is>
          <t>Manpower</t>
        </is>
      </c>
      <c r="H161" t="inlineStr">
        <is>
          <t>Floor Manager &amp; Team Floor</t>
        </is>
      </c>
      <c r="I161" t="inlineStr">
        <is>
          <t>6-7 Feb 2026</t>
        </is>
      </c>
      <c r="J161" t="inlineStr">
        <is>
          <t>person/event</t>
        </is>
      </c>
      <c r="K161" t="inlineStr">
        <is>
          <t>1</t>
        </is>
      </c>
      <c r="L161" t="n">
        <v>26000000</v>
      </c>
      <c r="M161" t="n">
        <v>26000000</v>
      </c>
      <c r="N161">
        <f>IF(COUNT(L161:M161)=0,"",AVERAGE(L161:M161))</f>
        <v/>
      </c>
      <c r="Q161">
        <f>IF(COUNT(O161:P161)=0,"",AVERAGE(O161:P161))</f>
        <v/>
      </c>
      <c r="R161">
        <f>IF(Q161&lt;&gt;"",Q161,IF(N161&lt;&gt;"",ROUND(N161*(1+$B$2),0),""))</f>
        <v/>
      </c>
      <c r="S161">
        <f>IF(AND(N161&lt;&gt;"",Q161&lt;&gt;"",N161&lt;&gt;0),(Q161-N161)/N161,"")</f>
        <v/>
      </c>
      <c r="T161" t="inlineStr">
        <is>
          <t>2026</t>
        </is>
      </c>
      <c r="U161" t="inlineStr">
        <is>
          <t>MUI Istiqlal 2026</t>
        </is>
      </c>
      <c r="V161" t="inlineStr">
        <is>
          <t>SPK 7/JBBS/SPK-MUI/II/2026</t>
        </is>
      </c>
      <c r="X161" t="inlineStr">
        <is>
          <t>OK</t>
        </is>
      </c>
      <c r="Y161" t="inlineStr">
        <is>
          <t>floor manager &amp; team floor | person/event</t>
        </is>
      </c>
    </row>
    <row r="162">
      <c r="A162" t="n">
        <v>158</v>
      </c>
      <c r="B162" t="inlineStr">
        <is>
          <t>💰 HPP VENDOR</t>
        </is>
      </c>
      <c r="C162" t="n">
        <v>19</v>
      </c>
      <c r="D162" t="inlineStr">
        <is>
          <t>Vendor HPP</t>
        </is>
      </c>
      <c r="E162" t="inlineStr">
        <is>
          <t>Dinamix Production</t>
        </is>
      </c>
      <c r="F162" t="inlineStr">
        <is>
          <t>Manpower</t>
        </is>
      </c>
      <c r="H162" t="inlineStr">
        <is>
          <t>Games Master + Asisten</t>
        </is>
      </c>
      <c r="I162" t="inlineStr">
        <is>
          <t>2 orang</t>
        </is>
      </c>
      <c r="J162" t="inlineStr">
        <is>
          <t>set</t>
        </is>
      </c>
      <c r="K162" t="inlineStr">
        <is>
          <t>1</t>
        </is>
      </c>
      <c r="L162" t="n">
        <v>1500000</v>
      </c>
      <c r="M162" t="n">
        <v>1500000</v>
      </c>
      <c r="N162">
        <f>IF(COUNT(L162:M162)=0,"",AVERAGE(L162:M162))</f>
        <v/>
      </c>
      <c r="Q162">
        <f>IF(COUNT(O162:P162)=0,"",AVERAGE(O162:P162))</f>
        <v/>
      </c>
      <c r="R162">
        <f>IF(Q162&lt;&gt;"",Q162,IF(N162&lt;&gt;"",ROUND(N162*(1+$B$2),0),""))</f>
        <v/>
      </c>
      <c r="S162">
        <f>IF(AND(N162&lt;&gt;"",Q162&lt;&gt;"",N162&lt;&gt;0),(Q162-N162)/N162,"")</f>
        <v/>
      </c>
      <c r="T162" t="inlineStr">
        <is>
          <t>2025</t>
        </is>
      </c>
      <c r="U162" t="inlineStr">
        <is>
          <t>Sunpride Bandung</t>
        </is>
      </c>
      <c r="V162" t="inlineStr">
        <is>
          <t>HPP Vendor</t>
        </is>
      </c>
      <c r="X162" t="inlineStr">
        <is>
          <t>OK</t>
        </is>
      </c>
      <c r="Y162" t="inlineStr">
        <is>
          <t>games master + asisten | set</t>
        </is>
      </c>
    </row>
    <row r="163">
      <c r="A163" t="n">
        <v>159</v>
      </c>
      <c r="B163" t="inlineStr">
        <is>
          <t>🕌 MUI EVENT DATA</t>
        </is>
      </c>
      <c r="C163" t="n">
        <v>106</v>
      </c>
      <c r="D163" t="inlineStr">
        <is>
          <t>MUI Real Cost</t>
        </is>
      </c>
      <c r="E163" t="inlineStr">
        <is>
          <t>Internal</t>
        </is>
      </c>
      <c r="F163" t="inlineStr">
        <is>
          <t>Manpower</t>
        </is>
      </c>
      <c r="H163" t="inlineStr">
        <is>
          <t>Head Crowd Control</t>
        </is>
      </c>
      <c r="J163" t="inlineStr">
        <is>
          <t>person</t>
        </is>
      </c>
      <c r="K163" t="inlineStr">
        <is>
          <t>1</t>
        </is>
      </c>
      <c r="L163" t="n">
        <v>750000</v>
      </c>
      <c r="M163" t="n">
        <v>750000</v>
      </c>
      <c r="N163">
        <f>IF(COUNT(L163:M163)=0,"",AVERAGE(L163:M163))</f>
        <v/>
      </c>
      <c r="Q163">
        <f>IF(COUNT(O163:P163)=0,"",AVERAGE(O163:P163))</f>
        <v/>
      </c>
      <c r="R163">
        <f>IF(Q163&lt;&gt;"",Q163,IF(N163&lt;&gt;"",ROUND(N163*(1+$B$2),0),""))</f>
        <v/>
      </c>
      <c r="S163">
        <f>IF(AND(N163&lt;&gt;"",Q163&lt;&gt;"",N163&lt;&gt;0),(Q163-N163)/N163,"")</f>
        <v/>
      </c>
      <c r="T163" t="inlineStr">
        <is>
          <t>2026</t>
        </is>
      </c>
      <c r="U163" t="inlineStr">
        <is>
          <t>MUI Istiqlal 2026</t>
        </is>
      </c>
      <c r="V163" t="inlineStr">
        <is>
          <t>Real-CE MUI</t>
        </is>
      </c>
      <c r="X163" t="inlineStr">
        <is>
          <t>OK</t>
        </is>
      </c>
      <c r="Y163" t="inlineStr">
        <is>
          <t>head crowd control | person</t>
        </is>
      </c>
    </row>
    <row r="164">
      <c r="A164" t="n">
        <v>160</v>
      </c>
      <c r="B164" t="inlineStr">
        <is>
          <t>🕌 MUI EVENT DATA</t>
        </is>
      </c>
      <c r="C164" t="n">
        <v>104</v>
      </c>
      <c r="D164" t="inlineStr">
        <is>
          <t>MUI Real Cost</t>
        </is>
      </c>
      <c r="E164" t="inlineStr">
        <is>
          <t>Internal</t>
        </is>
      </c>
      <c r="F164" t="inlineStr">
        <is>
          <t>Manpower</t>
        </is>
      </c>
      <c r="H164" t="inlineStr">
        <is>
          <t>Head Internal Guard</t>
        </is>
      </c>
      <c r="J164" t="inlineStr">
        <is>
          <t>person</t>
        </is>
      </c>
      <c r="K164" t="inlineStr">
        <is>
          <t>1</t>
        </is>
      </c>
      <c r="L164" t="n">
        <v>750000</v>
      </c>
      <c r="M164" t="n">
        <v>750000</v>
      </c>
      <c r="N164">
        <f>IF(COUNT(L164:M164)=0,"",AVERAGE(L164:M164))</f>
        <v/>
      </c>
      <c r="Q164">
        <f>IF(COUNT(O164:P164)=0,"",AVERAGE(O164:P164))</f>
        <v/>
      </c>
      <c r="R164">
        <f>IF(Q164&lt;&gt;"",Q164,IF(N164&lt;&gt;"",ROUND(N164*(1+$B$2),0),""))</f>
        <v/>
      </c>
      <c r="S164">
        <f>IF(AND(N164&lt;&gt;"",Q164&lt;&gt;"",N164&lt;&gt;0),(Q164-N164)/N164,"")</f>
        <v/>
      </c>
      <c r="T164" t="inlineStr">
        <is>
          <t>2026</t>
        </is>
      </c>
      <c r="U164" t="inlineStr">
        <is>
          <t>MUI Istiqlal 2026</t>
        </is>
      </c>
      <c r="V164" t="inlineStr">
        <is>
          <t>Real-CE MUI</t>
        </is>
      </c>
      <c r="X164" t="inlineStr">
        <is>
          <t>OK</t>
        </is>
      </c>
      <c r="Y164" t="inlineStr">
        <is>
          <t>head internal guard | person</t>
        </is>
      </c>
    </row>
    <row r="165">
      <c r="A165" t="n">
        <v>161</v>
      </c>
      <c r="B165" t="inlineStr">
        <is>
          <t>🕌 MUI EVENT DATA</t>
        </is>
      </c>
      <c r="C165" t="n">
        <v>89</v>
      </c>
      <c r="D165" t="inlineStr">
        <is>
          <t>MUI Real Cost</t>
        </is>
      </c>
      <c r="E165" t="inlineStr">
        <is>
          <t>Syahrul Bekti</t>
        </is>
      </c>
      <c r="F165" t="inlineStr">
        <is>
          <t>Manpower</t>
        </is>
      </c>
      <c r="H165" t="inlineStr">
        <is>
          <t>Head Kebersihan</t>
        </is>
      </c>
      <c r="I165" t="inlineStr">
        <is>
          <t>7 Feb 2026</t>
        </is>
      </c>
      <c r="J165" t="inlineStr">
        <is>
          <t>person/event</t>
        </is>
      </c>
      <c r="K165" t="inlineStr">
        <is>
          <t>1</t>
        </is>
      </c>
      <c r="L165" t="n">
        <v>1000000</v>
      </c>
      <c r="M165" t="n">
        <v>1000000</v>
      </c>
      <c r="N165">
        <f>IF(COUNT(L165:M165)=0,"",AVERAGE(L165:M165))</f>
        <v/>
      </c>
      <c r="Q165">
        <f>IF(COUNT(O165:P165)=0,"",AVERAGE(O165:P165))</f>
        <v/>
      </c>
      <c r="R165">
        <f>IF(Q165&lt;&gt;"",Q165,IF(N165&lt;&gt;"",ROUND(N165*(1+$B$2),0),""))</f>
        <v/>
      </c>
      <c r="S165">
        <f>IF(AND(N165&lt;&gt;"",Q165&lt;&gt;"",N165&lt;&gt;0),(Q165-N165)/N165,"")</f>
        <v/>
      </c>
      <c r="T165" t="inlineStr">
        <is>
          <t>2026</t>
        </is>
      </c>
      <c r="U165" t="inlineStr">
        <is>
          <t>MUI Istiqlal 2026</t>
        </is>
      </c>
      <c r="V165" t="inlineStr">
        <is>
          <t>SPK 23/JBBS/SPK-MUI/II/2026</t>
        </is>
      </c>
      <c r="X165" t="inlineStr">
        <is>
          <t>OK</t>
        </is>
      </c>
      <c r="Y165" t="inlineStr">
        <is>
          <t>head kebersihan | person/event</t>
        </is>
      </c>
    </row>
    <row r="166">
      <c r="A166" t="n">
        <v>162</v>
      </c>
      <c r="B166" t="inlineStr">
        <is>
          <t>🕌 MUI EVENT DATA</t>
        </is>
      </c>
      <c r="C166" t="n">
        <v>110</v>
      </c>
      <c r="D166" t="inlineStr">
        <is>
          <t>MUI Real Cost</t>
        </is>
      </c>
      <c r="E166" t="inlineStr">
        <is>
          <t>Internal</t>
        </is>
      </c>
      <c r="F166" t="inlineStr">
        <is>
          <t>Manpower</t>
        </is>
      </c>
      <c r="H166" t="inlineStr">
        <is>
          <t>Head Kepesertaan</t>
        </is>
      </c>
      <c r="J166" t="inlineStr">
        <is>
          <t>person/event</t>
        </is>
      </c>
      <c r="K166" t="inlineStr">
        <is>
          <t>1</t>
        </is>
      </c>
      <c r="L166" t="n">
        <v>5000000</v>
      </c>
      <c r="M166" t="n">
        <v>5000000</v>
      </c>
      <c r="N166">
        <f>IF(COUNT(L166:M166)=0,"",AVERAGE(L166:M166))</f>
        <v/>
      </c>
      <c r="Q166">
        <f>IF(COUNT(O166:P166)=0,"",AVERAGE(O166:P166))</f>
        <v/>
      </c>
      <c r="R166">
        <f>IF(Q166&lt;&gt;"",Q166,IF(N166&lt;&gt;"",ROUND(N166*(1+$B$2),0),""))</f>
        <v/>
      </c>
      <c r="S166">
        <f>IF(AND(N166&lt;&gt;"",Q166&lt;&gt;"",N166&lt;&gt;0),(Q166-N166)/N166,"")</f>
        <v/>
      </c>
      <c r="T166" t="inlineStr">
        <is>
          <t>2026</t>
        </is>
      </c>
      <c r="U166" t="inlineStr">
        <is>
          <t>MUI Istiqlal 2026</t>
        </is>
      </c>
      <c r="V166" t="inlineStr">
        <is>
          <t>Real-CE MUI</t>
        </is>
      </c>
      <c r="X166" t="inlineStr">
        <is>
          <t>OK</t>
        </is>
      </c>
      <c r="Y166" t="inlineStr">
        <is>
          <t>head kepesertaan | person/event</t>
        </is>
      </c>
    </row>
    <row r="167">
      <c r="A167" t="n">
        <v>163</v>
      </c>
      <c r="B167" t="inlineStr">
        <is>
          <t>🕌 MUI EVENT DATA</t>
        </is>
      </c>
      <c r="C167" t="n">
        <v>108</v>
      </c>
      <c r="D167" t="inlineStr">
        <is>
          <t>MUI Real Cost</t>
        </is>
      </c>
      <c r="E167" t="inlineStr">
        <is>
          <t>Internal</t>
        </is>
      </c>
      <c r="F167" t="inlineStr">
        <is>
          <t>Manpower</t>
        </is>
      </c>
      <c r="H167" t="inlineStr">
        <is>
          <t>Head Parking</t>
        </is>
      </c>
      <c r="J167" t="inlineStr">
        <is>
          <t>person</t>
        </is>
      </c>
      <c r="K167" t="inlineStr">
        <is>
          <t>1</t>
        </is>
      </c>
      <c r="L167" t="n">
        <v>1500000</v>
      </c>
      <c r="M167" t="n">
        <v>1500000</v>
      </c>
      <c r="N167">
        <f>IF(COUNT(L167:M167)=0,"",AVERAGE(L167:M167))</f>
        <v/>
      </c>
      <c r="Q167">
        <f>IF(COUNT(O167:P167)=0,"",AVERAGE(O167:P167))</f>
        <v/>
      </c>
      <c r="R167">
        <f>IF(Q167&lt;&gt;"",Q167,IF(N167&lt;&gt;"",ROUND(N167*(1+$B$2),0),""))</f>
        <v/>
      </c>
      <c r="S167">
        <f>IF(AND(N167&lt;&gt;"",Q167&lt;&gt;"",N167&lt;&gt;0),(Q167-N167)/N167,"")</f>
        <v/>
      </c>
      <c r="T167" t="inlineStr">
        <is>
          <t>2026</t>
        </is>
      </c>
      <c r="U167" t="inlineStr">
        <is>
          <t>MUI Istiqlal 2026</t>
        </is>
      </c>
      <c r="V167" t="inlineStr">
        <is>
          <t>Real-CE MUI</t>
        </is>
      </c>
      <c r="X167" t="inlineStr">
        <is>
          <t>OK</t>
        </is>
      </c>
      <c r="Y167" t="inlineStr">
        <is>
          <t>head parking | person</t>
        </is>
      </c>
    </row>
    <row r="168">
      <c r="A168" t="n">
        <v>164</v>
      </c>
      <c r="B168" t="inlineStr">
        <is>
          <t>🕌 MUI EVENT DATA</t>
        </is>
      </c>
      <c r="C168" t="n">
        <v>91</v>
      </c>
      <c r="D168" t="inlineStr">
        <is>
          <t>MUI Real Cost</t>
        </is>
      </c>
      <c r="E168" t="inlineStr">
        <is>
          <t>Internal</t>
        </is>
      </c>
      <c r="F168" t="inlineStr">
        <is>
          <t>Manpower</t>
        </is>
      </c>
      <c r="H168" t="inlineStr">
        <is>
          <t>Head Program</t>
        </is>
      </c>
      <c r="J168" t="inlineStr">
        <is>
          <t>person/event</t>
        </is>
      </c>
      <c r="K168" t="inlineStr">
        <is>
          <t>1</t>
        </is>
      </c>
      <c r="L168" t="n">
        <v>4000000</v>
      </c>
      <c r="M168" t="n">
        <v>4000000</v>
      </c>
      <c r="N168">
        <f>IF(COUNT(L168:M168)=0,"",AVERAGE(L168:M168))</f>
        <v/>
      </c>
      <c r="Q168">
        <f>IF(COUNT(O168:P168)=0,"",AVERAGE(O168:P168))</f>
        <v/>
      </c>
      <c r="R168">
        <f>IF(Q168&lt;&gt;"",Q168,IF(N168&lt;&gt;"",ROUND(N168*(1+$B$2),0),""))</f>
        <v/>
      </c>
      <c r="S168">
        <f>IF(AND(N168&lt;&gt;"",Q168&lt;&gt;"",N168&lt;&gt;0),(Q168-N168)/N168,"")</f>
        <v/>
      </c>
      <c r="T168" t="inlineStr">
        <is>
          <t>2026</t>
        </is>
      </c>
      <c r="U168" t="inlineStr">
        <is>
          <t>MUI Istiqlal 2026</t>
        </is>
      </c>
      <c r="V168" t="inlineStr">
        <is>
          <t>Real-CE MUI</t>
        </is>
      </c>
      <c r="X168" t="inlineStr">
        <is>
          <t>OK</t>
        </is>
      </c>
      <c r="Y168" t="inlineStr">
        <is>
          <t>head program | person/event</t>
        </is>
      </c>
    </row>
    <row r="169">
      <c r="A169" t="n">
        <v>165</v>
      </c>
      <c r="B169" t="inlineStr">
        <is>
          <t>📋 PO &amp; RFP DATA</t>
        </is>
      </c>
      <c r="C169" t="n">
        <v>60</v>
      </c>
      <c r="D169" t="inlineStr">
        <is>
          <t>PO/RFP HPP</t>
        </is>
      </c>
      <c r="E169" t="inlineStr">
        <is>
          <t>Internal Team</t>
        </is>
      </c>
      <c r="F169" t="inlineStr">
        <is>
          <t>Manpower</t>
        </is>
      </c>
      <c r="H169" t="inlineStr">
        <is>
          <t>Hotel Team (2 kamar)</t>
        </is>
      </c>
      <c r="I169" t="inlineStr">
        <is>
          <t>per malam</t>
        </is>
      </c>
      <c r="J169" t="inlineStr">
        <is>
          <t>room/night</t>
        </is>
      </c>
      <c r="K169" t="inlineStr">
        <is>
          <t>2</t>
        </is>
      </c>
      <c r="L169" t="n">
        <v>350000</v>
      </c>
      <c r="M169" t="n">
        <v>350000</v>
      </c>
      <c r="N169">
        <f>IF(COUNT(L169:M169)=0,"",AVERAGE(L169:M169))</f>
        <v/>
      </c>
      <c r="Q169">
        <f>IF(COUNT(O169:P169)=0,"",AVERAGE(O169:P169))</f>
        <v/>
      </c>
      <c r="R169">
        <f>IF(Q169&lt;&gt;"",Q169,IF(N169&lt;&gt;"",ROUND(N169*(1+$B$2),0),""))</f>
        <v/>
      </c>
      <c r="S169">
        <f>IF(AND(N169&lt;&gt;"",Q169&lt;&gt;"",N169&lt;&gt;0),(Q169-N169)/N169,"")</f>
        <v/>
      </c>
      <c r="T169" t="inlineStr">
        <is>
          <t>2026</t>
        </is>
      </c>
      <c r="U169" t="inlineStr">
        <is>
          <t>GAPEMPI Mandarin Oriental</t>
        </is>
      </c>
      <c r="V169" t="inlineStr">
        <is>
          <t>per room, budget mid range</t>
        </is>
      </c>
      <c r="X169" t="inlineStr">
        <is>
          <t>OK</t>
        </is>
      </c>
      <c r="Y169" t="inlineStr">
        <is>
          <t>hotel team (2 kamar) | room/night</t>
        </is>
      </c>
    </row>
    <row r="170">
      <c r="A170" t="n">
        <v>166</v>
      </c>
      <c r="B170" t="inlineStr">
        <is>
          <t>📋 PO &amp; RFP DATA</t>
        </is>
      </c>
      <c r="C170" t="n">
        <v>95</v>
      </c>
      <c r="D170" t="inlineStr">
        <is>
          <t>PO/RFP HPP</t>
        </is>
      </c>
      <c r="E170" t="inlineStr">
        <is>
          <t>Internal/Insentif</t>
        </is>
      </c>
      <c r="F170" t="inlineStr">
        <is>
          <t>Manpower</t>
        </is>
      </c>
      <c r="H170" t="inlineStr">
        <is>
          <t>Insentif Akbar (Crew)</t>
        </is>
      </c>
      <c r="I170" t="inlineStr">
        <is>
          <t>per event</t>
        </is>
      </c>
      <c r="J170" t="inlineStr">
        <is>
          <t>person/event</t>
        </is>
      </c>
      <c r="K170" t="inlineStr">
        <is>
          <t>1</t>
        </is>
      </c>
      <c r="L170" t="n">
        <v>2000000</v>
      </c>
      <c r="M170" t="n">
        <v>2000000</v>
      </c>
      <c r="N170">
        <f>IF(COUNT(L170:M170)=0,"",AVERAGE(L170:M170))</f>
        <v/>
      </c>
      <c r="Q170">
        <f>IF(COUNT(O170:P170)=0,"",AVERAGE(O170:P170))</f>
        <v/>
      </c>
      <c r="R170">
        <f>IF(Q170&lt;&gt;"",Q170,IF(N170&lt;&gt;"",ROUND(N170*(1+$B$2),0),""))</f>
        <v/>
      </c>
      <c r="S170">
        <f>IF(AND(N170&lt;&gt;"",Q170&lt;&gt;"",N170&lt;&gt;0),(Q170-N170)/N170,"")</f>
        <v/>
      </c>
      <c r="T170" t="inlineStr">
        <is>
          <t>2026</t>
        </is>
      </c>
      <c r="U170" t="inlineStr">
        <is>
          <t>GAPEMPI</t>
        </is>
      </c>
      <c r="X170" t="inlineStr">
        <is>
          <t>OK</t>
        </is>
      </c>
      <c r="Y170" t="inlineStr">
        <is>
          <t>insentif akbar (crew) | person/event</t>
        </is>
      </c>
    </row>
    <row r="171">
      <c r="A171" t="n">
        <v>167</v>
      </c>
      <c r="B171" t="inlineStr">
        <is>
          <t>📋 PO &amp; RFP DATA</t>
        </is>
      </c>
      <c r="C171" t="n">
        <v>96</v>
      </c>
      <c r="D171" t="inlineStr">
        <is>
          <t>PO/RFP HPP</t>
        </is>
      </c>
      <c r="E171" t="inlineStr">
        <is>
          <t>Internal/Insentif</t>
        </is>
      </c>
      <c r="F171" t="inlineStr">
        <is>
          <t>Manpower</t>
        </is>
      </c>
      <c r="H171" t="inlineStr">
        <is>
          <t>Insentif Citra / Fina (Admin)</t>
        </is>
      </c>
      <c r="I171" t="inlineStr">
        <is>
          <t>per event</t>
        </is>
      </c>
      <c r="J171" t="inlineStr">
        <is>
          <t>person/event</t>
        </is>
      </c>
      <c r="K171" t="inlineStr">
        <is>
          <t>1</t>
        </is>
      </c>
      <c r="L171" t="n">
        <v>500000</v>
      </c>
      <c r="M171" t="n">
        <v>500000</v>
      </c>
      <c r="N171">
        <f>IF(COUNT(L171:M171)=0,"",AVERAGE(L171:M171))</f>
        <v/>
      </c>
      <c r="Q171">
        <f>IF(COUNT(O171:P171)=0,"",AVERAGE(O171:P171))</f>
        <v/>
      </c>
      <c r="R171">
        <f>IF(Q171&lt;&gt;"",Q171,IF(N171&lt;&gt;"",ROUND(N171*(1+$B$2),0),""))</f>
        <v/>
      </c>
      <c r="S171">
        <f>IF(AND(N171&lt;&gt;"",Q171&lt;&gt;"",N171&lt;&gt;0),(Q171-N171)/N171,"")</f>
        <v/>
      </c>
      <c r="T171" t="inlineStr">
        <is>
          <t>2026</t>
        </is>
      </c>
      <c r="U171" t="inlineStr">
        <is>
          <t>GAPEMPI</t>
        </is>
      </c>
      <c r="X171" t="inlineStr">
        <is>
          <t>OK</t>
        </is>
      </c>
      <c r="Y171" t="inlineStr">
        <is>
          <t>insentif citra / fina (admin) | person/event</t>
        </is>
      </c>
    </row>
    <row r="172">
      <c r="A172" t="n">
        <v>168</v>
      </c>
      <c r="B172" t="inlineStr">
        <is>
          <t>📋 PO &amp; RFP DATA</t>
        </is>
      </c>
      <c r="C172" t="n">
        <v>91</v>
      </c>
      <c r="D172" t="inlineStr">
        <is>
          <t>PO/RFP HPP</t>
        </is>
      </c>
      <c r="E172" t="inlineStr">
        <is>
          <t>Internal/Insentif</t>
        </is>
      </c>
      <c r="F172" t="inlineStr">
        <is>
          <t>Manpower</t>
        </is>
      </c>
      <c r="H172" t="inlineStr">
        <is>
          <t>Insentif Eka Marutha (Managing Director)</t>
        </is>
      </c>
      <c r="I172" t="inlineStr">
        <is>
          <t>per event</t>
        </is>
      </c>
      <c r="J172" t="inlineStr">
        <is>
          <t>person/event</t>
        </is>
      </c>
      <c r="K172" t="inlineStr">
        <is>
          <t>1</t>
        </is>
      </c>
      <c r="L172" t="n">
        <v>4000000</v>
      </c>
      <c r="M172" t="n">
        <v>4000000</v>
      </c>
      <c r="N172">
        <f>IF(COUNT(L172:M172)=0,"",AVERAGE(L172:M172))</f>
        <v/>
      </c>
      <c r="Q172">
        <f>IF(COUNT(O172:P172)=0,"",AVERAGE(O172:P172))</f>
        <v/>
      </c>
      <c r="R172">
        <f>IF(Q172&lt;&gt;"",Q172,IF(N172&lt;&gt;"",ROUND(N172*(1+$B$2),0),""))</f>
        <v/>
      </c>
      <c r="S172">
        <f>IF(AND(N172&lt;&gt;"",Q172&lt;&gt;"",N172&lt;&gt;0),(Q172-N172)/N172,"")</f>
        <v/>
      </c>
      <c r="T172" t="inlineStr">
        <is>
          <t>2026</t>
        </is>
      </c>
      <c r="U172" t="inlineStr">
        <is>
          <t>GAPEMPI</t>
        </is>
      </c>
      <c r="V172" t="inlineStr">
        <is>
          <t>RFP GAPEMPI 7 Apr 2026</t>
        </is>
      </c>
      <c r="X172" t="inlineStr">
        <is>
          <t>OK</t>
        </is>
      </c>
      <c r="Y172" t="inlineStr">
        <is>
          <t>insentif eka marutha (managing director) | person/event</t>
        </is>
      </c>
    </row>
    <row r="173">
      <c r="A173" t="n">
        <v>169</v>
      </c>
      <c r="B173" t="inlineStr">
        <is>
          <t>📋 PO &amp; RFP DATA</t>
        </is>
      </c>
      <c r="C173" t="n">
        <v>92</v>
      </c>
      <c r="D173" t="inlineStr">
        <is>
          <t>PO/RFP HPP</t>
        </is>
      </c>
      <c r="E173" t="inlineStr">
        <is>
          <t>Internal/Insentif</t>
        </is>
      </c>
      <c r="F173" t="inlineStr">
        <is>
          <t>Manpower</t>
        </is>
      </c>
      <c r="H173" t="inlineStr">
        <is>
          <t>Insentif Production Manager (Prastyo+3 security)</t>
        </is>
      </c>
      <c r="I173" t="inlineStr">
        <is>
          <t>per event</t>
        </is>
      </c>
      <c r="J173" t="inlineStr">
        <is>
          <t>pckg</t>
        </is>
      </c>
      <c r="K173" t="inlineStr">
        <is>
          <t>1</t>
        </is>
      </c>
      <c r="L173" t="n">
        <v>4000000</v>
      </c>
      <c r="M173" t="n">
        <v>4000000</v>
      </c>
      <c r="N173">
        <f>IF(COUNT(L173:M173)=0,"",AVERAGE(L173:M173))</f>
        <v/>
      </c>
      <c r="Q173">
        <f>IF(COUNT(O173:P173)=0,"",AVERAGE(O173:P173))</f>
        <v/>
      </c>
      <c r="R173">
        <f>IF(Q173&lt;&gt;"",Q173,IF(N173&lt;&gt;"",ROUND(N173*(1+$B$2),0),""))</f>
        <v/>
      </c>
      <c r="S173">
        <f>IF(AND(N173&lt;&gt;"",Q173&lt;&gt;"",N173&lt;&gt;0),(Q173-N173)/N173,"")</f>
        <v/>
      </c>
      <c r="T173" t="inlineStr">
        <is>
          <t>2026</t>
        </is>
      </c>
      <c r="U173" t="inlineStr">
        <is>
          <t>GAPEMPI</t>
        </is>
      </c>
      <c r="X173" t="inlineStr">
        <is>
          <t>OK</t>
        </is>
      </c>
      <c r="Y173" t="inlineStr">
        <is>
          <t>insentif production manager (prastyo+3 security) | pckg</t>
        </is>
      </c>
    </row>
    <row r="174">
      <c r="A174" t="n">
        <v>170</v>
      </c>
      <c r="B174" t="inlineStr">
        <is>
          <t>📋 PO &amp; RFP DATA</t>
        </is>
      </c>
      <c r="C174" t="n">
        <v>93</v>
      </c>
      <c r="D174" t="inlineStr">
        <is>
          <t>PO/RFP HPP</t>
        </is>
      </c>
      <c r="E174" t="inlineStr">
        <is>
          <t>Internal/Insentif</t>
        </is>
      </c>
      <c r="F174" t="inlineStr">
        <is>
          <t>Manpower</t>
        </is>
      </c>
      <c r="H174" t="inlineStr">
        <is>
          <t>Insentif Sindy (PIC)</t>
        </is>
      </c>
      <c r="I174" t="inlineStr">
        <is>
          <t>per event</t>
        </is>
      </c>
      <c r="J174" t="inlineStr">
        <is>
          <t>person/event</t>
        </is>
      </c>
      <c r="K174" t="inlineStr">
        <is>
          <t>1</t>
        </is>
      </c>
      <c r="L174" t="n">
        <v>2500000</v>
      </c>
      <c r="M174" t="n">
        <v>2500000</v>
      </c>
      <c r="N174">
        <f>IF(COUNT(L174:M174)=0,"",AVERAGE(L174:M174))</f>
        <v/>
      </c>
      <c r="Q174">
        <f>IF(COUNT(O174:P174)=0,"",AVERAGE(O174:P174))</f>
        <v/>
      </c>
      <c r="R174">
        <f>IF(Q174&lt;&gt;"",Q174,IF(N174&lt;&gt;"",ROUND(N174*(1+$B$2),0),""))</f>
        <v/>
      </c>
      <c r="S174">
        <f>IF(AND(N174&lt;&gt;"",Q174&lt;&gt;"",N174&lt;&gt;0),(Q174-N174)/N174,"")</f>
        <v/>
      </c>
      <c r="T174" t="inlineStr">
        <is>
          <t>2026</t>
        </is>
      </c>
      <c r="U174" t="inlineStr">
        <is>
          <t>GAPEMPI</t>
        </is>
      </c>
      <c r="X174" t="inlineStr">
        <is>
          <t>OK</t>
        </is>
      </c>
      <c r="Y174" t="inlineStr">
        <is>
          <t>insentif sindy (pic) | person/event</t>
        </is>
      </c>
    </row>
    <row r="175">
      <c r="A175" t="n">
        <v>171</v>
      </c>
      <c r="B175" t="inlineStr">
        <is>
          <t>📋 PO &amp; RFP DATA</t>
        </is>
      </c>
      <c r="C175" t="n">
        <v>94</v>
      </c>
      <c r="D175" t="inlineStr">
        <is>
          <t>PO/RFP HPP</t>
        </is>
      </c>
      <c r="E175" t="inlineStr">
        <is>
          <t>Internal/Insentif</t>
        </is>
      </c>
      <c r="F175" t="inlineStr">
        <is>
          <t>Manpower</t>
        </is>
      </c>
      <c r="H175" t="inlineStr">
        <is>
          <t>Insentif Widya (Production)</t>
        </is>
      </c>
      <c r="I175" t="inlineStr">
        <is>
          <t>per event</t>
        </is>
      </c>
      <c r="J175" t="inlineStr">
        <is>
          <t>person/event</t>
        </is>
      </c>
      <c r="K175" t="inlineStr">
        <is>
          <t>1</t>
        </is>
      </c>
      <c r="L175" t="n">
        <v>1500000</v>
      </c>
      <c r="M175" t="n">
        <v>1500000</v>
      </c>
      <c r="N175">
        <f>IF(COUNT(L175:M175)=0,"",AVERAGE(L175:M175))</f>
        <v/>
      </c>
      <c r="Q175">
        <f>IF(COUNT(O175:P175)=0,"",AVERAGE(O175:P175))</f>
        <v/>
      </c>
      <c r="R175">
        <f>IF(Q175&lt;&gt;"",Q175,IF(N175&lt;&gt;"",ROUND(N175*(1+$B$2),0),""))</f>
        <v/>
      </c>
      <c r="S175">
        <f>IF(AND(N175&lt;&gt;"",Q175&lt;&gt;"",N175&lt;&gt;0),(Q175-N175)/N175,"")</f>
        <v/>
      </c>
      <c r="T175" t="inlineStr">
        <is>
          <t>2026</t>
        </is>
      </c>
      <c r="U175" t="inlineStr">
        <is>
          <t>GAPEMPI</t>
        </is>
      </c>
      <c r="X175" t="inlineStr">
        <is>
          <t>OK</t>
        </is>
      </c>
      <c r="Y175" t="inlineStr">
        <is>
          <t>insentif widya (production) | person/event</t>
        </is>
      </c>
    </row>
    <row r="176">
      <c r="A176" t="n">
        <v>172</v>
      </c>
      <c r="B176" t="inlineStr">
        <is>
          <t>🕌 MUI EVENT DATA</t>
        </is>
      </c>
      <c r="C176" t="n">
        <v>105</v>
      </c>
      <c r="D176" t="inlineStr">
        <is>
          <t>MUI Real Cost</t>
        </is>
      </c>
      <c r="E176" t="inlineStr">
        <is>
          <t>Internal</t>
        </is>
      </c>
      <c r="F176" t="inlineStr">
        <is>
          <t>Manpower</t>
        </is>
      </c>
      <c r="H176" t="inlineStr">
        <is>
          <t>Internal Guard</t>
        </is>
      </c>
      <c r="I176" t="inlineStr">
        <is>
          <t>per orang per hari</t>
        </is>
      </c>
      <c r="J176" t="inlineStr">
        <is>
          <t>person/day</t>
        </is>
      </c>
      <c r="K176" t="inlineStr">
        <is>
          <t>1</t>
        </is>
      </c>
      <c r="L176" t="n">
        <v>350000</v>
      </c>
      <c r="M176" t="n">
        <v>350000</v>
      </c>
      <c r="N176">
        <f>IF(COUNT(L176:M176)=0,"",AVERAGE(L176:M176))</f>
        <v/>
      </c>
      <c r="Q176">
        <f>IF(COUNT(O176:P176)=0,"",AVERAGE(O176:P176))</f>
        <v/>
      </c>
      <c r="R176">
        <f>IF(Q176&lt;&gt;"",Q176,IF(N176&lt;&gt;"",ROUND(N176*(1+$B$2),0),""))</f>
        <v/>
      </c>
      <c r="S176">
        <f>IF(AND(N176&lt;&gt;"",Q176&lt;&gt;"",N176&lt;&gt;0),(Q176-N176)/N176,"")</f>
        <v/>
      </c>
      <c r="T176" t="inlineStr">
        <is>
          <t>2026</t>
        </is>
      </c>
      <c r="U176" t="inlineStr">
        <is>
          <t>MUI Istiqlal 2026</t>
        </is>
      </c>
      <c r="V176" t="inlineStr">
        <is>
          <t>Real-CE MUI</t>
        </is>
      </c>
      <c r="X176" t="inlineStr">
        <is>
          <t>Potential duplicate x2</t>
        </is>
      </c>
      <c r="Y176" t="inlineStr">
        <is>
          <t>internal guard | person/day</t>
        </is>
      </c>
    </row>
    <row r="177">
      <c r="A177" t="n">
        <v>173</v>
      </c>
      <c r="B177" t="inlineStr">
        <is>
          <t>🕌 MUI EVENT DATA</t>
        </is>
      </c>
      <c r="C177" t="n">
        <v>96</v>
      </c>
      <c r="D177" t="inlineStr">
        <is>
          <t>MUI Real Cost</t>
        </is>
      </c>
      <c r="E177" t="inlineStr">
        <is>
          <t>Internal</t>
        </is>
      </c>
      <c r="F177" t="inlineStr">
        <is>
          <t>Manpower</t>
        </is>
      </c>
      <c r="H177" t="inlineStr">
        <is>
          <t>LO Talent</t>
        </is>
      </c>
      <c r="I177" t="inlineStr">
        <is>
          <t>2 hari</t>
        </is>
      </c>
      <c r="J177" t="inlineStr">
        <is>
          <t>person/day</t>
        </is>
      </c>
      <c r="K177" t="inlineStr">
        <is>
          <t>1</t>
        </is>
      </c>
      <c r="L177" t="n">
        <v>500000</v>
      </c>
      <c r="M177" t="n">
        <v>500000</v>
      </c>
      <c r="N177">
        <f>IF(COUNT(L177:M177)=0,"",AVERAGE(L177:M177))</f>
        <v/>
      </c>
      <c r="Q177">
        <f>IF(COUNT(O177:P177)=0,"",AVERAGE(O177:P177))</f>
        <v/>
      </c>
      <c r="R177">
        <f>IF(Q177&lt;&gt;"",Q177,IF(N177&lt;&gt;"",ROUND(N177*(1+$B$2),0),""))</f>
        <v/>
      </c>
      <c r="S177">
        <f>IF(AND(N177&lt;&gt;"",Q177&lt;&gt;"",N177&lt;&gt;0),(Q177-N177)/N177,"")</f>
        <v/>
      </c>
      <c r="T177" t="inlineStr">
        <is>
          <t>2026</t>
        </is>
      </c>
      <c r="U177" t="inlineStr">
        <is>
          <t>MUI Istiqlal 2026</t>
        </is>
      </c>
      <c r="V177" t="inlineStr">
        <is>
          <t>Real-CE MUI</t>
        </is>
      </c>
      <c r="X177" t="inlineStr">
        <is>
          <t>OK</t>
        </is>
      </c>
      <c r="Y177" t="inlineStr">
        <is>
          <t>lo talent | person/day</t>
        </is>
      </c>
    </row>
    <row r="178">
      <c r="A178" t="n">
        <v>174</v>
      </c>
      <c r="B178" t="inlineStr">
        <is>
          <t>🕌 MUI EVENT DATA</t>
        </is>
      </c>
      <c r="C178" t="n">
        <v>93</v>
      </c>
      <c r="D178" t="inlineStr">
        <is>
          <t>MUI Real Cost</t>
        </is>
      </c>
      <c r="E178" t="inlineStr">
        <is>
          <t>Internal</t>
        </is>
      </c>
      <c r="F178" t="inlineStr">
        <is>
          <t>Manpower</t>
        </is>
      </c>
      <c r="H178" t="inlineStr">
        <is>
          <t>Logistics Crew</t>
        </is>
      </c>
      <c r="I178" t="inlineStr">
        <is>
          <t>per orang per hari (4 hari)</t>
        </is>
      </c>
      <c r="J178" t="inlineStr">
        <is>
          <t>person/day</t>
        </is>
      </c>
      <c r="K178" t="inlineStr">
        <is>
          <t>1</t>
        </is>
      </c>
      <c r="L178" t="n">
        <v>400000</v>
      </c>
      <c r="M178" t="n">
        <v>400000</v>
      </c>
      <c r="N178">
        <f>IF(COUNT(L178:M178)=0,"",AVERAGE(L178:M178))</f>
        <v/>
      </c>
      <c r="Q178">
        <f>IF(COUNT(O178:P178)=0,"",AVERAGE(O178:P178))</f>
        <v/>
      </c>
      <c r="R178">
        <f>IF(Q178&lt;&gt;"",Q178,IF(N178&lt;&gt;"",ROUND(N178*(1+$B$2),0),""))</f>
        <v/>
      </c>
      <c r="S178">
        <f>IF(AND(N178&lt;&gt;"",Q178&lt;&gt;"",N178&lt;&gt;0),(Q178-N178)/N178,"")</f>
        <v/>
      </c>
      <c r="T178" t="inlineStr">
        <is>
          <t>2026</t>
        </is>
      </c>
      <c r="U178" t="inlineStr">
        <is>
          <t>MUI Istiqlal 2026</t>
        </is>
      </c>
      <c r="V178" t="inlineStr">
        <is>
          <t>Real-CE MUI</t>
        </is>
      </c>
      <c r="X178" t="inlineStr">
        <is>
          <t>OK</t>
        </is>
      </c>
      <c r="Y178" t="inlineStr">
        <is>
          <t>logistics crew | person/day</t>
        </is>
      </c>
    </row>
    <row r="179">
      <c r="A179" t="n">
        <v>175</v>
      </c>
      <c r="B179" t="inlineStr">
        <is>
          <t>🕌 MUI EVENT DATA</t>
        </is>
      </c>
      <c r="C179" t="n">
        <v>92</v>
      </c>
      <c r="D179" t="inlineStr">
        <is>
          <t>MUI Real Cost</t>
        </is>
      </c>
      <c r="E179" t="inlineStr">
        <is>
          <t>Internal</t>
        </is>
      </c>
      <c r="F179" t="inlineStr">
        <is>
          <t>Manpower</t>
        </is>
      </c>
      <c r="H179" t="inlineStr">
        <is>
          <t>Logistics PIC</t>
        </is>
      </c>
      <c r="J179" t="inlineStr">
        <is>
          <t>person/event</t>
        </is>
      </c>
      <c r="K179" t="inlineStr">
        <is>
          <t>1</t>
        </is>
      </c>
      <c r="L179" t="n">
        <v>3500000</v>
      </c>
      <c r="M179" t="n">
        <v>3500000</v>
      </c>
      <c r="N179">
        <f>IF(COUNT(L179:M179)=0,"",AVERAGE(L179:M179))</f>
        <v/>
      </c>
      <c r="Q179">
        <f>IF(COUNT(O179:P179)=0,"",AVERAGE(O179:P179))</f>
        <v/>
      </c>
      <c r="R179">
        <f>IF(Q179&lt;&gt;"",Q179,IF(N179&lt;&gt;"",ROUND(N179*(1+$B$2),0),""))</f>
        <v/>
      </c>
      <c r="S179">
        <f>IF(AND(N179&lt;&gt;"",Q179&lt;&gt;"",N179&lt;&gt;0),(Q179-N179)/N179,"")</f>
        <v/>
      </c>
      <c r="T179" t="inlineStr">
        <is>
          <t>2026</t>
        </is>
      </c>
      <c r="U179" t="inlineStr">
        <is>
          <t>MUI Istiqlal 2026</t>
        </is>
      </c>
      <c r="V179" t="inlineStr">
        <is>
          <t>Real-CE MUI</t>
        </is>
      </c>
      <c r="X179" t="inlineStr">
        <is>
          <t>OK</t>
        </is>
      </c>
      <c r="Y179" t="inlineStr">
        <is>
          <t>logistics pic | person/event</t>
        </is>
      </c>
    </row>
    <row r="180">
      <c r="A180" t="n">
        <v>176</v>
      </c>
      <c r="B180" t="inlineStr">
        <is>
          <t>🕌 MUI EVENT DATA</t>
        </is>
      </c>
      <c r="C180" t="n">
        <v>109</v>
      </c>
      <c r="D180" t="inlineStr">
        <is>
          <t>MUI Real Cost</t>
        </is>
      </c>
      <c r="E180" t="inlineStr">
        <is>
          <t>Internal</t>
        </is>
      </c>
      <c r="F180" t="inlineStr">
        <is>
          <t>Manpower</t>
        </is>
      </c>
      <c r="H180" t="inlineStr">
        <is>
          <t>Parking Crew</t>
        </is>
      </c>
      <c r="I180" t="inlineStr">
        <is>
          <t>per orang per hari</t>
        </is>
      </c>
      <c r="J180" t="inlineStr">
        <is>
          <t>person/day</t>
        </is>
      </c>
      <c r="K180" t="inlineStr">
        <is>
          <t>1</t>
        </is>
      </c>
      <c r="L180" t="n">
        <v>400000</v>
      </c>
      <c r="M180" t="n">
        <v>400000</v>
      </c>
      <c r="N180">
        <f>IF(COUNT(L180:M180)=0,"",AVERAGE(L180:M180))</f>
        <v/>
      </c>
      <c r="Q180">
        <f>IF(COUNT(O180:P180)=0,"",AVERAGE(O180:P180))</f>
        <v/>
      </c>
      <c r="R180">
        <f>IF(Q180&lt;&gt;"",Q180,IF(N180&lt;&gt;"",ROUND(N180*(1+$B$2),0),""))</f>
        <v/>
      </c>
      <c r="S180">
        <f>IF(AND(N180&lt;&gt;"",Q180&lt;&gt;"",N180&lt;&gt;0),(Q180-N180)/N180,"")</f>
        <v/>
      </c>
      <c r="T180" t="inlineStr">
        <is>
          <t>2026</t>
        </is>
      </c>
      <c r="U180" t="inlineStr">
        <is>
          <t>MUI Istiqlal 2026</t>
        </is>
      </c>
      <c r="V180" t="inlineStr">
        <is>
          <t>Real-CE MUI</t>
        </is>
      </c>
      <c r="X180" t="inlineStr">
        <is>
          <t>OK</t>
        </is>
      </c>
      <c r="Y180" t="inlineStr">
        <is>
          <t>parking crew | person/day</t>
        </is>
      </c>
    </row>
    <row r="181">
      <c r="A181" t="n">
        <v>177</v>
      </c>
      <c r="B181" t="inlineStr">
        <is>
          <t>🕌 MUI EVENT DATA</t>
        </is>
      </c>
      <c r="C181" t="n">
        <v>102</v>
      </c>
      <c r="D181" t="inlineStr">
        <is>
          <t>MUI Real Cost</t>
        </is>
      </c>
      <c r="E181" t="inlineStr">
        <is>
          <t>Internal</t>
        </is>
      </c>
      <c r="F181" t="inlineStr">
        <is>
          <t>Manpower</t>
        </is>
      </c>
      <c r="H181" t="inlineStr">
        <is>
          <t>Paspampres Deteksi Liaison</t>
        </is>
      </c>
      <c r="J181" t="inlineStr">
        <is>
          <t>person/event</t>
        </is>
      </c>
      <c r="K181" t="inlineStr">
        <is>
          <t>1</t>
        </is>
      </c>
      <c r="L181" t="n">
        <v>5000000</v>
      </c>
      <c r="M181" t="n">
        <v>5000000</v>
      </c>
      <c r="N181">
        <f>IF(COUNT(L181:M181)=0,"",AVERAGE(L181:M181))</f>
        <v/>
      </c>
      <c r="Q181">
        <f>IF(COUNT(O181:P181)=0,"",AVERAGE(O181:P181))</f>
        <v/>
      </c>
      <c r="R181">
        <f>IF(Q181&lt;&gt;"",Q181,IF(N181&lt;&gt;"",ROUND(N181*(1+$B$2),0),""))</f>
        <v/>
      </c>
      <c r="S181">
        <f>IF(AND(N181&lt;&gt;"",Q181&lt;&gt;"",N181&lt;&gt;0),(Q181-N181)/N181,"")</f>
        <v/>
      </c>
      <c r="T181" t="inlineStr">
        <is>
          <t>2026</t>
        </is>
      </c>
      <c r="U181" t="inlineStr">
        <is>
          <t>MUI Istiqlal 2026</t>
        </is>
      </c>
      <c r="V181" t="inlineStr">
        <is>
          <t>Real-CE MUI</t>
        </is>
      </c>
      <c r="X181" t="inlineStr">
        <is>
          <t>OK</t>
        </is>
      </c>
      <c r="Y181" t="inlineStr">
        <is>
          <t>paspampres deteksi liaison | person/event</t>
        </is>
      </c>
    </row>
    <row r="182">
      <c r="A182" t="n">
        <v>178</v>
      </c>
      <c r="B182" t="inlineStr">
        <is>
          <t>🕌 MUI EVENT DATA</t>
        </is>
      </c>
      <c r="C182" t="n">
        <v>101</v>
      </c>
      <c r="D182" t="inlineStr">
        <is>
          <t>MUI Real Cost</t>
        </is>
      </c>
      <c r="E182" t="inlineStr">
        <is>
          <t>Internal</t>
        </is>
      </c>
      <c r="F182" t="inlineStr">
        <is>
          <t>Manpower</t>
        </is>
      </c>
      <c r="H182" t="inlineStr">
        <is>
          <t>Paspampres Liaison</t>
        </is>
      </c>
      <c r="J182" t="inlineStr">
        <is>
          <t>person/event</t>
        </is>
      </c>
      <c r="K182" t="inlineStr">
        <is>
          <t>1</t>
        </is>
      </c>
      <c r="L182" t="n">
        <v>5000000</v>
      </c>
      <c r="M182" t="n">
        <v>5000000</v>
      </c>
      <c r="N182">
        <f>IF(COUNT(L182:M182)=0,"",AVERAGE(L182:M182))</f>
        <v/>
      </c>
      <c r="Q182">
        <f>IF(COUNT(O182:P182)=0,"",AVERAGE(O182:P182))</f>
        <v/>
      </c>
      <c r="R182">
        <f>IF(Q182&lt;&gt;"",Q182,IF(N182&lt;&gt;"",ROUND(N182*(1+$B$2),0),""))</f>
        <v/>
      </c>
      <c r="S182">
        <f>IF(AND(N182&lt;&gt;"",Q182&lt;&gt;"",N182&lt;&gt;0),(Q182-N182)/N182,"")</f>
        <v/>
      </c>
      <c r="T182" t="inlineStr">
        <is>
          <t>2026</t>
        </is>
      </c>
      <c r="U182" t="inlineStr">
        <is>
          <t>MUI Istiqlal 2026</t>
        </is>
      </c>
      <c r="V182" t="inlineStr">
        <is>
          <t>Real-CE MUI</t>
        </is>
      </c>
      <c r="X182" t="inlineStr">
        <is>
          <t>Potential duplicate x2</t>
        </is>
      </c>
      <c r="Y182" t="inlineStr">
        <is>
          <t>paspampres liaison | person/event</t>
        </is>
      </c>
    </row>
    <row r="183">
      <c r="A183" t="n">
        <v>179</v>
      </c>
      <c r="B183" t="inlineStr">
        <is>
          <t>📋 PO &amp; RFP DATA</t>
        </is>
      </c>
      <c r="C183" t="n">
        <v>58</v>
      </c>
      <c r="D183" t="inlineStr">
        <is>
          <t>PO/RFP HPP</t>
        </is>
      </c>
      <c r="E183" t="inlineStr">
        <is>
          <t>Internal Team</t>
        </is>
      </c>
      <c r="F183" t="inlineStr">
        <is>
          <t>Manpower</t>
        </is>
      </c>
      <c r="H183" t="inlineStr">
        <is>
          <t>Pembaca Doa</t>
        </is>
      </c>
      <c r="I183" t="inlineStr">
        <is>
          <t>per event</t>
        </is>
      </c>
      <c r="J183" t="inlineStr">
        <is>
          <t>person/event</t>
        </is>
      </c>
      <c r="K183" t="inlineStr">
        <is>
          <t>1</t>
        </is>
      </c>
      <c r="L183" t="n">
        <v>1200000</v>
      </c>
      <c r="M183" t="n">
        <v>1200000</v>
      </c>
      <c r="N183">
        <f>IF(COUNT(L183:M183)=0,"",AVERAGE(L183:M183))</f>
        <v/>
      </c>
      <c r="Q183">
        <f>IF(COUNT(O183:P183)=0,"",AVERAGE(O183:P183))</f>
        <v/>
      </c>
      <c r="R183">
        <f>IF(Q183&lt;&gt;"",Q183,IF(N183&lt;&gt;"",ROUND(N183*(1+$B$2),0),""))</f>
        <v/>
      </c>
      <c r="S183">
        <f>IF(AND(N183&lt;&gt;"",Q183&lt;&gt;"",N183&lt;&gt;0),(Q183-N183)/N183,"")</f>
        <v/>
      </c>
      <c r="T183" t="inlineStr">
        <is>
          <t>2026</t>
        </is>
      </c>
      <c r="U183" t="inlineStr">
        <is>
          <t>GAPEMPI Mandarin Oriental</t>
        </is>
      </c>
      <c r="V183" t="inlineStr">
        <is>
          <t>RFP GAPEMPI 31 Maret 2026</t>
        </is>
      </c>
      <c r="X183" t="inlineStr">
        <is>
          <t>OK</t>
        </is>
      </c>
      <c r="Y183" t="inlineStr">
        <is>
          <t>pembaca doa | person/event</t>
        </is>
      </c>
    </row>
    <row r="184">
      <c r="A184" t="n">
        <v>180</v>
      </c>
      <c r="B184" t="inlineStr">
        <is>
          <t>💰 HPP VENDOR</t>
        </is>
      </c>
      <c r="C184" t="n">
        <v>17</v>
      </c>
      <c r="D184" t="inlineStr">
        <is>
          <t>Vendor HPP</t>
        </is>
      </c>
      <c r="E184" t="inlineStr">
        <is>
          <t>Dinamix Production</t>
        </is>
      </c>
      <c r="F184" t="inlineStr">
        <is>
          <t>Manpower</t>
        </is>
      </c>
      <c r="H184" t="inlineStr">
        <is>
          <t>Production Crew</t>
        </is>
      </c>
      <c r="J184" t="inlineStr">
        <is>
          <t>pax</t>
        </is>
      </c>
      <c r="K184" t="inlineStr">
        <is>
          <t>1</t>
        </is>
      </c>
      <c r="L184" t="n">
        <v>1000000</v>
      </c>
      <c r="M184" t="n">
        <v>1000000</v>
      </c>
      <c r="N184">
        <f>IF(COUNT(L184:M184)=0,"",AVERAGE(L184:M184))</f>
        <v/>
      </c>
      <c r="Q184">
        <f>IF(COUNT(O184:P184)=0,"",AVERAGE(O184:P184))</f>
        <v/>
      </c>
      <c r="R184">
        <f>IF(Q184&lt;&gt;"",Q184,IF(N184&lt;&gt;"",ROUND(N184*(1+$B$2),0),""))</f>
        <v/>
      </c>
      <c r="S184">
        <f>IF(AND(N184&lt;&gt;"",Q184&lt;&gt;"",N184&lt;&gt;0),(Q184-N184)/N184,"")</f>
        <v/>
      </c>
      <c r="T184" t="inlineStr">
        <is>
          <t>2025</t>
        </is>
      </c>
      <c r="U184" t="inlineStr">
        <is>
          <t>Sunpride Bandung</t>
        </is>
      </c>
      <c r="V184" t="inlineStr">
        <is>
          <t>HPP Vendor</t>
        </is>
      </c>
      <c r="X184" t="inlineStr">
        <is>
          <t>OK</t>
        </is>
      </c>
      <c r="Y184" t="inlineStr">
        <is>
          <t>production crew | pax</t>
        </is>
      </c>
    </row>
    <row r="185">
      <c r="A185" t="n">
        <v>181</v>
      </c>
      <c r="B185" t="inlineStr">
        <is>
          <t>🕌 MUI EVENT DATA</t>
        </is>
      </c>
      <c r="C185" t="n">
        <v>84</v>
      </c>
      <c r="D185" t="inlineStr">
        <is>
          <t>MUI Real Cost</t>
        </is>
      </c>
      <c r="E185" t="inlineStr">
        <is>
          <t>Prototipe (Arie Andriadi)</t>
        </is>
      </c>
      <c r="F185" t="inlineStr">
        <is>
          <t>Manpower</t>
        </is>
      </c>
      <c r="H185" t="inlineStr">
        <is>
          <t>Production Team (5 org teknis+advisor+3D+sound)</t>
        </is>
      </c>
      <c r="I185" t="inlineStr">
        <is>
          <t>13 Jan - 10 Feb 2026</t>
        </is>
      </c>
      <c r="J185" t="inlineStr">
        <is>
          <t>team</t>
        </is>
      </c>
      <c r="K185" t="inlineStr">
        <is>
          <t>1</t>
        </is>
      </c>
      <c r="L185" t="n">
        <v>38000000</v>
      </c>
      <c r="M185" t="n">
        <v>38000000</v>
      </c>
      <c r="N185">
        <f>IF(COUNT(L185:M185)=0,"",AVERAGE(L185:M185))</f>
        <v/>
      </c>
      <c r="Q185">
        <f>IF(COUNT(O185:P185)=0,"",AVERAGE(O185:P185))</f>
        <v/>
      </c>
      <c r="R185">
        <f>IF(Q185&lt;&gt;"",Q185,IF(N185&lt;&gt;"",ROUND(N185*(1+$B$2),0),""))</f>
        <v/>
      </c>
      <c r="S185">
        <f>IF(AND(N185&lt;&gt;"",Q185&lt;&gt;"",N185&lt;&gt;0),(Q185-N185)/N185,"")</f>
        <v/>
      </c>
      <c r="T185" t="inlineStr">
        <is>
          <t>2026</t>
        </is>
      </c>
      <c r="U185" t="inlineStr">
        <is>
          <t>MUI Istiqlal 2026</t>
        </is>
      </c>
      <c r="V185" t="inlineStr">
        <is>
          <t>SPK 1/JBBS/SPK-MUI/II/2026</t>
        </is>
      </c>
      <c r="X185" t="inlineStr">
        <is>
          <t>OK</t>
        </is>
      </c>
      <c r="Y185" t="inlineStr">
        <is>
          <t>production team (5 org teknis+advisor+3d+sound) | team</t>
        </is>
      </c>
    </row>
    <row r="186">
      <c r="A186" t="n">
        <v>182</v>
      </c>
      <c r="B186" t="inlineStr">
        <is>
          <t>🕌 MUI EVENT DATA</t>
        </is>
      </c>
      <c r="C186" t="n">
        <v>81</v>
      </c>
      <c r="D186" t="inlineStr">
        <is>
          <t>MUI Real Cost</t>
        </is>
      </c>
      <c r="E186" t="inlineStr">
        <is>
          <t>Joko Santoso</t>
        </is>
      </c>
      <c r="F186" t="inlineStr">
        <is>
          <t>Manpower</t>
        </is>
      </c>
      <c r="H186" t="inlineStr">
        <is>
          <t>Project Manager</t>
        </is>
      </c>
      <c r="I186" t="inlineStr">
        <is>
          <t>18 Jan - 7 Feb 2026</t>
        </is>
      </c>
      <c r="J186" t="inlineStr">
        <is>
          <t>person/event</t>
        </is>
      </c>
      <c r="K186" t="inlineStr">
        <is>
          <t>1</t>
        </is>
      </c>
      <c r="L186" t="n">
        <v>8000000</v>
      </c>
      <c r="M186" t="n">
        <v>8000000</v>
      </c>
      <c r="N186">
        <f>IF(COUNT(L186:M186)=0,"",AVERAGE(L186:M186))</f>
        <v/>
      </c>
      <c r="Q186">
        <f>IF(COUNT(O186:P186)=0,"",AVERAGE(O186:P186))</f>
        <v/>
      </c>
      <c r="R186">
        <f>IF(Q186&lt;&gt;"",Q186,IF(N186&lt;&gt;"",ROUND(N186*(1+$B$2),0),""))</f>
        <v/>
      </c>
      <c r="S186">
        <f>IF(AND(N186&lt;&gt;"",Q186&lt;&gt;"",N186&lt;&gt;0),(Q186-N186)/N186,"")</f>
        <v/>
      </c>
      <c r="T186" t="inlineStr">
        <is>
          <t>2026</t>
        </is>
      </c>
      <c r="U186" t="inlineStr">
        <is>
          <t>MUI Istiqlal 2026</t>
        </is>
      </c>
      <c r="V186" t="inlineStr">
        <is>
          <t>SPK 2/JBBS/SPK-MUI/II/2026</t>
        </is>
      </c>
      <c r="X186" t="inlineStr">
        <is>
          <t>OK</t>
        </is>
      </c>
      <c r="Y186" t="inlineStr">
        <is>
          <t>project manager | person/event</t>
        </is>
      </c>
    </row>
    <row r="187">
      <c r="A187" t="n">
        <v>183</v>
      </c>
      <c r="B187" t="inlineStr">
        <is>
          <t>📋 PO &amp; RFP DATA</t>
        </is>
      </c>
      <c r="C187" t="n">
        <v>55</v>
      </c>
      <c r="D187" t="inlineStr">
        <is>
          <t>PO/RFP HPP</t>
        </is>
      </c>
      <c r="E187" t="inlineStr">
        <is>
          <t>Internal Team</t>
        </is>
      </c>
      <c r="F187" t="inlineStr">
        <is>
          <t>Manpower</t>
        </is>
      </c>
      <c r="H187" t="inlineStr">
        <is>
          <t>Project Manager (freelance)</t>
        </is>
      </c>
      <c r="I187" t="inlineStr">
        <is>
          <t>per event</t>
        </is>
      </c>
      <c r="J187" t="inlineStr">
        <is>
          <t>person/event</t>
        </is>
      </c>
      <c r="K187" t="inlineStr">
        <is>
          <t>1</t>
        </is>
      </c>
      <c r="L187" t="n">
        <v>8000000</v>
      </c>
      <c r="M187" t="n">
        <v>8000000</v>
      </c>
      <c r="N187">
        <f>IF(COUNT(L187:M187)=0,"",AVERAGE(L187:M187))</f>
        <v/>
      </c>
      <c r="Q187">
        <f>IF(COUNT(O187:P187)=0,"",AVERAGE(O187:P187))</f>
        <v/>
      </c>
      <c r="R187">
        <f>IF(Q187&lt;&gt;"",Q187,IF(N187&lt;&gt;"",ROUND(N187*(1+$B$2),0),""))</f>
        <v/>
      </c>
      <c r="S187">
        <f>IF(AND(N187&lt;&gt;"",Q187&lt;&gt;"",N187&lt;&gt;0),(Q187-N187)/N187,"")</f>
        <v/>
      </c>
      <c r="T187" t="inlineStr">
        <is>
          <t>2026</t>
        </is>
      </c>
      <c r="U187" t="inlineStr">
        <is>
          <t>GAPEMPI Mandarin Oriental</t>
        </is>
      </c>
      <c r="V187" t="inlineStr">
        <is>
          <t>RFP GAPEMPI 6 April 2026</t>
        </is>
      </c>
      <c r="X187" t="inlineStr">
        <is>
          <t>OK</t>
        </is>
      </c>
      <c r="Y187" t="inlineStr">
        <is>
          <t>project manager (freelance) | person/event</t>
        </is>
      </c>
    </row>
    <row r="188">
      <c r="A188" t="n">
        <v>184</v>
      </c>
      <c r="B188" t="inlineStr">
        <is>
          <t>💰 HPP VENDOR</t>
        </is>
      </c>
      <c r="C188" t="n">
        <v>16</v>
      </c>
      <c r="D188" t="inlineStr">
        <is>
          <t>Vendor HPP</t>
        </is>
      </c>
      <c r="E188" t="inlineStr">
        <is>
          <t>Dinamix Production</t>
        </is>
      </c>
      <c r="F188" t="inlineStr">
        <is>
          <t>Manpower</t>
        </is>
      </c>
      <c r="H188" t="inlineStr">
        <is>
          <t>Project Officer</t>
        </is>
      </c>
      <c r="J188" t="inlineStr">
        <is>
          <t>pax</t>
        </is>
      </c>
      <c r="K188" t="inlineStr">
        <is>
          <t>1</t>
        </is>
      </c>
      <c r="L188" t="n">
        <v>1500000</v>
      </c>
      <c r="M188" t="n">
        <v>1500000</v>
      </c>
      <c r="N188">
        <f>IF(COUNT(L188:M188)=0,"",AVERAGE(L188:M188))</f>
        <v/>
      </c>
      <c r="Q188">
        <f>IF(COUNT(O188:P188)=0,"",AVERAGE(O188:P188))</f>
        <v/>
      </c>
      <c r="R188">
        <f>IF(Q188&lt;&gt;"",Q188,IF(N188&lt;&gt;"",ROUND(N188*(1+$B$2),0),""))</f>
        <v/>
      </c>
      <c r="S188">
        <f>IF(AND(N188&lt;&gt;"",Q188&lt;&gt;"",N188&lt;&gt;0),(Q188-N188)/N188,"")</f>
        <v/>
      </c>
      <c r="T188" t="inlineStr">
        <is>
          <t>2025</t>
        </is>
      </c>
      <c r="U188" t="inlineStr">
        <is>
          <t>Sunpride Bandung</t>
        </is>
      </c>
      <c r="V188" t="inlineStr">
        <is>
          <t>HPP Vendor</t>
        </is>
      </c>
      <c r="X188" t="inlineStr">
        <is>
          <t>OK</t>
        </is>
      </c>
      <c r="Y188" t="inlineStr">
        <is>
          <t>project officer | pax</t>
        </is>
      </c>
    </row>
    <row r="189">
      <c r="A189" t="n">
        <v>185</v>
      </c>
      <c r="B189" t="inlineStr">
        <is>
          <t>📋 PO &amp; RFP DATA</t>
        </is>
      </c>
      <c r="C189" t="n">
        <v>54</v>
      </c>
      <c r="D189" t="inlineStr">
        <is>
          <t>PO/RFP HPP</t>
        </is>
      </c>
      <c r="E189" t="inlineStr">
        <is>
          <t>Internal Team</t>
        </is>
      </c>
      <c r="F189" t="inlineStr">
        <is>
          <t>Manpower</t>
        </is>
      </c>
      <c r="H189" t="inlineStr">
        <is>
          <t>Project Officer (freelance)</t>
        </is>
      </c>
      <c r="I189" t="inlineStr">
        <is>
          <t>per event</t>
        </is>
      </c>
      <c r="J189" t="inlineStr">
        <is>
          <t>person/event</t>
        </is>
      </c>
      <c r="K189" t="inlineStr">
        <is>
          <t>1</t>
        </is>
      </c>
      <c r="L189" t="n">
        <v>3500000</v>
      </c>
      <c r="M189" t="n">
        <v>3500000</v>
      </c>
      <c r="N189">
        <f>IF(COUNT(L189:M189)=0,"",AVERAGE(L189:M189))</f>
        <v/>
      </c>
      <c r="Q189">
        <f>IF(COUNT(O189:P189)=0,"",AVERAGE(O189:P189))</f>
        <v/>
      </c>
      <c r="R189">
        <f>IF(Q189&lt;&gt;"",Q189,IF(N189&lt;&gt;"",ROUND(N189*(1+$B$2),0),""))</f>
        <v/>
      </c>
      <c r="S189">
        <f>IF(AND(N189&lt;&gt;"",Q189&lt;&gt;"",N189&lt;&gt;0),(Q189-N189)/N189,"")</f>
        <v/>
      </c>
      <c r="T189" t="inlineStr">
        <is>
          <t>2026</t>
        </is>
      </c>
      <c r="U189" t="inlineStr">
        <is>
          <t>GAPEMPI Mandarin Oriental</t>
        </is>
      </c>
      <c r="V189" t="inlineStr">
        <is>
          <t>SPK 34/JBBS/SPK-GAGEMPI/III/2026</t>
        </is>
      </c>
      <c r="X189" t="inlineStr">
        <is>
          <t>OK</t>
        </is>
      </c>
      <c r="Y189" t="inlineStr">
        <is>
          <t>project officer (freelance) | person/event</t>
        </is>
      </c>
    </row>
    <row r="190">
      <c r="A190" t="n">
        <v>186</v>
      </c>
      <c r="B190" t="inlineStr">
        <is>
          <t>🕌 MUI EVENT DATA</t>
        </is>
      </c>
      <c r="C190" t="n">
        <v>100</v>
      </c>
      <c r="D190" t="inlineStr">
        <is>
          <t>MUI Real Cost</t>
        </is>
      </c>
      <c r="E190" t="inlineStr">
        <is>
          <t>Internal</t>
        </is>
      </c>
      <c r="F190" t="inlineStr">
        <is>
          <t>Manpower</t>
        </is>
      </c>
      <c r="H190" t="inlineStr">
        <is>
          <t>Protokoler Liaison</t>
        </is>
      </c>
      <c r="J190" t="inlineStr">
        <is>
          <t>person/event</t>
        </is>
      </c>
      <c r="K190" t="inlineStr">
        <is>
          <t>1</t>
        </is>
      </c>
      <c r="L190" t="n">
        <v>2000000</v>
      </c>
      <c r="M190" t="n">
        <v>2000000</v>
      </c>
      <c r="N190">
        <f>IF(COUNT(L190:M190)=0,"",AVERAGE(L190:M190))</f>
        <v/>
      </c>
      <c r="Q190">
        <f>IF(COUNT(O190:P190)=0,"",AVERAGE(O190:P190))</f>
        <v/>
      </c>
      <c r="R190">
        <f>IF(Q190&lt;&gt;"",Q190,IF(N190&lt;&gt;"",ROUND(N190*(1+$B$2),0),""))</f>
        <v/>
      </c>
      <c r="S190">
        <f>IF(AND(N190&lt;&gt;"",Q190&lt;&gt;"",N190&lt;&gt;0),(Q190-N190)/N190,"")</f>
        <v/>
      </c>
      <c r="T190" t="inlineStr">
        <is>
          <t>2026</t>
        </is>
      </c>
      <c r="U190" t="inlineStr">
        <is>
          <t>MUI Istiqlal 2026</t>
        </is>
      </c>
      <c r="V190" t="inlineStr">
        <is>
          <t>Real-CE MUI</t>
        </is>
      </c>
      <c r="X190" t="inlineStr">
        <is>
          <t>Potential duplicate x2</t>
        </is>
      </c>
      <c r="Y190" t="inlineStr">
        <is>
          <t>protokoler liaison | person/event</t>
        </is>
      </c>
    </row>
    <row r="191">
      <c r="A191" t="n">
        <v>187</v>
      </c>
      <c r="B191" t="inlineStr">
        <is>
          <t>🕌 MUI EVENT DATA</t>
        </is>
      </c>
      <c r="C191" t="n">
        <v>94</v>
      </c>
      <c r="D191" t="inlineStr">
        <is>
          <t>MUI Real Cost</t>
        </is>
      </c>
      <c r="E191" t="inlineStr">
        <is>
          <t>Internal</t>
        </is>
      </c>
      <c r="F191" t="inlineStr">
        <is>
          <t>Manpower</t>
        </is>
      </c>
      <c r="H191" t="inlineStr">
        <is>
          <t>Runner</t>
        </is>
      </c>
      <c r="I191" t="inlineStr">
        <is>
          <t>per orang per hari</t>
        </is>
      </c>
      <c r="J191" t="inlineStr">
        <is>
          <t>person/day</t>
        </is>
      </c>
      <c r="K191" t="inlineStr">
        <is>
          <t>1</t>
        </is>
      </c>
      <c r="L191" t="n">
        <v>400000</v>
      </c>
      <c r="M191" t="n">
        <v>400000</v>
      </c>
      <c r="N191">
        <f>IF(COUNT(L191:M191)=0,"",AVERAGE(L191:M191))</f>
        <v/>
      </c>
      <c r="Q191">
        <f>IF(COUNT(O191:P191)=0,"",AVERAGE(O191:P191))</f>
        <v/>
      </c>
      <c r="R191">
        <f>IF(Q191&lt;&gt;"",Q191,IF(N191&lt;&gt;"",ROUND(N191*(1+$B$2),0),""))</f>
        <v/>
      </c>
      <c r="S191">
        <f>IF(AND(N191&lt;&gt;"",Q191&lt;&gt;"",N191&lt;&gt;0),(Q191-N191)/N191,"")</f>
        <v/>
      </c>
      <c r="T191" t="inlineStr">
        <is>
          <t>2026</t>
        </is>
      </c>
      <c r="U191" t="inlineStr">
        <is>
          <t>MUI Istiqlal 2026</t>
        </is>
      </c>
      <c r="V191" t="inlineStr">
        <is>
          <t>Real-CE MUI</t>
        </is>
      </c>
      <c r="X191" t="inlineStr">
        <is>
          <t>OK</t>
        </is>
      </c>
      <c r="Y191" t="inlineStr">
        <is>
          <t>runner | person/day</t>
        </is>
      </c>
    </row>
    <row r="192">
      <c r="A192" t="n">
        <v>188</v>
      </c>
      <c r="B192" t="inlineStr">
        <is>
          <t>💰 HPP VENDOR</t>
        </is>
      </c>
      <c r="C192" t="n">
        <v>65</v>
      </c>
      <c r="D192" t="inlineStr">
        <is>
          <t>Vendor HPP</t>
        </is>
      </c>
      <c r="E192" t="inlineStr">
        <is>
          <t>Inge Milasari Sanjaya (Vendor Lokal)</t>
        </is>
      </c>
      <c r="F192" t="inlineStr">
        <is>
          <t>Manpower</t>
        </is>
      </c>
      <c r="H192" t="inlineStr">
        <is>
          <t>Runner</t>
        </is>
      </c>
      <c r="I192" t="inlineStr">
        <is>
          <t>per orang</t>
        </is>
      </c>
      <c r="J192" t="inlineStr">
        <is>
          <t>pax</t>
        </is>
      </c>
      <c r="K192" t="inlineStr">
        <is>
          <t>1</t>
        </is>
      </c>
      <c r="L192" t="n">
        <v>500000</v>
      </c>
      <c r="M192" t="n">
        <v>500000</v>
      </c>
      <c r="N192">
        <f>IF(COUNT(L192:M192)=0,"",AVERAGE(L192:M192))</f>
        <v/>
      </c>
      <c r="Q192">
        <f>IF(COUNT(O192:P192)=0,"",AVERAGE(O192:P192))</f>
        <v/>
      </c>
      <c r="R192">
        <f>IF(Q192&lt;&gt;"",Q192,IF(N192&lt;&gt;"",ROUND(N192*(1+$B$2),0),""))</f>
        <v/>
      </c>
      <c r="S192">
        <f>IF(AND(N192&lt;&gt;"",Q192&lt;&gt;"",N192&lt;&gt;0),(Q192-N192)/N192,"")</f>
        <v/>
      </c>
      <c r="T192" t="inlineStr">
        <is>
          <t>2026</t>
        </is>
      </c>
      <c r="U192" t="inlineStr">
        <is>
          <t>Safari Ramadhan PGN Bogor</t>
        </is>
      </c>
      <c r="V192" t="inlineStr">
        <is>
          <t>HPP Vendor</t>
        </is>
      </c>
      <c r="X192" t="inlineStr">
        <is>
          <t>OK</t>
        </is>
      </c>
      <c r="Y192" t="inlineStr">
        <is>
          <t>runner | pax</t>
        </is>
      </c>
    </row>
    <row r="193">
      <c r="A193" t="n">
        <v>189</v>
      </c>
      <c r="B193" t="inlineStr">
        <is>
          <t>📋 PO &amp; RFP DATA</t>
        </is>
      </c>
      <c r="C193" t="n">
        <v>56</v>
      </c>
      <c r="D193" t="inlineStr">
        <is>
          <t>PO/RFP HPP</t>
        </is>
      </c>
      <c r="E193" t="inlineStr">
        <is>
          <t>Internal Team</t>
        </is>
      </c>
      <c r="F193" t="inlineStr">
        <is>
          <t>Manpower</t>
        </is>
      </c>
      <c r="H193" t="inlineStr">
        <is>
          <t>SSO (Safety Security Officer)</t>
        </is>
      </c>
      <c r="I193" t="inlineStr">
        <is>
          <t>per event</t>
        </is>
      </c>
      <c r="J193" t="inlineStr">
        <is>
          <t>person/event</t>
        </is>
      </c>
      <c r="K193" t="inlineStr">
        <is>
          <t>1</t>
        </is>
      </c>
      <c r="L193" t="n">
        <v>3500000</v>
      </c>
      <c r="M193" t="n">
        <v>3500000</v>
      </c>
      <c r="N193">
        <f>IF(COUNT(L193:M193)=0,"",AVERAGE(L193:M193))</f>
        <v/>
      </c>
      <c r="Q193">
        <f>IF(COUNT(O193:P193)=0,"",AVERAGE(O193:P193))</f>
        <v/>
      </c>
      <c r="R193">
        <f>IF(Q193&lt;&gt;"",Q193,IF(N193&lt;&gt;"",ROUND(N193*(1+$B$2),0),""))</f>
        <v/>
      </c>
      <c r="S193">
        <f>IF(AND(N193&lt;&gt;"",Q193&lt;&gt;"",N193&lt;&gt;0),(Q193-N193)/N193,"")</f>
        <v/>
      </c>
      <c r="T193" t="inlineStr">
        <is>
          <t>2026</t>
        </is>
      </c>
      <c r="U193" t="inlineStr">
        <is>
          <t>GAPEMPI Mandarin Oriental</t>
        </is>
      </c>
      <c r="V193" t="inlineStr">
        <is>
          <t>RFP GAPEMPI 7 April 2026</t>
        </is>
      </c>
      <c r="X193" t="inlineStr">
        <is>
          <t>OK</t>
        </is>
      </c>
      <c r="Y193" t="inlineStr">
        <is>
          <t>sso (safety security officer) | person/event</t>
        </is>
      </c>
    </row>
    <row r="194">
      <c r="A194" t="n">
        <v>190</v>
      </c>
      <c r="B194" t="inlineStr">
        <is>
          <t>🕌 MUI EVENT DATA</t>
        </is>
      </c>
      <c r="C194" t="n">
        <v>97</v>
      </c>
      <c r="D194" t="inlineStr">
        <is>
          <t>MUI Real Cost</t>
        </is>
      </c>
      <c r="E194" t="inlineStr">
        <is>
          <t>Internal</t>
        </is>
      </c>
      <c r="F194" t="inlineStr">
        <is>
          <t>Manpower</t>
        </is>
      </c>
      <c r="H194" t="inlineStr">
        <is>
          <t>Safety Security Officer</t>
        </is>
      </c>
      <c r="J194" t="inlineStr">
        <is>
          <t>person/event</t>
        </is>
      </c>
      <c r="K194" t="inlineStr">
        <is>
          <t>1</t>
        </is>
      </c>
      <c r="L194" t="n">
        <v>3500000</v>
      </c>
      <c r="M194" t="n">
        <v>3500000</v>
      </c>
      <c r="N194">
        <f>IF(COUNT(L194:M194)=0,"",AVERAGE(L194:M194))</f>
        <v/>
      </c>
      <c r="Q194">
        <f>IF(COUNT(O194:P194)=0,"",AVERAGE(O194:P194))</f>
        <v/>
      </c>
      <c r="R194">
        <f>IF(Q194&lt;&gt;"",Q194,IF(N194&lt;&gt;"",ROUND(N194*(1+$B$2),0),""))</f>
        <v/>
      </c>
      <c r="S194">
        <f>IF(AND(N194&lt;&gt;"",Q194&lt;&gt;"",N194&lt;&gt;0),(Q194-N194)/N194,"")</f>
        <v/>
      </c>
      <c r="T194" t="inlineStr">
        <is>
          <t>2026</t>
        </is>
      </c>
      <c r="U194" t="inlineStr">
        <is>
          <t>MUI Istiqlal 2026</t>
        </is>
      </c>
      <c r="V194" t="inlineStr">
        <is>
          <t>Real-CE MUI</t>
        </is>
      </c>
      <c r="X194" t="inlineStr">
        <is>
          <t>OK</t>
        </is>
      </c>
      <c r="Y194" t="inlineStr">
        <is>
          <t>safety security officer | person/event</t>
        </is>
      </c>
    </row>
    <row r="195">
      <c r="A195" t="n">
        <v>191</v>
      </c>
      <c r="B195" t="inlineStr">
        <is>
          <t>🕌 MUI EVENT DATA</t>
        </is>
      </c>
      <c r="C195" t="n">
        <v>83</v>
      </c>
      <c r="D195" t="inlineStr">
        <is>
          <t>MUI Real Cost</t>
        </is>
      </c>
      <c r="E195" t="inlineStr">
        <is>
          <t>M Brama Dwi Saputra</t>
        </is>
      </c>
      <c r="F195" t="inlineStr">
        <is>
          <t>Manpower</t>
        </is>
      </c>
      <c r="H195" t="inlineStr">
        <is>
          <t>Show Management</t>
        </is>
      </c>
      <c r="I195" t="inlineStr">
        <is>
          <t>6-7 Feb 2026</t>
        </is>
      </c>
      <c r="J195" t="inlineStr">
        <is>
          <t>person/event</t>
        </is>
      </c>
      <c r="K195" t="inlineStr">
        <is>
          <t>1</t>
        </is>
      </c>
      <c r="L195" t="n">
        <v>15000000</v>
      </c>
      <c r="M195" t="n">
        <v>15000000</v>
      </c>
      <c r="N195">
        <f>IF(COUNT(L195:M195)=0,"",AVERAGE(L195:M195))</f>
        <v/>
      </c>
      <c r="Q195">
        <f>IF(COUNT(O195:P195)=0,"",AVERAGE(O195:P195))</f>
        <v/>
      </c>
      <c r="R195">
        <f>IF(Q195&lt;&gt;"",Q195,IF(N195&lt;&gt;"",ROUND(N195*(1+$B$2),0),""))</f>
        <v/>
      </c>
      <c r="S195">
        <f>IF(AND(N195&lt;&gt;"",Q195&lt;&gt;"",N195&lt;&gt;0),(Q195-N195)/N195,"")</f>
        <v/>
      </c>
      <c r="T195" t="inlineStr">
        <is>
          <t>2026</t>
        </is>
      </c>
      <c r="U195" t="inlineStr">
        <is>
          <t>MUI Istiqlal 2026</t>
        </is>
      </c>
      <c r="V195" t="inlineStr">
        <is>
          <t>SPK 9/JBBS/SPK-MUI/II/2026</t>
        </is>
      </c>
      <c r="X195" t="inlineStr">
        <is>
          <t>OK</t>
        </is>
      </c>
      <c r="Y195" t="inlineStr">
        <is>
          <t>show management | person/event</t>
        </is>
      </c>
    </row>
    <row r="196">
      <c r="A196" t="n">
        <v>192</v>
      </c>
      <c r="B196" t="inlineStr">
        <is>
          <t>🕌 MUI EVENT DATA</t>
        </is>
      </c>
      <c r="C196" t="n">
        <v>111</v>
      </c>
      <c r="D196" t="inlineStr">
        <is>
          <t>MUI Real Cost</t>
        </is>
      </c>
      <c r="E196" t="inlineStr">
        <is>
          <t>Internal</t>
        </is>
      </c>
      <c r="F196" t="inlineStr">
        <is>
          <t>Manpower</t>
        </is>
      </c>
      <c r="H196" t="inlineStr">
        <is>
          <t>Staff Kepesertaan</t>
        </is>
      </c>
      <c r="J196" t="inlineStr">
        <is>
          <t>person/event</t>
        </is>
      </c>
      <c r="K196" t="inlineStr">
        <is>
          <t>1</t>
        </is>
      </c>
      <c r="L196" t="n">
        <v>2500000</v>
      </c>
      <c r="M196" t="n">
        <v>2500000</v>
      </c>
      <c r="N196">
        <f>IF(COUNT(L196:M196)=0,"",AVERAGE(L196:M196))</f>
        <v/>
      </c>
      <c r="Q196">
        <f>IF(COUNT(O196:P196)=0,"",AVERAGE(O196:P196))</f>
        <v/>
      </c>
      <c r="R196">
        <f>IF(Q196&lt;&gt;"",Q196,IF(N196&lt;&gt;"",ROUND(N196*(1+$B$2),0),""))</f>
        <v/>
      </c>
      <c r="S196">
        <f>IF(AND(N196&lt;&gt;"",Q196&lt;&gt;"",N196&lt;&gt;0),(Q196-N196)/N196,"")</f>
        <v/>
      </c>
      <c r="T196" t="inlineStr">
        <is>
          <t>2026</t>
        </is>
      </c>
      <c r="U196" t="inlineStr">
        <is>
          <t>MUI Istiqlal 2026</t>
        </is>
      </c>
      <c r="V196" t="inlineStr">
        <is>
          <t>Real-CE MUI</t>
        </is>
      </c>
      <c r="X196" t="inlineStr">
        <is>
          <t>OK</t>
        </is>
      </c>
      <c r="Y196" t="inlineStr">
        <is>
          <t>staff kepesertaan | person/event</t>
        </is>
      </c>
    </row>
    <row r="197">
      <c r="A197" t="n">
        <v>193</v>
      </c>
      <c r="B197" t="inlineStr">
        <is>
          <t>🕌 MUI EVENT DATA</t>
        </is>
      </c>
      <c r="C197" t="n">
        <v>95</v>
      </c>
      <c r="D197" t="inlineStr">
        <is>
          <t>MUI Real Cost</t>
        </is>
      </c>
      <c r="E197" t="inlineStr">
        <is>
          <t>Internal</t>
        </is>
      </c>
      <c r="F197" t="inlineStr">
        <is>
          <t>Manpower</t>
        </is>
      </c>
      <c r="H197" t="inlineStr">
        <is>
          <t>Talent Coordinator</t>
        </is>
      </c>
      <c r="J197" t="inlineStr">
        <is>
          <t>person/event</t>
        </is>
      </c>
      <c r="K197" t="inlineStr">
        <is>
          <t>1</t>
        </is>
      </c>
      <c r="L197" t="n">
        <v>2500000</v>
      </c>
      <c r="M197" t="n">
        <v>2500000</v>
      </c>
      <c r="N197">
        <f>IF(COUNT(L197:M197)=0,"",AVERAGE(L197:M197))</f>
        <v/>
      </c>
      <c r="Q197">
        <f>IF(COUNT(O197:P197)=0,"",AVERAGE(O197:P197))</f>
        <v/>
      </c>
      <c r="R197">
        <f>IF(Q197&lt;&gt;"",Q197,IF(N197&lt;&gt;"",ROUND(N197*(1+$B$2),0),""))</f>
        <v/>
      </c>
      <c r="S197">
        <f>IF(AND(N197&lt;&gt;"",Q197&lt;&gt;"",N197&lt;&gt;0),(Q197-N197)/N197,"")</f>
        <v/>
      </c>
      <c r="T197" t="inlineStr">
        <is>
          <t>2026</t>
        </is>
      </c>
      <c r="U197" t="inlineStr">
        <is>
          <t>MUI Istiqlal 2026</t>
        </is>
      </c>
      <c r="V197" t="inlineStr">
        <is>
          <t>Real-CE MUI</t>
        </is>
      </c>
      <c r="X197" t="inlineStr">
        <is>
          <t>Potential duplicate x2</t>
        </is>
      </c>
      <c r="Y197" t="inlineStr">
        <is>
          <t>talent coordinator | person/event</t>
        </is>
      </c>
    </row>
    <row r="198">
      <c r="A198" t="n">
        <v>194</v>
      </c>
      <c r="B198" t="inlineStr">
        <is>
          <t>🕌 MUI EVENT DATA</t>
        </is>
      </c>
      <c r="C198" t="n">
        <v>86</v>
      </c>
      <c r="D198" t="inlineStr">
        <is>
          <t>MUI Real Cost</t>
        </is>
      </c>
      <c r="E198" t="inlineStr">
        <is>
          <t>Lurry Dhirosta</t>
        </is>
      </c>
      <c r="F198" t="inlineStr">
        <is>
          <t>Manpower</t>
        </is>
      </c>
      <c r="H198" t="inlineStr">
        <is>
          <t>Talent Coordinator &amp; LO</t>
        </is>
      </c>
      <c r="I198" t="inlineStr">
        <is>
          <t>1-7 Feb 2026</t>
        </is>
      </c>
      <c r="J198" t="inlineStr">
        <is>
          <t>person/event</t>
        </is>
      </c>
      <c r="K198" t="inlineStr">
        <is>
          <t>1</t>
        </is>
      </c>
      <c r="L198" t="n">
        <v>7000000</v>
      </c>
      <c r="M198" t="n">
        <v>7000000</v>
      </c>
      <c r="N198">
        <f>IF(COUNT(L198:M198)=0,"",AVERAGE(L198:M198))</f>
        <v/>
      </c>
      <c r="Q198">
        <f>IF(COUNT(O198:P198)=0,"",AVERAGE(O198:P198))</f>
        <v/>
      </c>
      <c r="R198">
        <f>IF(Q198&lt;&gt;"",Q198,IF(N198&lt;&gt;"",ROUND(N198*(1+$B$2),0),""))</f>
        <v/>
      </c>
      <c r="S198">
        <f>IF(AND(N198&lt;&gt;"",Q198&lt;&gt;"",N198&lt;&gt;0),(Q198-N198)/N198,"")</f>
        <v/>
      </c>
      <c r="T198" t="inlineStr">
        <is>
          <t>2026</t>
        </is>
      </c>
      <c r="U198" t="inlineStr">
        <is>
          <t>MUI Istiqlal 2026</t>
        </is>
      </c>
      <c r="V198" t="inlineStr">
        <is>
          <t>SPK 8/JBBS/SPK-MUI/II/2026</t>
        </is>
      </c>
      <c r="X198" t="inlineStr">
        <is>
          <t>OK</t>
        </is>
      </c>
      <c r="Y198" t="inlineStr">
        <is>
          <t>talent coordinator &amp; lo | person/event</t>
        </is>
      </c>
    </row>
    <row r="199">
      <c r="A199" t="n">
        <v>195</v>
      </c>
      <c r="B199" t="inlineStr">
        <is>
          <t>🕌 MUI EVENT DATA</t>
        </is>
      </c>
      <c r="C199" t="n">
        <v>85</v>
      </c>
      <c r="D199" t="inlineStr">
        <is>
          <t>MUI Real Cost</t>
        </is>
      </c>
      <c r="E199" t="inlineStr">
        <is>
          <t>Jimmy Cahyo Sasmito</t>
        </is>
      </c>
      <c r="F199" t="inlineStr">
        <is>
          <t>Manpower</t>
        </is>
      </c>
      <c r="H199" t="inlineStr">
        <is>
          <t>Team Support</t>
        </is>
      </c>
      <c r="I199" t="inlineStr">
        <is>
          <t>6-7 Feb 2026</t>
        </is>
      </c>
      <c r="J199" t="inlineStr">
        <is>
          <t>person/event</t>
        </is>
      </c>
      <c r="K199" t="inlineStr">
        <is>
          <t>1</t>
        </is>
      </c>
      <c r="L199" t="n">
        <v>2000000</v>
      </c>
      <c r="M199" t="n">
        <v>2000000</v>
      </c>
      <c r="N199">
        <f>IF(COUNT(L199:M199)=0,"",AVERAGE(L199:M199))</f>
        <v/>
      </c>
      <c r="Q199">
        <f>IF(COUNT(O199:P199)=0,"",AVERAGE(O199:P199))</f>
        <v/>
      </c>
      <c r="R199">
        <f>IF(Q199&lt;&gt;"",Q199,IF(N199&lt;&gt;"",ROUND(N199*(1+$B$2),0),""))</f>
        <v/>
      </c>
      <c r="S199">
        <f>IF(AND(N199&lt;&gt;"",Q199&lt;&gt;"",N199&lt;&gt;0),(Q199-N199)/N199,"")</f>
        <v/>
      </c>
      <c r="T199" t="inlineStr">
        <is>
          <t>2026</t>
        </is>
      </c>
      <c r="U199" t="inlineStr">
        <is>
          <t>MUI Istiqlal 2026</t>
        </is>
      </c>
      <c r="V199" t="inlineStr">
        <is>
          <t>SPK 19/JBBS/SPK-MUI/II/2026</t>
        </is>
      </c>
      <c r="X199" t="inlineStr">
        <is>
          <t>OK</t>
        </is>
      </c>
      <c r="Y199" t="inlineStr">
        <is>
          <t>team support | person/event</t>
        </is>
      </c>
    </row>
    <row r="200">
      <c r="A200" t="n">
        <v>196</v>
      </c>
      <c r="B200" t="inlineStr">
        <is>
          <t>📋 PO &amp; RFP DATA</t>
        </is>
      </c>
      <c r="C200" t="n">
        <v>57</v>
      </c>
      <c r="D200" t="inlineStr">
        <is>
          <t>PO/RFP HPP</t>
        </is>
      </c>
      <c r="E200" t="inlineStr">
        <is>
          <t>Internal Team</t>
        </is>
      </c>
      <c r="F200" t="inlineStr">
        <is>
          <t>Manpower</t>
        </is>
      </c>
      <c r="H200" t="inlineStr">
        <is>
          <t>Traffic (lalu lintas/protokol)</t>
        </is>
      </c>
      <c r="I200" t="inlineStr">
        <is>
          <t>per event</t>
        </is>
      </c>
      <c r="J200" t="inlineStr">
        <is>
          <t>person/event</t>
        </is>
      </c>
      <c r="K200" t="inlineStr">
        <is>
          <t>1</t>
        </is>
      </c>
      <c r="L200" t="n">
        <v>2500000</v>
      </c>
      <c r="M200" t="n">
        <v>2500000</v>
      </c>
      <c r="N200">
        <f>IF(COUNT(L200:M200)=0,"",AVERAGE(L200:M200))</f>
        <v/>
      </c>
      <c r="Q200">
        <f>IF(COUNT(O200:P200)=0,"",AVERAGE(O200:P200))</f>
        <v/>
      </c>
      <c r="R200">
        <f>IF(Q200&lt;&gt;"",Q200,IF(N200&lt;&gt;"",ROUND(N200*(1+$B$2),0),""))</f>
        <v/>
      </c>
      <c r="S200">
        <f>IF(AND(N200&lt;&gt;"",Q200&lt;&gt;"",N200&lt;&gt;0),(Q200-N200)/N200,"")</f>
        <v/>
      </c>
      <c r="T200" t="inlineStr">
        <is>
          <t>2026</t>
        </is>
      </c>
      <c r="U200" t="inlineStr">
        <is>
          <t>GAPEMPI Mandarin Oriental</t>
        </is>
      </c>
      <c r="V200" t="inlineStr">
        <is>
          <t>RFP GAPEMPI 7 April 2026</t>
        </is>
      </c>
      <c r="X200" t="inlineStr">
        <is>
          <t>OK</t>
        </is>
      </c>
      <c r="Y200" t="inlineStr">
        <is>
          <t>traffic (lalu lintas/protokol) | person/event</t>
        </is>
      </c>
    </row>
    <row r="201">
      <c r="A201" t="n">
        <v>197</v>
      </c>
      <c r="B201" t="inlineStr">
        <is>
          <t>🕌 MUI EVENT DATA</t>
        </is>
      </c>
      <c r="C201" t="n">
        <v>112</v>
      </c>
      <c r="D201" t="inlineStr">
        <is>
          <t>MUI Real Cost</t>
        </is>
      </c>
      <c r="E201" t="inlineStr">
        <is>
          <t>Internal</t>
        </is>
      </c>
      <c r="F201" t="inlineStr">
        <is>
          <t>Manpower</t>
        </is>
      </c>
      <c r="H201" t="inlineStr">
        <is>
          <t>Tukang Langsir Air</t>
        </is>
      </c>
      <c r="J201" t="inlineStr">
        <is>
          <t>prs</t>
        </is>
      </c>
      <c r="K201" t="inlineStr">
        <is>
          <t>1</t>
        </is>
      </c>
      <c r="L201" t="n">
        <v>100000</v>
      </c>
      <c r="M201" t="n">
        <v>100000</v>
      </c>
      <c r="N201">
        <f>IF(COUNT(L201:M201)=0,"",AVERAGE(L201:M201))</f>
        <v/>
      </c>
      <c r="Q201">
        <f>IF(COUNT(O201:P201)=0,"",AVERAGE(O201:P201))</f>
        <v/>
      </c>
      <c r="R201">
        <f>IF(Q201&lt;&gt;"",Q201,IF(N201&lt;&gt;"",ROUND(N201*(1+$B$2),0),""))</f>
        <v/>
      </c>
      <c r="S201">
        <f>IF(AND(N201&lt;&gt;"",Q201&lt;&gt;"",N201&lt;&gt;0),(Q201-N201)/N201,"")</f>
        <v/>
      </c>
      <c r="T201" t="inlineStr">
        <is>
          <t>2026</t>
        </is>
      </c>
      <c r="U201" t="inlineStr">
        <is>
          <t>MUI Istiqlal 2026</t>
        </is>
      </c>
      <c r="V201" t="inlineStr">
        <is>
          <t>Real-CE MUI</t>
        </is>
      </c>
      <c r="X201" t="inlineStr">
        <is>
          <t>OK</t>
        </is>
      </c>
      <c r="Y201" t="inlineStr">
        <is>
          <t>tukang langsir air | prs</t>
        </is>
      </c>
    </row>
    <row r="202">
      <c r="A202" t="n">
        <v>198</v>
      </c>
      <c r="B202" t="inlineStr">
        <is>
          <t>🕌 MUI EVENT DATA</t>
        </is>
      </c>
      <c r="C202" t="n">
        <v>98</v>
      </c>
      <c r="D202" t="inlineStr">
        <is>
          <t>MUI Real Cost</t>
        </is>
      </c>
      <c r="E202" t="inlineStr">
        <is>
          <t>Internal</t>
        </is>
      </c>
      <c r="F202" t="inlineStr">
        <is>
          <t>Manpower</t>
        </is>
      </c>
      <c r="H202" t="inlineStr">
        <is>
          <t>VIP Handling</t>
        </is>
      </c>
      <c r="J202" t="inlineStr">
        <is>
          <t>person/event</t>
        </is>
      </c>
      <c r="K202" t="inlineStr">
        <is>
          <t>1</t>
        </is>
      </c>
      <c r="L202" t="n">
        <v>2500000</v>
      </c>
      <c r="M202" t="n">
        <v>2500000</v>
      </c>
      <c r="N202">
        <f>IF(COUNT(L202:M202)=0,"",AVERAGE(L202:M202))</f>
        <v/>
      </c>
      <c r="Q202">
        <f>IF(COUNT(O202:P202)=0,"",AVERAGE(O202:P202))</f>
        <v/>
      </c>
      <c r="R202">
        <f>IF(Q202&lt;&gt;"",Q202,IF(N202&lt;&gt;"",ROUND(N202*(1+$B$2),0),""))</f>
        <v/>
      </c>
      <c r="S202">
        <f>IF(AND(N202&lt;&gt;"",Q202&lt;&gt;"",N202&lt;&gt;0),(Q202-N202)/N202,"")</f>
        <v/>
      </c>
      <c r="T202" t="inlineStr">
        <is>
          <t>2026</t>
        </is>
      </c>
      <c r="U202" t="inlineStr">
        <is>
          <t>MUI Istiqlal 2026</t>
        </is>
      </c>
      <c r="V202" t="inlineStr">
        <is>
          <t>Real-CE MUI</t>
        </is>
      </c>
      <c r="X202" t="inlineStr">
        <is>
          <t>OK</t>
        </is>
      </c>
      <c r="Y202" t="inlineStr">
        <is>
          <t>vip handling | person/event</t>
        </is>
      </c>
    </row>
    <row r="203">
      <c r="A203" t="n">
        <v>199</v>
      </c>
      <c r="B203" t="inlineStr">
        <is>
          <t>🕌 MUI EVENT DATA</t>
        </is>
      </c>
      <c r="C203" t="n">
        <v>99</v>
      </c>
      <c r="D203" t="inlineStr">
        <is>
          <t>MUI Real Cost</t>
        </is>
      </c>
      <c r="E203" t="inlineStr">
        <is>
          <t>Internal</t>
        </is>
      </c>
      <c r="F203" t="inlineStr">
        <is>
          <t>Manpower</t>
        </is>
      </c>
      <c r="H203" t="inlineStr">
        <is>
          <t>VIP Handling Crew</t>
        </is>
      </c>
      <c r="I203" t="inlineStr">
        <is>
          <t>per orang (7 org x 2 hari)</t>
        </is>
      </c>
      <c r="J203" t="inlineStr">
        <is>
          <t>person/day</t>
        </is>
      </c>
      <c r="K203" t="inlineStr">
        <is>
          <t>1</t>
        </is>
      </c>
      <c r="L203" t="n">
        <v>500000</v>
      </c>
      <c r="M203" t="n">
        <v>500000</v>
      </c>
      <c r="N203">
        <f>IF(COUNT(L203:M203)=0,"",AVERAGE(L203:M203))</f>
        <v/>
      </c>
      <c r="Q203">
        <f>IF(COUNT(O203:P203)=0,"",AVERAGE(O203:P203))</f>
        <v/>
      </c>
      <c r="R203">
        <f>IF(Q203&lt;&gt;"",Q203,IF(N203&lt;&gt;"",ROUND(N203*(1+$B$2),0),""))</f>
        <v/>
      </c>
      <c r="S203">
        <f>IF(AND(N203&lt;&gt;"",Q203&lt;&gt;"",N203&lt;&gt;0),(Q203-N203)/N203,"")</f>
        <v/>
      </c>
      <c r="T203" t="inlineStr">
        <is>
          <t>2026</t>
        </is>
      </c>
      <c r="U203" t="inlineStr">
        <is>
          <t>MUI Istiqlal 2026</t>
        </is>
      </c>
      <c r="V203" t="inlineStr">
        <is>
          <t>Real-CE MUI</t>
        </is>
      </c>
      <c r="X203" t="inlineStr">
        <is>
          <t>OK</t>
        </is>
      </c>
      <c r="Y203" t="inlineStr">
        <is>
          <t>vip handling crew | person/day</t>
        </is>
      </c>
    </row>
    <row r="204">
      <c r="A204" t="n">
        <v>200</v>
      </c>
      <c r="B204" t="inlineStr">
        <is>
          <t>💰 HPP VENDOR</t>
        </is>
      </c>
      <c r="C204" t="n">
        <v>83</v>
      </c>
      <c r="D204" t="inlineStr">
        <is>
          <t>Vendor HPP</t>
        </is>
      </c>
      <c r="F204" t="inlineStr">
        <is>
          <t>Mojokerto</t>
        </is>
      </c>
      <c r="H204" t="inlineStr">
        <is>
          <t>Creative Design (Proposal, 2D, 3D)</t>
        </is>
      </c>
      <c r="N204">
        <f>IF(COUNT(L204:M204)=0,"",AVERAGE(L204:M204))</f>
        <v/>
      </c>
      <c r="Q204">
        <f>IF(COUNT(O204:P204)=0,"",AVERAGE(O204:P204))</f>
        <v/>
      </c>
      <c r="R204">
        <f>IF(Q204&lt;&gt;"",Q204,IF(N204&lt;&gt;"",ROUND(N204*(1+$B$2),0),""))</f>
        <v/>
      </c>
      <c r="S204">
        <f>IF(AND(N204&lt;&gt;"",Q204&lt;&gt;"",N204&lt;&gt;0),(Q204-N204)/N204,"")</f>
        <v/>
      </c>
      <c r="V204" t="inlineStr">
        <is>
          <t>HPP Vendor</t>
        </is>
      </c>
      <c r="X204" t="inlineStr">
        <is>
          <t>Missing unit; Missing price</t>
        </is>
      </c>
      <c r="Y204" t="inlineStr">
        <is>
          <t xml:space="preserve">creative design (proposal, 2d, 3d) | </t>
        </is>
      </c>
    </row>
    <row r="205">
      <c r="A205" t="n">
        <v>201</v>
      </c>
      <c r="B205" t="inlineStr">
        <is>
          <t>📋 PO &amp; RFP DATA</t>
        </is>
      </c>
      <c r="C205" t="n">
        <v>24</v>
      </c>
      <c r="D205" t="inlineStr">
        <is>
          <t>PO/RFP HPP</t>
        </is>
      </c>
      <c r="E205" t="inlineStr">
        <is>
          <t>Multimedia Vendor</t>
        </is>
      </c>
      <c r="F205" t="inlineStr">
        <is>
          <t>Multimedia</t>
        </is>
      </c>
      <c r="H205" t="inlineStr">
        <is>
          <t>Add Cost Bumper Video</t>
        </is>
      </c>
      <c r="I205" t="inlineStr">
        <is>
          <t>revisi/tambahan</t>
        </is>
      </c>
      <c r="J205" t="inlineStr">
        <is>
          <t>unit/event</t>
        </is>
      </c>
      <c r="K205" t="inlineStr">
        <is>
          <t>1</t>
        </is>
      </c>
      <c r="L205" t="n">
        <v>3000000</v>
      </c>
      <c r="M205" t="n">
        <v>3000000</v>
      </c>
      <c r="N205">
        <f>IF(COUNT(L205:M205)=0,"",AVERAGE(L205:M205))</f>
        <v/>
      </c>
      <c r="Q205">
        <f>IF(COUNT(O205:P205)=0,"",AVERAGE(O205:P205))</f>
        <v/>
      </c>
      <c r="R205">
        <f>IF(Q205&lt;&gt;"",Q205,IF(N205&lt;&gt;"",ROUND(N205*(1+$B$2),0),""))</f>
        <v/>
      </c>
      <c r="S205">
        <f>IF(AND(N205&lt;&gt;"",Q205&lt;&gt;"",N205&lt;&gt;0),(Q205-N205)/N205,"")</f>
        <v/>
      </c>
      <c r="T205" t="inlineStr">
        <is>
          <t>2025</t>
        </is>
      </c>
      <c r="U205" t="inlineStr">
        <is>
          <t>OCBC Disney Orchestra</t>
        </is>
      </c>
      <c r="V205" t="inlineStr">
        <is>
          <t>PO Add Cost Bumper</t>
        </is>
      </c>
      <c r="X205" t="inlineStr">
        <is>
          <t>OK</t>
        </is>
      </c>
      <c r="Y205" t="inlineStr">
        <is>
          <t>add cost bumper video | unit/event</t>
        </is>
      </c>
    </row>
    <row r="206">
      <c r="A206" t="n">
        <v>202</v>
      </c>
      <c r="B206" t="inlineStr">
        <is>
          <t>🕌 MUI EVENT DATA</t>
        </is>
      </c>
      <c r="C206" t="n">
        <v>147</v>
      </c>
      <c r="D206" t="inlineStr">
        <is>
          <t>MUI Real Cost</t>
        </is>
      </c>
      <c r="E206" t="inlineStr">
        <is>
          <t>Imam Nova Rahadian</t>
        </is>
      </c>
      <c r="F206" t="inlineStr">
        <is>
          <t>Multimedia</t>
        </is>
      </c>
      <c r="H206" t="inlineStr">
        <is>
          <t>DP Multimedia</t>
        </is>
      </c>
      <c r="I206" t="inlineStr">
        <is>
          <t>bumper, motion</t>
        </is>
      </c>
      <c r="J206" t="inlineStr">
        <is>
          <t>pckg</t>
        </is>
      </c>
      <c r="K206" t="inlineStr">
        <is>
          <t>1</t>
        </is>
      </c>
      <c r="L206" t="n">
        <v>21000000</v>
      </c>
      <c r="M206" t="n">
        <v>21000000</v>
      </c>
      <c r="N206">
        <f>IF(COUNT(L206:M206)=0,"",AVERAGE(L206:M206))</f>
        <v/>
      </c>
      <c r="Q206">
        <f>IF(COUNT(O206:P206)=0,"",AVERAGE(O206:P206))</f>
        <v/>
      </c>
      <c r="R206">
        <f>IF(Q206&lt;&gt;"",Q206,IF(N206&lt;&gt;"",ROUND(N206*(1+$B$2),0),""))</f>
        <v/>
      </c>
      <c r="S206">
        <f>IF(AND(N206&lt;&gt;"",Q206&lt;&gt;"",N206&lt;&gt;0),(Q206-N206)/N206,"")</f>
        <v/>
      </c>
      <c r="T206" t="inlineStr">
        <is>
          <t>2026</t>
        </is>
      </c>
      <c r="U206" t="inlineStr">
        <is>
          <t>MUI Istiqlal 2026</t>
        </is>
      </c>
      <c r="V206" t="inlineStr">
        <is>
          <t>RFP MUI.xlsx mutation</t>
        </is>
      </c>
      <c r="X206" t="inlineStr">
        <is>
          <t>OK</t>
        </is>
      </c>
      <c r="Y206" t="inlineStr">
        <is>
          <t>dp multimedia | pckg</t>
        </is>
      </c>
    </row>
    <row r="207">
      <c r="A207" t="n">
        <v>203</v>
      </c>
      <c r="B207" t="inlineStr">
        <is>
          <t>🕌 MUI EVENT DATA</t>
        </is>
      </c>
      <c r="C207" t="n">
        <v>27</v>
      </c>
      <c r="D207" t="inlineStr">
        <is>
          <t>MUI Real Cost</t>
        </is>
      </c>
      <c r="E207" t="inlineStr">
        <is>
          <t>MUI/EO</t>
        </is>
      </c>
      <c r="F207" t="inlineStr">
        <is>
          <t>Multimedia</t>
        </is>
      </c>
      <c r="H207" t="inlineStr">
        <is>
          <t>Live Camera Paket (6 cam+Switcher+JJ)</t>
        </is>
      </c>
      <c r="I207" t="inlineStr">
        <is>
          <t>6 kamera, campers, switcher, jimmy jib</t>
        </is>
      </c>
      <c r="J207" t="inlineStr">
        <is>
          <t>pckg/day</t>
        </is>
      </c>
      <c r="K207" t="inlineStr">
        <is>
          <t>1</t>
        </is>
      </c>
      <c r="L207" t="n">
        <v>28000000</v>
      </c>
      <c r="M207" t="n">
        <v>28000000</v>
      </c>
      <c r="N207">
        <f>IF(COUNT(L207:M207)=0,"",AVERAGE(L207:M207))</f>
        <v/>
      </c>
      <c r="Q207">
        <f>IF(COUNT(O207:P207)=0,"",AVERAGE(O207:P207))</f>
        <v/>
      </c>
      <c r="R207">
        <f>IF(Q207&lt;&gt;"",Q207,IF(N207&lt;&gt;"",ROUND(N207*(1+$B$2),0),""))</f>
        <v/>
      </c>
      <c r="S207">
        <f>IF(AND(N207&lt;&gt;"",Q207&lt;&gt;"",N207&lt;&gt;0),(Q207-N207)/N207,"")</f>
        <v/>
      </c>
      <c r="T207" t="inlineStr">
        <is>
          <t>2026</t>
        </is>
      </c>
      <c r="U207" t="inlineStr">
        <is>
          <t>MUI Istiqlal 2026</t>
        </is>
      </c>
      <c r="V207" t="inlineStr">
        <is>
          <t>Real-CE MUI</t>
        </is>
      </c>
      <c r="X207" t="inlineStr">
        <is>
          <t>OK</t>
        </is>
      </c>
      <c r="Y207" t="inlineStr">
        <is>
          <t>live camera paket (6 cam+switcher+jj) | pckg/day</t>
        </is>
      </c>
    </row>
    <row r="208">
      <c r="A208" t="n">
        <v>204</v>
      </c>
      <c r="B208" t="inlineStr">
        <is>
          <t>🕌 MUI EVENT DATA</t>
        </is>
      </c>
      <c r="C208" t="n">
        <v>25</v>
      </c>
      <c r="D208" t="inlineStr">
        <is>
          <t>MUI Real Cost</t>
        </is>
      </c>
      <c r="E208" t="inlineStr">
        <is>
          <t>MUI/EO</t>
        </is>
      </c>
      <c r="F208" t="inlineStr">
        <is>
          <t>Multimedia</t>
        </is>
      </c>
      <c r="H208" t="inlineStr">
        <is>
          <t>Switcher</t>
        </is>
      </c>
      <c r="J208" t="inlineStr">
        <is>
          <t>unit</t>
        </is>
      </c>
      <c r="K208" t="inlineStr">
        <is>
          <t>1</t>
        </is>
      </c>
      <c r="L208" t="n">
        <v>5000000</v>
      </c>
      <c r="M208" t="n">
        <v>5000000</v>
      </c>
      <c r="N208">
        <f>IF(COUNT(L208:M208)=0,"",AVERAGE(L208:M208))</f>
        <v/>
      </c>
      <c r="Q208">
        <f>IF(COUNT(O208:P208)=0,"",AVERAGE(O208:P208))</f>
        <v/>
      </c>
      <c r="R208">
        <f>IF(Q208&lt;&gt;"",Q208,IF(N208&lt;&gt;"",ROUND(N208*(1+$B$2),0),""))</f>
        <v/>
      </c>
      <c r="S208">
        <f>IF(AND(N208&lt;&gt;"",Q208&lt;&gt;"",N208&lt;&gt;0),(Q208-N208)/N208,"")</f>
        <v/>
      </c>
      <c r="T208" t="inlineStr">
        <is>
          <t>2026</t>
        </is>
      </c>
      <c r="U208" t="inlineStr">
        <is>
          <t>MUI Istiqlal 2026</t>
        </is>
      </c>
      <c r="V208" t="inlineStr">
        <is>
          <t>Real-CE MUI</t>
        </is>
      </c>
      <c r="X208" t="inlineStr">
        <is>
          <t>OK</t>
        </is>
      </c>
      <c r="Y208" t="inlineStr">
        <is>
          <t>switcher | unit</t>
        </is>
      </c>
    </row>
    <row r="209">
      <c r="A209" t="n">
        <v>205</v>
      </c>
      <c r="B209" t="inlineStr">
        <is>
          <t>🕌 MUI EVENT DATA</t>
        </is>
      </c>
      <c r="C209" t="n">
        <v>24</v>
      </c>
      <c r="D209" t="inlineStr">
        <is>
          <t>MUI Real Cost</t>
        </is>
      </c>
      <c r="E209" t="inlineStr">
        <is>
          <t>MUI/EO</t>
        </is>
      </c>
      <c r="F209" t="inlineStr">
        <is>
          <t>Multimedia</t>
        </is>
      </c>
      <c r="H209" t="inlineStr">
        <is>
          <t>System 4K &amp; Relay</t>
        </is>
      </c>
      <c r="J209" t="inlineStr">
        <is>
          <t>pckg</t>
        </is>
      </c>
      <c r="K209" t="inlineStr">
        <is>
          <t>1</t>
        </is>
      </c>
      <c r="L209" t="n">
        <v>5000000</v>
      </c>
      <c r="M209" t="n">
        <v>5000000</v>
      </c>
      <c r="N209">
        <f>IF(COUNT(L209:M209)=0,"",AVERAGE(L209:M209))</f>
        <v/>
      </c>
      <c r="Q209">
        <f>IF(COUNT(O209:P209)=0,"",AVERAGE(O209:P209))</f>
        <v/>
      </c>
      <c r="R209">
        <f>IF(Q209&lt;&gt;"",Q209,IF(N209&lt;&gt;"",ROUND(N209*(1+$B$2),0),""))</f>
        <v/>
      </c>
      <c r="S209">
        <f>IF(AND(N209&lt;&gt;"",Q209&lt;&gt;"",N209&lt;&gt;0),(Q209-N209)/N209,"")</f>
        <v/>
      </c>
      <c r="T209" t="inlineStr">
        <is>
          <t>2026</t>
        </is>
      </c>
      <c r="U209" t="inlineStr">
        <is>
          <t>MUI Istiqlal 2026</t>
        </is>
      </c>
      <c r="V209" t="inlineStr">
        <is>
          <t>Real-CE MUI</t>
        </is>
      </c>
      <c r="X209" t="inlineStr">
        <is>
          <t>OK</t>
        </is>
      </c>
      <c r="Y209" t="inlineStr">
        <is>
          <t>system 4k &amp; relay | pckg</t>
        </is>
      </c>
    </row>
    <row r="210">
      <c r="A210" t="n">
        <v>206</v>
      </c>
      <c r="B210" t="inlineStr">
        <is>
          <t>🕌 MUI EVENT DATA</t>
        </is>
      </c>
      <c r="C210" t="n">
        <v>26</v>
      </c>
      <c r="D210" t="inlineStr">
        <is>
          <t>MUI Real Cost</t>
        </is>
      </c>
      <c r="E210" t="inlineStr">
        <is>
          <t>MUI/EO</t>
        </is>
      </c>
      <c r="F210" t="inlineStr">
        <is>
          <t>Multimedia</t>
        </is>
      </c>
      <c r="H210" t="inlineStr">
        <is>
          <t>TV Prompter 55 inch</t>
        </is>
      </c>
      <c r="J210" t="inlineStr">
        <is>
          <t>set/day</t>
        </is>
      </c>
      <c r="K210" t="inlineStr">
        <is>
          <t>1</t>
        </is>
      </c>
      <c r="L210" t="n">
        <v>750000</v>
      </c>
      <c r="M210" t="n">
        <v>750000</v>
      </c>
      <c r="N210">
        <f>IF(COUNT(L210:M210)=0,"",AVERAGE(L210:M210))</f>
        <v/>
      </c>
      <c r="Q210">
        <f>IF(COUNT(O210:P210)=0,"",AVERAGE(O210:P210))</f>
        <v/>
      </c>
      <c r="R210">
        <f>IF(Q210&lt;&gt;"",Q210,IF(N210&lt;&gt;"",ROUND(N210*(1+$B$2),0),""))</f>
        <v/>
      </c>
      <c r="S210">
        <f>IF(AND(N210&lt;&gt;"",Q210&lt;&gt;"",N210&lt;&gt;0),(Q210-N210)/N210,"")</f>
        <v/>
      </c>
      <c r="T210" t="inlineStr">
        <is>
          <t>2026</t>
        </is>
      </c>
      <c r="U210" t="inlineStr">
        <is>
          <t>MUI Istiqlal 2026</t>
        </is>
      </c>
      <c r="V210" t="inlineStr">
        <is>
          <t>per set</t>
        </is>
      </c>
      <c r="X210" t="inlineStr">
        <is>
          <t>OK</t>
        </is>
      </c>
      <c r="Y210" t="inlineStr">
        <is>
          <t>tv prompter 55 inch | set/day</t>
        </is>
      </c>
    </row>
    <row r="211">
      <c r="A211" t="n">
        <v>207</v>
      </c>
      <c r="B211" t="inlineStr">
        <is>
          <t>🕌 MUI EVENT DATA</t>
        </is>
      </c>
      <c r="C211" t="n">
        <v>125</v>
      </c>
      <c r="D211" t="inlineStr">
        <is>
          <t>MUI Real Cost</t>
        </is>
      </c>
      <c r="E211" t="inlineStr">
        <is>
          <t>Internal</t>
        </is>
      </c>
      <c r="F211" t="inlineStr">
        <is>
          <t>Operational</t>
        </is>
      </c>
      <c r="H211" t="inlineStr">
        <is>
          <t>Air Mineral 330ml per dos</t>
        </is>
      </c>
      <c r="J211" t="inlineStr">
        <is>
          <t>dos</t>
        </is>
      </c>
      <c r="K211" t="inlineStr">
        <is>
          <t>1</t>
        </is>
      </c>
      <c r="L211" t="n">
        <v>40000</v>
      </c>
      <c r="M211" t="n">
        <v>40000</v>
      </c>
      <c r="N211">
        <f>IF(COUNT(L211:M211)=0,"",AVERAGE(L211:M211))</f>
        <v/>
      </c>
      <c r="Q211">
        <f>IF(COUNT(O211:P211)=0,"",AVERAGE(O211:P211))</f>
        <v/>
      </c>
      <c r="R211">
        <f>IF(Q211&lt;&gt;"",Q211,IF(N211&lt;&gt;"",ROUND(N211*(1+$B$2),0),""))</f>
        <v/>
      </c>
      <c r="S211">
        <f>IF(AND(N211&lt;&gt;"",Q211&lt;&gt;"",N211&lt;&gt;0),(Q211-N211)/N211,"")</f>
        <v/>
      </c>
      <c r="T211" t="inlineStr">
        <is>
          <t>2026</t>
        </is>
      </c>
      <c r="U211" t="inlineStr">
        <is>
          <t>MUI Istiqlal 2026</t>
        </is>
      </c>
      <c r="V211" t="inlineStr">
        <is>
          <t>per karton</t>
        </is>
      </c>
      <c r="X211" t="inlineStr">
        <is>
          <t>OK</t>
        </is>
      </c>
      <c r="Y211" t="inlineStr">
        <is>
          <t>air mineral 330ml per dos | dos</t>
        </is>
      </c>
    </row>
    <row r="212">
      <c r="A212" t="n">
        <v>208</v>
      </c>
      <c r="B212" t="inlineStr">
        <is>
          <t>🕌 MUI EVENT DATA</t>
        </is>
      </c>
      <c r="C212" t="n">
        <v>134</v>
      </c>
      <c r="D212" t="inlineStr">
        <is>
          <t>MUI Real Cost</t>
        </is>
      </c>
      <c r="E212" t="inlineStr">
        <is>
          <t>Internal</t>
        </is>
      </c>
      <c r="F212" t="inlineStr">
        <is>
          <t>Operational</t>
        </is>
      </c>
      <c r="H212" t="inlineStr">
        <is>
          <t>Baliho Istiqlal (incl. salah cetak)</t>
        </is>
      </c>
      <c r="J212" t="inlineStr">
        <is>
          <t>pckg</t>
        </is>
      </c>
      <c r="K212" t="inlineStr">
        <is>
          <t>1</t>
        </is>
      </c>
      <c r="L212" t="n">
        <v>6000000</v>
      </c>
      <c r="M212" t="n">
        <v>6000000</v>
      </c>
      <c r="N212">
        <f>IF(COUNT(L212:M212)=0,"",AVERAGE(L212:M212))</f>
        <v/>
      </c>
      <c r="Q212">
        <f>IF(COUNT(O212:P212)=0,"",AVERAGE(O212:P212))</f>
        <v/>
      </c>
      <c r="R212">
        <f>IF(Q212&lt;&gt;"",Q212,IF(N212&lt;&gt;"",ROUND(N212*(1+$B$2),0),""))</f>
        <v/>
      </c>
      <c r="S212">
        <f>IF(AND(N212&lt;&gt;"",Q212&lt;&gt;"",N212&lt;&gt;0),(Q212-N212)/N212,"")</f>
        <v/>
      </c>
      <c r="T212" t="inlineStr">
        <is>
          <t>2026</t>
        </is>
      </c>
      <c r="U212" t="inlineStr">
        <is>
          <t>MUI Istiqlal 2026</t>
        </is>
      </c>
      <c r="V212" t="inlineStr">
        <is>
          <t>Real-CE MUI</t>
        </is>
      </c>
      <c r="X212" t="inlineStr">
        <is>
          <t>OK</t>
        </is>
      </c>
      <c r="Y212" t="inlineStr">
        <is>
          <t>baliho istiqlal (incl. salah cetak) | pckg</t>
        </is>
      </c>
    </row>
    <row r="213">
      <c r="A213" t="n">
        <v>209</v>
      </c>
      <c r="B213" t="inlineStr">
        <is>
          <t>🕌 MUI EVENT DATA</t>
        </is>
      </c>
      <c r="C213" t="n">
        <v>120</v>
      </c>
      <c r="D213" t="inlineStr">
        <is>
          <t>MUI Real Cost</t>
        </is>
      </c>
      <c r="E213" t="inlineStr">
        <is>
          <t>Internal</t>
        </is>
      </c>
      <c r="F213" t="inlineStr">
        <is>
          <t>Operational</t>
        </is>
      </c>
      <c r="H213" t="inlineStr">
        <is>
          <t>Blind Van</t>
        </is>
      </c>
      <c r="I213" t="inlineStr">
        <is>
          <t>1 unit 3 hari</t>
        </is>
      </c>
      <c r="J213" t="inlineStr">
        <is>
          <t>unit/day</t>
        </is>
      </c>
      <c r="K213" t="inlineStr">
        <is>
          <t>1</t>
        </is>
      </c>
      <c r="L213" t="n">
        <v>650000</v>
      </c>
      <c r="M213" t="n">
        <v>650000</v>
      </c>
      <c r="N213">
        <f>IF(COUNT(L213:M213)=0,"",AVERAGE(L213:M213))</f>
        <v/>
      </c>
      <c r="Q213">
        <f>IF(COUNT(O213:P213)=0,"",AVERAGE(O213:P213))</f>
        <v/>
      </c>
      <c r="R213">
        <f>IF(Q213&lt;&gt;"",Q213,IF(N213&lt;&gt;"",ROUND(N213*(1+$B$2),0),""))</f>
        <v/>
      </c>
      <c r="S213">
        <f>IF(AND(N213&lt;&gt;"",Q213&lt;&gt;"",N213&lt;&gt;0),(Q213-N213)/N213,"")</f>
        <v/>
      </c>
      <c r="T213" t="inlineStr">
        <is>
          <t>2026</t>
        </is>
      </c>
      <c r="U213" t="inlineStr">
        <is>
          <t>MUI Istiqlal 2026</t>
        </is>
      </c>
      <c r="V213" t="inlineStr">
        <is>
          <t>Real-CE MUI</t>
        </is>
      </c>
      <c r="X213" t="inlineStr">
        <is>
          <t>OK</t>
        </is>
      </c>
      <c r="Y213" t="inlineStr">
        <is>
          <t>blind van | unit/day</t>
        </is>
      </c>
    </row>
    <row r="214">
      <c r="A214" t="n">
        <v>210</v>
      </c>
      <c r="B214" t="inlineStr">
        <is>
          <t>🕌 MUI EVENT DATA</t>
        </is>
      </c>
      <c r="C214" t="n">
        <v>129</v>
      </c>
      <c r="D214" t="inlineStr">
        <is>
          <t>MUI Real Cost</t>
        </is>
      </c>
      <c r="E214" t="inlineStr">
        <is>
          <t>Internal</t>
        </is>
      </c>
      <c r="F214" t="inlineStr">
        <is>
          <t>Operational</t>
        </is>
      </c>
      <c r="H214" t="inlineStr">
        <is>
          <t>Cover Cue Card</t>
        </is>
      </c>
      <c r="J214" t="inlineStr">
        <is>
          <t>pcs</t>
        </is>
      </c>
      <c r="K214" t="inlineStr">
        <is>
          <t>1</t>
        </is>
      </c>
      <c r="L214" t="n">
        <v>27000</v>
      </c>
      <c r="M214" t="n">
        <v>27000</v>
      </c>
      <c r="N214">
        <f>IF(COUNT(L214:M214)=0,"",AVERAGE(L214:M214))</f>
        <v/>
      </c>
      <c r="Q214">
        <f>IF(COUNT(O214:P214)=0,"",AVERAGE(O214:P214))</f>
        <v/>
      </c>
      <c r="R214">
        <f>IF(Q214&lt;&gt;"",Q214,IF(N214&lt;&gt;"",ROUND(N214*(1+$B$2),0),""))</f>
        <v/>
      </c>
      <c r="S214">
        <f>IF(AND(N214&lt;&gt;"",Q214&lt;&gt;"",N214&lt;&gt;0),(Q214-N214)/N214,"")</f>
        <v/>
      </c>
      <c r="T214" t="inlineStr">
        <is>
          <t>2026</t>
        </is>
      </c>
      <c r="U214" t="inlineStr">
        <is>
          <t>MUI Istiqlal 2026</t>
        </is>
      </c>
      <c r="V214" t="inlineStr">
        <is>
          <t>per pcs</t>
        </is>
      </c>
      <c r="X214" t="inlineStr">
        <is>
          <t>OK</t>
        </is>
      </c>
      <c r="Y214" t="inlineStr">
        <is>
          <t>cover cue card | pcs</t>
        </is>
      </c>
    </row>
    <row r="215">
      <c r="A215" t="n">
        <v>211</v>
      </c>
      <c r="B215" t="inlineStr">
        <is>
          <t>🕌 MUI EVENT DATA</t>
        </is>
      </c>
      <c r="C215" t="n">
        <v>133</v>
      </c>
      <c r="D215" t="inlineStr">
        <is>
          <t>MUI Real Cost</t>
        </is>
      </c>
      <c r="E215" t="inlineStr">
        <is>
          <t>Internal</t>
        </is>
      </c>
      <c r="F215" t="inlineStr">
        <is>
          <t>Operational</t>
        </is>
      </c>
      <c r="H215" t="inlineStr">
        <is>
          <t>Crew Istiqlal (taman+operator)</t>
        </is>
      </c>
      <c r="J215" t="inlineStr">
        <is>
          <t>pckg</t>
        </is>
      </c>
      <c r="K215" t="inlineStr">
        <is>
          <t>1</t>
        </is>
      </c>
      <c r="L215" t="n">
        <v>3900000</v>
      </c>
      <c r="M215" t="n">
        <v>3900000</v>
      </c>
      <c r="N215">
        <f>IF(COUNT(L215:M215)=0,"",AVERAGE(L215:M215))</f>
        <v/>
      </c>
      <c r="Q215">
        <f>IF(COUNT(O215:P215)=0,"",AVERAGE(O215:P215))</f>
        <v/>
      </c>
      <c r="R215">
        <f>IF(Q215&lt;&gt;"",Q215,IF(N215&lt;&gt;"",ROUND(N215*(1+$B$2),0),""))</f>
        <v/>
      </c>
      <c r="S215">
        <f>IF(AND(N215&lt;&gt;"",Q215&lt;&gt;"",N215&lt;&gt;0),(Q215-N215)/N215,"")</f>
        <v/>
      </c>
      <c r="T215" t="inlineStr">
        <is>
          <t>2026</t>
        </is>
      </c>
      <c r="U215" t="inlineStr">
        <is>
          <t>MUI Istiqlal 2026</t>
        </is>
      </c>
      <c r="V215" t="inlineStr">
        <is>
          <t>Real-CE MUI</t>
        </is>
      </c>
      <c r="X215" t="inlineStr">
        <is>
          <t>OK</t>
        </is>
      </c>
      <c r="Y215" t="inlineStr">
        <is>
          <t>crew istiqlal (taman+operator) | pckg</t>
        </is>
      </c>
    </row>
    <row r="216">
      <c r="A216" t="n">
        <v>212</v>
      </c>
      <c r="B216" t="inlineStr">
        <is>
          <t>🕌 MUI EVENT DATA</t>
        </is>
      </c>
      <c r="C216" t="n">
        <v>118</v>
      </c>
      <c r="D216" t="inlineStr">
        <is>
          <t>MUI Real Cost</t>
        </is>
      </c>
      <c r="E216" t="inlineStr">
        <is>
          <t>Internal</t>
        </is>
      </c>
      <c r="F216" t="inlineStr">
        <is>
          <t>Operational</t>
        </is>
      </c>
      <c r="H216" t="inlineStr">
        <is>
          <t>HT Frekuensi</t>
        </is>
      </c>
      <c r="I216" t="inlineStr">
        <is>
          <t>per unit</t>
        </is>
      </c>
      <c r="J216" t="inlineStr">
        <is>
          <t>unit/day</t>
        </is>
      </c>
      <c r="K216" t="inlineStr">
        <is>
          <t>1</t>
        </is>
      </c>
      <c r="L216" t="n">
        <v>40000</v>
      </c>
      <c r="M216" t="n">
        <v>40000</v>
      </c>
      <c r="N216">
        <f>IF(COUNT(L216:M216)=0,"",AVERAGE(L216:M216))</f>
        <v/>
      </c>
      <c r="Q216">
        <f>IF(COUNT(O216:P216)=0,"",AVERAGE(O216:P216))</f>
        <v/>
      </c>
      <c r="R216">
        <f>IF(Q216&lt;&gt;"",Q216,IF(N216&lt;&gt;"",ROUND(N216*(1+$B$2),0),""))</f>
        <v/>
      </c>
      <c r="S216">
        <f>IF(AND(N216&lt;&gt;"",Q216&lt;&gt;"",N216&lt;&gt;0),(Q216-N216)/N216,"")</f>
        <v/>
      </c>
      <c r="T216" t="inlineStr">
        <is>
          <t>2026</t>
        </is>
      </c>
      <c r="U216" t="inlineStr">
        <is>
          <t>MUI Istiqlal 2026</t>
        </is>
      </c>
      <c r="V216" t="inlineStr">
        <is>
          <t>Real-CE MUI</t>
        </is>
      </c>
      <c r="X216" t="inlineStr">
        <is>
          <t>OK</t>
        </is>
      </c>
      <c r="Y216" t="inlineStr">
        <is>
          <t>ht frekuensi | unit/day</t>
        </is>
      </c>
    </row>
    <row r="217">
      <c r="A217" t="n">
        <v>213</v>
      </c>
      <c r="B217" t="inlineStr">
        <is>
          <t>🕌 MUI EVENT DATA</t>
        </is>
      </c>
      <c r="C217" t="n">
        <v>117</v>
      </c>
      <c r="D217" t="inlineStr">
        <is>
          <t>MUI Real Cost</t>
        </is>
      </c>
      <c r="E217" t="inlineStr">
        <is>
          <t>Internal</t>
        </is>
      </c>
      <c r="F217" t="inlineStr">
        <is>
          <t>Operational</t>
        </is>
      </c>
      <c r="H217" t="inlineStr">
        <is>
          <t>HT Satelit</t>
        </is>
      </c>
      <c r="I217" t="inlineStr">
        <is>
          <t>per unit 2 hari</t>
        </is>
      </c>
      <c r="J217" t="inlineStr">
        <is>
          <t>unit/day</t>
        </is>
      </c>
      <c r="K217" t="inlineStr">
        <is>
          <t>1</t>
        </is>
      </c>
      <c r="L217" t="n">
        <v>95000</v>
      </c>
      <c r="M217" t="n">
        <v>95000</v>
      </c>
      <c r="N217">
        <f>IF(COUNT(L217:M217)=0,"",AVERAGE(L217:M217))</f>
        <v/>
      </c>
      <c r="Q217">
        <f>IF(COUNT(O217:P217)=0,"",AVERAGE(O217:P217))</f>
        <v/>
      </c>
      <c r="R217">
        <f>IF(Q217&lt;&gt;"",Q217,IF(N217&lt;&gt;"",ROUND(N217*(1+$B$2),0),""))</f>
        <v/>
      </c>
      <c r="S217">
        <f>IF(AND(N217&lt;&gt;"",Q217&lt;&gt;"",N217&lt;&gt;0),(Q217-N217)/N217,"")</f>
        <v/>
      </c>
      <c r="T217" t="inlineStr">
        <is>
          <t>2026</t>
        </is>
      </c>
      <c r="U217" t="inlineStr">
        <is>
          <t>MUI Istiqlal 2026</t>
        </is>
      </c>
      <c r="V217" t="inlineStr">
        <is>
          <t>Real-CE MUI</t>
        </is>
      </c>
      <c r="X217" t="inlineStr">
        <is>
          <t>OK</t>
        </is>
      </c>
      <c r="Y217" t="inlineStr">
        <is>
          <t>ht satelit | unit/day</t>
        </is>
      </c>
    </row>
    <row r="218">
      <c r="A218" t="n">
        <v>214</v>
      </c>
      <c r="B218" t="inlineStr">
        <is>
          <t>🕌 MUI EVENT DATA</t>
        </is>
      </c>
      <c r="C218" t="n">
        <v>132</v>
      </c>
      <c r="D218" t="inlineStr">
        <is>
          <t>MUI Real Cost</t>
        </is>
      </c>
      <c r="E218" t="inlineStr">
        <is>
          <t>Internal</t>
        </is>
      </c>
      <c r="F218" t="inlineStr">
        <is>
          <t>Operational</t>
        </is>
      </c>
      <c r="H218" t="inlineStr">
        <is>
          <t>Jas Hujan</t>
        </is>
      </c>
      <c r="J218" t="inlineStr">
        <is>
          <t>pcs</t>
        </is>
      </c>
      <c r="K218" t="inlineStr">
        <is>
          <t>1</t>
        </is>
      </c>
      <c r="L218" t="n">
        <v>12000</v>
      </c>
      <c r="M218" t="n">
        <v>12000</v>
      </c>
      <c r="N218">
        <f>IF(COUNT(L218:M218)=0,"",AVERAGE(L218:M218))</f>
        <v/>
      </c>
      <c r="Q218">
        <f>IF(COUNT(O218:P218)=0,"",AVERAGE(O218:P218))</f>
        <v/>
      </c>
      <c r="R218">
        <f>IF(Q218&lt;&gt;"",Q218,IF(N218&lt;&gt;"",ROUND(N218*(1+$B$2),0),""))</f>
        <v/>
      </c>
      <c r="S218">
        <f>IF(AND(N218&lt;&gt;"",Q218&lt;&gt;"",N218&lt;&gt;0),(Q218-N218)/N218,"")</f>
        <v/>
      </c>
      <c r="T218" t="inlineStr">
        <is>
          <t>2026</t>
        </is>
      </c>
      <c r="U218" t="inlineStr">
        <is>
          <t>MUI Istiqlal 2026</t>
        </is>
      </c>
      <c r="V218" t="inlineStr">
        <is>
          <t>per pcs</t>
        </is>
      </c>
      <c r="X218" t="inlineStr">
        <is>
          <t>OK</t>
        </is>
      </c>
      <c r="Y218" t="inlineStr">
        <is>
          <t>jas hujan | pcs</t>
        </is>
      </c>
    </row>
    <row r="219">
      <c r="A219" t="n">
        <v>215</v>
      </c>
      <c r="B219" t="inlineStr">
        <is>
          <t>🕌 MUI EVENT DATA</t>
        </is>
      </c>
      <c r="C219" t="n">
        <v>123</v>
      </c>
      <c r="D219" t="inlineStr">
        <is>
          <t>MUI Real Cost</t>
        </is>
      </c>
      <c r="E219" t="inlineStr">
        <is>
          <t>Internal</t>
        </is>
      </c>
      <c r="F219" t="inlineStr">
        <is>
          <t>Operational</t>
        </is>
      </c>
      <c r="H219" t="inlineStr">
        <is>
          <t>Meals EO per pax (560 pax x2 time)</t>
        </is>
      </c>
      <c r="J219" t="inlineStr">
        <is>
          <t>pax/time</t>
        </is>
      </c>
      <c r="K219" t="inlineStr">
        <is>
          <t>1</t>
        </is>
      </c>
      <c r="L219" t="n">
        <v>30000</v>
      </c>
      <c r="M219" t="n">
        <v>30000</v>
      </c>
      <c r="N219">
        <f>IF(COUNT(L219:M219)=0,"",AVERAGE(L219:M219))</f>
        <v/>
      </c>
      <c r="Q219">
        <f>IF(COUNT(O219:P219)=0,"",AVERAGE(O219:P219))</f>
        <v/>
      </c>
      <c r="R219">
        <f>IF(Q219&lt;&gt;"",Q219,IF(N219&lt;&gt;"",ROUND(N219*(1+$B$2),0),""))</f>
        <v/>
      </c>
      <c r="S219">
        <f>IF(AND(N219&lt;&gt;"",Q219&lt;&gt;"",N219&lt;&gt;0),(Q219-N219)/N219,"")</f>
        <v/>
      </c>
      <c r="T219" t="inlineStr">
        <is>
          <t>2026</t>
        </is>
      </c>
      <c r="U219" t="inlineStr">
        <is>
          <t>MUI Istiqlal 2026</t>
        </is>
      </c>
      <c r="V219" t="inlineStr">
        <is>
          <t>per pax per waktu</t>
        </is>
      </c>
      <c r="X219" t="inlineStr">
        <is>
          <t>OK</t>
        </is>
      </c>
      <c r="Y219" t="inlineStr">
        <is>
          <t>meals eo per pax (560 pax x2 time) | pax/time</t>
        </is>
      </c>
    </row>
    <row r="220">
      <c r="A220" t="n">
        <v>216</v>
      </c>
      <c r="B220" t="inlineStr">
        <is>
          <t>🕌 MUI EVENT DATA</t>
        </is>
      </c>
      <c r="C220" t="n">
        <v>121</v>
      </c>
      <c r="D220" t="inlineStr">
        <is>
          <t>MUI Real Cost</t>
        </is>
      </c>
      <c r="E220" t="inlineStr">
        <is>
          <t>Internal</t>
        </is>
      </c>
      <c r="F220" t="inlineStr">
        <is>
          <t>Operational</t>
        </is>
      </c>
      <c r="H220" t="inlineStr">
        <is>
          <t>Meals Gladi/H-1 Team</t>
        </is>
      </c>
      <c r="J220" t="inlineStr">
        <is>
          <t>pax</t>
        </is>
      </c>
      <c r="K220" t="inlineStr">
        <is>
          <t>1</t>
        </is>
      </c>
      <c r="L220" t="n">
        <v>25000</v>
      </c>
      <c r="M220" t="n">
        <v>25000</v>
      </c>
      <c r="N220">
        <f>IF(COUNT(L220:M220)=0,"",AVERAGE(L220:M220))</f>
        <v/>
      </c>
      <c r="Q220">
        <f>IF(COUNT(O220:P220)=0,"",AVERAGE(O220:P220))</f>
        <v/>
      </c>
      <c r="R220">
        <f>IF(Q220&lt;&gt;"",Q220,IF(N220&lt;&gt;"",ROUND(N220*(1+$B$2),0),""))</f>
        <v/>
      </c>
      <c r="S220">
        <f>IF(AND(N220&lt;&gt;"",Q220&lt;&gt;"",N220&lt;&gt;0),(Q220-N220)/N220,"")</f>
        <v/>
      </c>
      <c r="T220" t="inlineStr">
        <is>
          <t>2026</t>
        </is>
      </c>
      <c r="U220" t="inlineStr">
        <is>
          <t>MUI Istiqlal 2026</t>
        </is>
      </c>
      <c r="V220" t="inlineStr">
        <is>
          <t>per pax</t>
        </is>
      </c>
      <c r="X220" t="inlineStr">
        <is>
          <t>OK</t>
        </is>
      </c>
      <c r="Y220" t="inlineStr">
        <is>
          <t>meals gladi/h-1 team | pax</t>
        </is>
      </c>
    </row>
    <row r="221">
      <c r="A221" t="n">
        <v>217</v>
      </c>
      <c r="B221" t="inlineStr">
        <is>
          <t>🕌 MUI EVENT DATA</t>
        </is>
      </c>
      <c r="C221" t="n">
        <v>122</v>
      </c>
      <c r="D221" t="inlineStr">
        <is>
          <t>MUI Real Cost</t>
        </is>
      </c>
      <c r="E221" t="inlineStr">
        <is>
          <t>Internal</t>
        </is>
      </c>
      <c r="F221" t="inlineStr">
        <is>
          <t>Operational</t>
        </is>
      </c>
      <c r="H221" t="inlineStr">
        <is>
          <t>Meals OC (EO) per pax</t>
        </is>
      </c>
      <c r="J221" t="inlineStr">
        <is>
          <t>pax</t>
        </is>
      </c>
      <c r="K221" t="inlineStr">
        <is>
          <t>1</t>
        </is>
      </c>
      <c r="L221" t="n">
        <v>50000</v>
      </c>
      <c r="M221" t="n">
        <v>50000</v>
      </c>
      <c r="N221">
        <f>IF(COUNT(L221:M221)=0,"",AVERAGE(L221:M221))</f>
        <v/>
      </c>
      <c r="Q221">
        <f>IF(COUNT(O221:P221)=0,"",AVERAGE(O221:P221))</f>
        <v/>
      </c>
      <c r="R221">
        <f>IF(Q221&lt;&gt;"",Q221,IF(N221&lt;&gt;"",ROUND(N221*(1+$B$2),0),""))</f>
        <v/>
      </c>
      <c r="S221">
        <f>IF(AND(N221&lt;&gt;"",Q221&lt;&gt;"",N221&lt;&gt;0),(Q221-N221)/N221,"")</f>
        <v/>
      </c>
      <c r="T221" t="inlineStr">
        <is>
          <t>2026</t>
        </is>
      </c>
      <c r="U221" t="inlineStr">
        <is>
          <t>MUI Istiqlal 2026</t>
        </is>
      </c>
      <c r="V221" t="inlineStr">
        <is>
          <t>per pax</t>
        </is>
      </c>
      <c r="X221" t="inlineStr">
        <is>
          <t>OK</t>
        </is>
      </c>
      <c r="Y221" t="inlineStr">
        <is>
          <t>meals oc (eo) per pax | pax</t>
        </is>
      </c>
    </row>
    <row r="222">
      <c r="A222" t="n">
        <v>218</v>
      </c>
      <c r="B222" t="inlineStr">
        <is>
          <t>🕌 MUI EVENT DATA</t>
        </is>
      </c>
      <c r="C222" t="n">
        <v>124</v>
      </c>
      <c r="D222" t="inlineStr">
        <is>
          <t>MUI Real Cost</t>
        </is>
      </c>
      <c r="E222" t="inlineStr">
        <is>
          <t>Internal</t>
        </is>
      </c>
      <c r="F222" t="inlineStr">
        <is>
          <t>Operational</t>
        </is>
      </c>
      <c r="H222" t="inlineStr">
        <is>
          <t>Meals Paspampres per pax</t>
        </is>
      </c>
      <c r="J222" t="inlineStr">
        <is>
          <t>pax/time</t>
        </is>
      </c>
      <c r="K222" t="inlineStr">
        <is>
          <t>1</t>
        </is>
      </c>
      <c r="L222" t="n">
        <v>25000</v>
      </c>
      <c r="M222" t="n">
        <v>25000</v>
      </c>
      <c r="N222">
        <f>IF(COUNT(L222:M222)=0,"",AVERAGE(L222:M222))</f>
        <v/>
      </c>
      <c r="Q222">
        <f>IF(COUNT(O222:P222)=0,"",AVERAGE(O222:P222))</f>
        <v/>
      </c>
      <c r="R222">
        <f>IF(Q222&lt;&gt;"",Q222,IF(N222&lt;&gt;"",ROUND(N222*(1+$B$2),0),""))</f>
        <v/>
      </c>
      <c r="S222">
        <f>IF(AND(N222&lt;&gt;"",Q222&lt;&gt;"",N222&lt;&gt;0),(Q222-N222)/N222,"")</f>
        <v/>
      </c>
      <c r="T222" t="inlineStr">
        <is>
          <t>2026</t>
        </is>
      </c>
      <c r="U222" t="inlineStr">
        <is>
          <t>MUI Istiqlal 2026</t>
        </is>
      </c>
      <c r="V222" t="inlineStr">
        <is>
          <t>per pax per waktu</t>
        </is>
      </c>
      <c r="X222" t="inlineStr">
        <is>
          <t>OK</t>
        </is>
      </c>
      <c r="Y222" t="inlineStr">
        <is>
          <t>meals paspampres per pax | pax/time</t>
        </is>
      </c>
    </row>
    <row r="223">
      <c r="A223" t="n">
        <v>219</v>
      </c>
      <c r="B223" t="inlineStr">
        <is>
          <t>🕌 MUI EVENT DATA</t>
        </is>
      </c>
      <c r="C223" t="n">
        <v>135</v>
      </c>
      <c r="D223" t="inlineStr">
        <is>
          <t>MUI Real Cost</t>
        </is>
      </c>
      <c r="E223" t="inlineStr">
        <is>
          <t>Internal</t>
        </is>
      </c>
      <c r="F223" t="inlineStr">
        <is>
          <t>Operational</t>
        </is>
      </c>
      <c r="H223" t="inlineStr">
        <is>
          <t>Paket Internet Live Streaming</t>
        </is>
      </c>
      <c r="J223" t="inlineStr">
        <is>
          <t>pckg</t>
        </is>
      </c>
      <c r="K223" t="inlineStr">
        <is>
          <t>1</t>
        </is>
      </c>
      <c r="L223" t="n">
        <v>10000000</v>
      </c>
      <c r="M223" t="n">
        <v>10000000</v>
      </c>
      <c r="N223">
        <f>IF(COUNT(L223:M223)=0,"",AVERAGE(L223:M223))</f>
        <v/>
      </c>
      <c r="Q223">
        <f>IF(COUNT(O223:P223)=0,"",AVERAGE(O223:P223))</f>
        <v/>
      </c>
      <c r="R223">
        <f>IF(Q223&lt;&gt;"",Q223,IF(N223&lt;&gt;"",ROUND(N223*(1+$B$2),0),""))</f>
        <v/>
      </c>
      <c r="S223">
        <f>IF(AND(N223&lt;&gt;"",Q223&lt;&gt;"",N223&lt;&gt;0),(Q223-N223)/N223,"")</f>
        <v/>
      </c>
      <c r="T223" t="inlineStr">
        <is>
          <t>2026</t>
        </is>
      </c>
      <c r="U223" t="inlineStr">
        <is>
          <t>MUI Istiqlal 2026</t>
        </is>
      </c>
      <c r="V223" t="inlineStr">
        <is>
          <t>Real-CE MUI</t>
        </is>
      </c>
      <c r="X223" t="inlineStr">
        <is>
          <t>OK</t>
        </is>
      </c>
      <c r="Y223" t="inlineStr">
        <is>
          <t>paket internet live streaming | pckg</t>
        </is>
      </c>
    </row>
    <row r="224">
      <c r="A224" t="n">
        <v>220</v>
      </c>
      <c r="B224" t="inlineStr">
        <is>
          <t>🕌 MUI EVENT DATA</t>
        </is>
      </c>
      <c r="C224" t="n">
        <v>126</v>
      </c>
      <c r="D224" t="inlineStr">
        <is>
          <t>MUI Real Cost</t>
        </is>
      </c>
      <c r="E224" t="inlineStr">
        <is>
          <t>Internal</t>
        </is>
      </c>
      <c r="F224" t="inlineStr">
        <is>
          <t>Operational</t>
        </is>
      </c>
      <c r="H224" t="inlineStr">
        <is>
          <t>Signage Tripod Polyfoam A1</t>
        </is>
      </c>
      <c r="J224" t="inlineStr">
        <is>
          <t>pcs</t>
        </is>
      </c>
      <c r="K224" t="inlineStr">
        <is>
          <t>1</t>
        </is>
      </c>
      <c r="L224" t="n">
        <v>250000</v>
      </c>
      <c r="M224" t="n">
        <v>250000</v>
      </c>
      <c r="N224">
        <f>IF(COUNT(L224:M224)=0,"",AVERAGE(L224:M224))</f>
        <v/>
      </c>
      <c r="Q224">
        <f>IF(COUNT(O224:P224)=0,"",AVERAGE(O224:P224))</f>
        <v/>
      </c>
      <c r="R224">
        <f>IF(Q224&lt;&gt;"",Q224,IF(N224&lt;&gt;"",ROUND(N224*(1+$B$2),0),""))</f>
        <v/>
      </c>
      <c r="S224">
        <f>IF(AND(N224&lt;&gt;"",Q224&lt;&gt;"",N224&lt;&gt;0),(Q224-N224)/N224,"")</f>
        <v/>
      </c>
      <c r="T224" t="inlineStr">
        <is>
          <t>2026</t>
        </is>
      </c>
      <c r="U224" t="inlineStr">
        <is>
          <t>MUI Istiqlal 2026</t>
        </is>
      </c>
      <c r="V224" t="inlineStr">
        <is>
          <t>per pcs</t>
        </is>
      </c>
      <c r="X224" t="inlineStr">
        <is>
          <t>OK</t>
        </is>
      </c>
      <c r="Y224" t="inlineStr">
        <is>
          <t>signage tripod polyfoam a1 | pcs</t>
        </is>
      </c>
    </row>
    <row r="225">
      <c r="A225" t="n">
        <v>221</v>
      </c>
      <c r="B225" t="inlineStr">
        <is>
          <t>🕌 MUI EVENT DATA</t>
        </is>
      </c>
      <c r="C225" t="n">
        <v>130</v>
      </c>
      <c r="D225" t="inlineStr">
        <is>
          <t>MUI Real Cost</t>
        </is>
      </c>
      <c r="E225" t="inlineStr">
        <is>
          <t>Internal</t>
        </is>
      </c>
      <c r="F225" t="inlineStr">
        <is>
          <t>Operational</t>
        </is>
      </c>
      <c r="H225" t="inlineStr">
        <is>
          <t>Sticker Seating Arrangement</t>
        </is>
      </c>
      <c r="J225" t="inlineStr">
        <is>
          <t>pcs</t>
        </is>
      </c>
      <c r="K225" t="inlineStr">
        <is>
          <t>1</t>
        </is>
      </c>
      <c r="L225" t="n">
        <v>17000</v>
      </c>
      <c r="M225" t="n">
        <v>17000</v>
      </c>
      <c r="N225">
        <f>IF(COUNT(L225:M225)=0,"",AVERAGE(L225:M225))</f>
        <v/>
      </c>
      <c r="Q225">
        <f>IF(COUNT(O225:P225)=0,"",AVERAGE(O225:P225))</f>
        <v/>
      </c>
      <c r="R225">
        <f>IF(Q225&lt;&gt;"",Q225,IF(N225&lt;&gt;"",ROUND(N225*(1+$B$2),0),""))</f>
        <v/>
      </c>
      <c r="S225">
        <f>IF(AND(N225&lt;&gt;"",Q225&lt;&gt;"",N225&lt;&gt;0),(Q225-N225)/N225,"")</f>
        <v/>
      </c>
      <c r="T225" t="inlineStr">
        <is>
          <t>2026</t>
        </is>
      </c>
      <c r="U225" t="inlineStr">
        <is>
          <t>MUI Istiqlal 2026</t>
        </is>
      </c>
      <c r="V225" t="inlineStr">
        <is>
          <t>per pcs</t>
        </is>
      </c>
      <c r="X225" t="inlineStr">
        <is>
          <t>OK</t>
        </is>
      </c>
      <c r="Y225" t="inlineStr">
        <is>
          <t>sticker seating arrangement | pcs</t>
        </is>
      </c>
    </row>
    <row r="226">
      <c r="A226" t="n">
        <v>222</v>
      </c>
      <c r="B226" t="inlineStr">
        <is>
          <t>🕌 MUI EVENT DATA</t>
        </is>
      </c>
      <c r="C226" t="n">
        <v>128</v>
      </c>
      <c r="D226" t="inlineStr">
        <is>
          <t>MUI Real Cost</t>
        </is>
      </c>
      <c r="E226" t="inlineStr">
        <is>
          <t>Internal</t>
        </is>
      </c>
      <c r="F226" t="inlineStr">
        <is>
          <t>Operational</t>
        </is>
      </c>
      <c r="H226" t="inlineStr">
        <is>
          <t>TV Monitor 65 inch incl. stand</t>
        </is>
      </c>
      <c r="I226" t="inlineStr">
        <is>
          <t>CCTV &amp; FOH</t>
        </is>
      </c>
      <c r="J226" t="inlineStr">
        <is>
          <t>unit/day</t>
        </is>
      </c>
      <c r="K226" t="inlineStr">
        <is>
          <t>1</t>
        </is>
      </c>
      <c r="L226" t="n">
        <v>1500000</v>
      </c>
      <c r="M226" t="n">
        <v>1500000</v>
      </c>
      <c r="N226">
        <f>IF(COUNT(L226:M226)=0,"",AVERAGE(L226:M226))</f>
        <v/>
      </c>
      <c r="Q226">
        <f>IF(COUNT(O226:P226)=0,"",AVERAGE(O226:P226))</f>
        <v/>
      </c>
      <c r="R226">
        <f>IF(Q226&lt;&gt;"",Q226,IF(N226&lt;&gt;"",ROUND(N226*(1+$B$2),0),""))</f>
        <v/>
      </c>
      <c r="S226">
        <f>IF(AND(N226&lt;&gt;"",Q226&lt;&gt;"",N226&lt;&gt;0),(Q226-N226)/N226,"")</f>
        <v/>
      </c>
      <c r="T226" t="inlineStr">
        <is>
          <t>2026</t>
        </is>
      </c>
      <c r="U226" t="inlineStr">
        <is>
          <t>MUI Istiqlal 2026</t>
        </is>
      </c>
      <c r="V226" t="inlineStr">
        <is>
          <t>per unit</t>
        </is>
      </c>
      <c r="X226" t="inlineStr">
        <is>
          <t>OK</t>
        </is>
      </c>
      <c r="Y226" t="inlineStr">
        <is>
          <t>tv monitor 65 inch incl. stand | unit/day</t>
        </is>
      </c>
    </row>
    <row r="227">
      <c r="A227" t="n">
        <v>223</v>
      </c>
      <c r="B227" t="inlineStr">
        <is>
          <t>🕌 MUI EVENT DATA</t>
        </is>
      </c>
      <c r="C227" t="n">
        <v>127</v>
      </c>
      <c r="D227" t="inlineStr">
        <is>
          <t>MUI Real Cost</t>
        </is>
      </c>
      <c r="E227" t="inlineStr">
        <is>
          <t>Internal</t>
        </is>
      </c>
      <c r="F227" t="inlineStr">
        <is>
          <t>Operational</t>
        </is>
      </c>
      <c r="H227" t="inlineStr">
        <is>
          <t>Toilet Portable</t>
        </is>
      </c>
      <c r="I227" t="inlineStr">
        <is>
          <t>per unit per hari</t>
        </is>
      </c>
      <c r="J227" t="inlineStr">
        <is>
          <t>unit/day</t>
        </is>
      </c>
      <c r="K227" t="inlineStr">
        <is>
          <t>1</t>
        </is>
      </c>
      <c r="L227" t="n">
        <v>2200000</v>
      </c>
      <c r="M227" t="n">
        <v>2200000</v>
      </c>
      <c r="N227">
        <f>IF(COUNT(L227:M227)=0,"",AVERAGE(L227:M227))</f>
        <v/>
      </c>
      <c r="Q227">
        <f>IF(COUNT(O227:P227)=0,"",AVERAGE(O227:P227))</f>
        <v/>
      </c>
      <c r="R227">
        <f>IF(Q227&lt;&gt;"",Q227,IF(N227&lt;&gt;"",ROUND(N227*(1+$B$2),0),""))</f>
        <v/>
      </c>
      <c r="S227">
        <f>IF(AND(N227&lt;&gt;"",Q227&lt;&gt;"",N227&lt;&gt;0),(Q227-N227)/N227,"")</f>
        <v/>
      </c>
      <c r="T227" t="inlineStr">
        <is>
          <t>2026</t>
        </is>
      </c>
      <c r="U227" t="inlineStr">
        <is>
          <t>MUI Istiqlal 2026</t>
        </is>
      </c>
      <c r="V227" t="inlineStr">
        <is>
          <t>Real-CE MUI</t>
        </is>
      </c>
      <c r="X227" t="inlineStr">
        <is>
          <t>OK</t>
        </is>
      </c>
      <c r="Y227" t="inlineStr">
        <is>
          <t>toilet portable | unit/day</t>
        </is>
      </c>
    </row>
    <row r="228">
      <c r="A228" t="n">
        <v>224</v>
      </c>
      <c r="B228" t="inlineStr">
        <is>
          <t>🕌 MUI EVENT DATA</t>
        </is>
      </c>
      <c r="C228" t="n">
        <v>119</v>
      </c>
      <c r="D228" t="inlineStr">
        <is>
          <t>MUI Real Cost</t>
        </is>
      </c>
      <c r="E228" t="inlineStr">
        <is>
          <t>Internal</t>
        </is>
      </c>
      <c r="F228" t="inlineStr">
        <is>
          <t>Operational</t>
        </is>
      </c>
      <c r="H228" t="inlineStr">
        <is>
          <t>Transport Rent Car</t>
        </is>
      </c>
      <c r="I228" t="inlineStr">
        <is>
          <t>2 unit 2 hari</t>
        </is>
      </c>
      <c r="J228" t="inlineStr">
        <is>
          <t>unit/day</t>
        </is>
      </c>
      <c r="K228" t="inlineStr">
        <is>
          <t>1</t>
        </is>
      </c>
      <c r="L228" t="n">
        <v>650000</v>
      </c>
      <c r="M228" t="n">
        <v>650000</v>
      </c>
      <c r="N228">
        <f>IF(COUNT(L228:M228)=0,"",AVERAGE(L228:M228))</f>
        <v/>
      </c>
      <c r="Q228">
        <f>IF(COUNT(O228:P228)=0,"",AVERAGE(O228:P228))</f>
        <v/>
      </c>
      <c r="R228">
        <f>IF(Q228&lt;&gt;"",Q228,IF(N228&lt;&gt;"",ROUND(N228*(1+$B$2),0),""))</f>
        <v/>
      </c>
      <c r="S228">
        <f>IF(AND(N228&lt;&gt;"",Q228&lt;&gt;"",N228&lt;&gt;0),(Q228-N228)/N228,"")</f>
        <v/>
      </c>
      <c r="T228" t="inlineStr">
        <is>
          <t>2026</t>
        </is>
      </c>
      <c r="U228" t="inlineStr">
        <is>
          <t>MUI Istiqlal 2026</t>
        </is>
      </c>
      <c r="V228" t="inlineStr">
        <is>
          <t>Real-CE MUI</t>
        </is>
      </c>
      <c r="X228" t="inlineStr">
        <is>
          <t>OK</t>
        </is>
      </c>
      <c r="Y228" t="inlineStr">
        <is>
          <t>transport rent car | unit/day</t>
        </is>
      </c>
    </row>
    <row r="229">
      <c r="A229" t="n">
        <v>225</v>
      </c>
      <c r="B229" t="inlineStr">
        <is>
          <t>🕌 MUI EVENT DATA</t>
        </is>
      </c>
      <c r="C229" t="n">
        <v>131</v>
      </c>
      <c r="D229" t="inlineStr">
        <is>
          <t>MUI Real Cost</t>
        </is>
      </c>
      <c r="E229" t="inlineStr">
        <is>
          <t>Internal</t>
        </is>
      </c>
      <c r="F229" t="inlineStr">
        <is>
          <t>Operational</t>
        </is>
      </c>
      <c r="H229" t="inlineStr">
        <is>
          <t>Trashbag</t>
        </is>
      </c>
      <c r="I229" t="inlineStr">
        <is>
          <t>per karton</t>
        </is>
      </c>
      <c r="J229" t="inlineStr">
        <is>
          <t>karton</t>
        </is>
      </c>
      <c r="K229" t="inlineStr">
        <is>
          <t>1</t>
        </is>
      </c>
      <c r="L229" t="n">
        <v>85000</v>
      </c>
      <c r="M229" t="n">
        <v>85000</v>
      </c>
      <c r="N229">
        <f>IF(COUNT(L229:M229)=0,"",AVERAGE(L229:M229))</f>
        <v/>
      </c>
      <c r="Q229">
        <f>IF(COUNT(O229:P229)=0,"",AVERAGE(O229:P229))</f>
        <v/>
      </c>
      <c r="R229">
        <f>IF(Q229&lt;&gt;"",Q229,IF(N229&lt;&gt;"",ROUND(N229*(1+$B$2),0),""))</f>
        <v/>
      </c>
      <c r="S229">
        <f>IF(AND(N229&lt;&gt;"",Q229&lt;&gt;"",N229&lt;&gt;0),(Q229-N229)/N229,"")</f>
        <v/>
      </c>
      <c r="T229" t="inlineStr">
        <is>
          <t>2026</t>
        </is>
      </c>
      <c r="U229" t="inlineStr">
        <is>
          <t>MUI Istiqlal 2026</t>
        </is>
      </c>
      <c r="V229" t="inlineStr">
        <is>
          <t>per karton</t>
        </is>
      </c>
      <c r="X229" t="inlineStr">
        <is>
          <t>OK</t>
        </is>
      </c>
      <c r="Y229" t="inlineStr">
        <is>
          <t>trashbag | karton</t>
        </is>
      </c>
    </row>
    <row r="230">
      <c r="A230" t="n">
        <v>226</v>
      </c>
      <c r="B230" t="inlineStr">
        <is>
          <t>📊 SUMMARY</t>
        </is>
      </c>
      <c r="C230" t="n">
        <v>8</v>
      </c>
      <c r="D230" t="inlineStr">
        <is>
          <t>Summary Range</t>
        </is>
      </c>
      <c r="F230" t="inlineStr">
        <is>
          <t>PERMIT &amp; HSE</t>
        </is>
      </c>
      <c r="H230" t="inlineStr">
        <is>
          <t>Ambulance Mini ICU</t>
        </is>
      </c>
      <c r="J230" t="inlineStr">
        <is>
          <t>unit/day</t>
        </is>
      </c>
      <c r="N230">
        <f>IF(COUNT(L230:M230)=0,"",AVERAGE(L230:M230))</f>
        <v/>
      </c>
      <c r="O230" t="n">
        <v>6000000</v>
      </c>
      <c r="P230" t="n">
        <v>7500000</v>
      </c>
      <c r="Q230">
        <f>IF(COUNT(O230:P230)=0,"",AVERAGE(O230:P230))</f>
        <v/>
      </c>
      <c r="R230">
        <f>IF(Q230&lt;&gt;"",Q230,IF(N230&lt;&gt;"",ROUND(N230*(1+$B$2),0),""))</f>
        <v/>
      </c>
      <c r="S230">
        <f>IF(AND(N230&lt;&gt;"",Q230&lt;&gt;"",N230&lt;&gt;0),(Q230-N230)/N230,"")</f>
        <v/>
      </c>
      <c r="V230" t="inlineStr">
        <is>
          <t>Summary Ratecard</t>
        </is>
      </c>
      <c r="W230" t="inlineStr">
        <is>
          <t>inc. peralatan &amp; RS rujukan</t>
        </is>
      </c>
      <c r="X230" t="inlineStr">
        <is>
          <t>OK</t>
        </is>
      </c>
      <c r="Y230" t="inlineStr">
        <is>
          <t>ambulance mini icu | unit/day</t>
        </is>
      </c>
    </row>
    <row r="231">
      <c r="A231" t="n">
        <v>227</v>
      </c>
      <c r="B231" t="inlineStr">
        <is>
          <t>📊 SUMMARY</t>
        </is>
      </c>
      <c r="C231" t="n">
        <v>7</v>
      </c>
      <c r="D231" t="inlineStr">
        <is>
          <t>Summary Range</t>
        </is>
      </c>
      <c r="F231" t="inlineStr">
        <is>
          <t>PERMIT &amp; HSE</t>
        </is>
      </c>
      <c r="H231" t="inlineStr">
        <is>
          <t>Ambulance Reguler</t>
        </is>
      </c>
      <c r="J231" t="inlineStr">
        <is>
          <t>unit/day</t>
        </is>
      </c>
      <c r="N231">
        <f>IF(COUNT(L231:M231)=0,"",AVERAGE(L231:M231))</f>
        <v/>
      </c>
      <c r="O231" t="n">
        <v>2000000</v>
      </c>
      <c r="P231" t="n">
        <v>2600000</v>
      </c>
      <c r="Q231">
        <f>IF(COUNT(O231:P231)=0,"",AVERAGE(O231:P231))</f>
        <v/>
      </c>
      <c r="R231">
        <f>IF(Q231&lt;&gt;"",Q231,IF(N231&lt;&gt;"",ROUND(N231*(1+$B$2),0),""))</f>
        <v/>
      </c>
      <c r="S231">
        <f>IF(AND(N231&lt;&gt;"",Q231&lt;&gt;"",N231&lt;&gt;0),(Q231-N231)/N231,"")</f>
        <v/>
      </c>
      <c r="V231" t="inlineStr">
        <is>
          <t>Summary Ratecard</t>
        </is>
      </c>
      <c r="W231" t="inlineStr">
        <is>
          <t>inc. dokter &amp; nakes</t>
        </is>
      </c>
      <c r="X231" t="inlineStr">
        <is>
          <t>OK</t>
        </is>
      </c>
      <c r="Y231" t="inlineStr">
        <is>
          <t>ambulance reguler | unit/day</t>
        </is>
      </c>
    </row>
    <row r="232">
      <c r="A232" t="n">
        <v>228</v>
      </c>
      <c r="B232" t="inlineStr">
        <is>
          <t>📊 SUMMARY</t>
        </is>
      </c>
      <c r="C232" t="n">
        <v>9</v>
      </c>
      <c r="D232" t="inlineStr">
        <is>
          <t>Summary Range</t>
        </is>
      </c>
      <c r="F232" t="inlineStr">
        <is>
          <t>PERMIT &amp; HSE</t>
        </is>
      </c>
      <c r="H232" t="inlineStr">
        <is>
          <t>Damkar</t>
        </is>
      </c>
      <c r="J232" t="inlineStr">
        <is>
          <t>unit/day</t>
        </is>
      </c>
      <c r="N232">
        <f>IF(COUNT(L232:M232)=0,"",AVERAGE(L232:M232))</f>
        <v/>
      </c>
      <c r="O232" t="n">
        <v>3500000</v>
      </c>
      <c r="P232" t="n">
        <v>4750000</v>
      </c>
      <c r="Q232">
        <f>IF(COUNT(O232:P232)=0,"",AVERAGE(O232:P232))</f>
        <v/>
      </c>
      <c r="R232">
        <f>IF(Q232&lt;&gt;"",Q232,IF(N232&lt;&gt;"",ROUND(N232*(1+$B$2),0),""))</f>
        <v/>
      </c>
      <c r="S232">
        <f>IF(AND(N232&lt;&gt;"",Q232&lt;&gt;"",N232&lt;&gt;0),(Q232-N232)/N232,"")</f>
        <v/>
      </c>
      <c r="V232" t="inlineStr">
        <is>
          <t>Summary Ratecard</t>
        </is>
      </c>
      <c r="W232" t="inlineStr">
        <is>
          <t>standby</t>
        </is>
      </c>
      <c r="X232" t="inlineStr">
        <is>
          <t>Potential duplicate x2</t>
        </is>
      </c>
      <c r="Y232" t="inlineStr">
        <is>
          <t>damkar | unit/day</t>
        </is>
      </c>
    </row>
    <row r="233">
      <c r="A233" t="n">
        <v>229</v>
      </c>
      <c r="B233" t="inlineStr">
        <is>
          <t>📊 SUMMARY</t>
        </is>
      </c>
      <c r="C233" t="n">
        <v>5</v>
      </c>
      <c r="D233" t="inlineStr">
        <is>
          <t>Summary Range</t>
        </is>
      </c>
      <c r="F233" t="inlineStr">
        <is>
          <t>PERMIT &amp; HSE</t>
        </is>
      </c>
      <c r="H233" t="inlineStr">
        <is>
          <t>Ijin Kegiatan (POLSEK-POLRES-POLDA)</t>
        </is>
      </c>
      <c r="J233" t="inlineStr">
        <is>
          <t>pckg</t>
        </is>
      </c>
      <c r="N233">
        <f>IF(COUNT(L233:M233)=0,"",AVERAGE(L233:M233))</f>
        <v/>
      </c>
      <c r="O233" t="n">
        <v>10000000</v>
      </c>
      <c r="P233" t="n">
        <v>16000000</v>
      </c>
      <c r="Q233">
        <f>IF(COUNT(O233:P233)=0,"",AVERAGE(O233:P233))</f>
        <v/>
      </c>
      <c r="R233">
        <f>IF(Q233&lt;&gt;"",Q233,IF(N233&lt;&gt;"",ROUND(N233*(1+$B$2),0),""))</f>
        <v/>
      </c>
      <c r="S233">
        <f>IF(AND(N233&lt;&gt;"",Q233&lt;&gt;"",N233&lt;&gt;0),(Q233-N233)/N233,"")</f>
        <v/>
      </c>
      <c r="V233" t="inlineStr">
        <is>
          <t>Summary Ratecard</t>
        </is>
      </c>
      <c r="W233" t="inlineStr">
        <is>
          <t>Sesuai scope wilayah</t>
        </is>
      </c>
      <c r="X233" t="inlineStr">
        <is>
          <t>OK</t>
        </is>
      </c>
      <c r="Y233" t="inlineStr">
        <is>
          <t>ijin kegiatan (polsek-polres-polda) | pckg</t>
        </is>
      </c>
    </row>
    <row r="234">
      <c r="A234" t="n">
        <v>230</v>
      </c>
      <c r="B234" t="inlineStr">
        <is>
          <t>📊 SUMMARY</t>
        </is>
      </c>
      <c r="C234" t="n">
        <v>10</v>
      </c>
      <c r="D234" t="inlineStr">
        <is>
          <t>Summary Range</t>
        </is>
      </c>
      <c r="F234" t="inlineStr">
        <is>
          <t>PERMIT &amp; HSE</t>
        </is>
      </c>
      <c r="H234" t="inlineStr">
        <is>
          <t>Internal Security (Non Ormas)</t>
        </is>
      </c>
      <c r="J234" t="inlineStr">
        <is>
          <t>person/day</t>
        </is>
      </c>
      <c r="N234">
        <f>IF(COUNT(L234:M234)=0,"",AVERAGE(L234:M234))</f>
        <v/>
      </c>
      <c r="O234" t="n">
        <v>400000</v>
      </c>
      <c r="P234" t="n">
        <v>500000</v>
      </c>
      <c r="Q234">
        <f>IF(COUNT(O234:P234)=0,"",AVERAGE(O234:P234))</f>
        <v/>
      </c>
      <c r="R234">
        <f>IF(Q234&lt;&gt;"",Q234,IF(N234&lt;&gt;"",ROUND(N234*(1+$B$2),0),""))</f>
        <v/>
      </c>
      <c r="S234">
        <f>IF(AND(N234&lt;&gt;"",Q234&lt;&gt;"",N234&lt;&gt;0),(Q234-N234)/N234,"")</f>
        <v/>
      </c>
      <c r="V234" t="inlineStr">
        <is>
          <t>Summary Ratecard</t>
        </is>
      </c>
      <c r="X234" t="inlineStr">
        <is>
          <t>Potential duplicate x2</t>
        </is>
      </c>
      <c r="Y234" t="inlineStr">
        <is>
          <t>internal security (non ormas) | person/day</t>
        </is>
      </c>
    </row>
    <row r="235">
      <c r="A235" t="n">
        <v>231</v>
      </c>
      <c r="B235" t="inlineStr">
        <is>
          <t>📊 SUMMARY</t>
        </is>
      </c>
      <c r="C235" t="n">
        <v>6</v>
      </c>
      <c r="D235" t="inlineStr">
        <is>
          <t>Summary Range</t>
        </is>
      </c>
      <c r="F235" t="inlineStr">
        <is>
          <t>PERMIT &amp; HSE</t>
        </is>
      </c>
      <c r="H235" t="inlineStr">
        <is>
          <t>PAM Personil Kepolisian</t>
        </is>
      </c>
      <c r="J235" t="inlineStr">
        <is>
          <t>person/day</t>
        </is>
      </c>
      <c r="N235">
        <f>IF(COUNT(L235:M235)=0,"",AVERAGE(L235:M235))</f>
        <v/>
      </c>
      <c r="O235" t="n">
        <v>150000</v>
      </c>
      <c r="P235" t="n">
        <v>275000</v>
      </c>
      <c r="Q235">
        <f>IF(COUNT(O235:P235)=0,"",AVERAGE(O235:P235))</f>
        <v/>
      </c>
      <c r="R235">
        <f>IF(Q235&lt;&gt;"",Q235,IF(N235&lt;&gt;"",ROUND(N235*(1+$B$2),0),""))</f>
        <v/>
      </c>
      <c r="S235">
        <f>IF(AND(N235&lt;&gt;"",Q235&lt;&gt;"",N235&lt;&gt;0),(Q235-N235)/N235,"")</f>
        <v/>
      </c>
      <c r="V235" t="inlineStr">
        <is>
          <t>Summary Ratecard</t>
        </is>
      </c>
      <c r="W235" t="inlineStr">
        <is>
          <t>incl. meals</t>
        </is>
      </c>
      <c r="X235" t="inlineStr">
        <is>
          <t>OK</t>
        </is>
      </c>
      <c r="Y235" t="inlineStr">
        <is>
          <t>pam personil kepolisian | person/day</t>
        </is>
      </c>
    </row>
    <row r="236">
      <c r="A236" t="n">
        <v>232</v>
      </c>
      <c r="B236" t="inlineStr">
        <is>
          <t>📊 SUMMARY</t>
        </is>
      </c>
      <c r="C236" t="n">
        <v>11</v>
      </c>
      <c r="D236" t="inlineStr">
        <is>
          <t>Summary Range</t>
        </is>
      </c>
      <c r="F236" t="inlineStr">
        <is>
          <t>PERMIT &amp; HSE</t>
        </is>
      </c>
      <c r="H236" t="inlineStr">
        <is>
          <t>Portable Toilet (Single Cabin)</t>
        </is>
      </c>
      <c r="J236" t="inlineStr">
        <is>
          <t>unit/day</t>
        </is>
      </c>
      <c r="N236">
        <f>IF(COUNT(L236:M236)=0,"",AVERAGE(L236:M236))</f>
        <v/>
      </c>
      <c r="O236" t="n">
        <v>2250000</v>
      </c>
      <c r="P236" t="n">
        <v>2750000</v>
      </c>
      <c r="Q236">
        <f>IF(COUNT(O236:P236)=0,"",AVERAGE(O236:P236))</f>
        <v/>
      </c>
      <c r="R236">
        <f>IF(Q236&lt;&gt;"",Q236,IF(N236&lt;&gt;"",ROUND(N236*(1+$B$2),0),""))</f>
        <v/>
      </c>
      <c r="S236">
        <f>IF(AND(N236&lt;&gt;"",Q236&lt;&gt;"",N236&lt;&gt;0),(Q236-N236)/N236,"")</f>
        <v/>
      </c>
      <c r="V236" t="inlineStr">
        <is>
          <t>Summary Ratecard</t>
        </is>
      </c>
      <c r="X236" t="inlineStr">
        <is>
          <t>Potential duplicate x2</t>
        </is>
      </c>
      <c r="Y236" t="inlineStr">
        <is>
          <t>portable toilet (single cabin) | unit/day</t>
        </is>
      </c>
    </row>
    <row r="237">
      <c r="A237" t="n">
        <v>233</v>
      </c>
      <c r="B237" t="inlineStr">
        <is>
          <t>📦 RATECARD DB</t>
        </is>
      </c>
      <c r="C237" t="n">
        <v>10</v>
      </c>
      <c r="D237" t="inlineStr">
        <is>
          <t>Master Ratecard</t>
        </is>
      </c>
      <c r="F237" t="inlineStr">
        <is>
          <t>PERMIT &amp; HSE</t>
        </is>
      </c>
      <c r="G237" t="inlineStr">
        <is>
          <t>HSE</t>
        </is>
      </c>
      <c r="H237" t="inlineStr">
        <is>
          <t>Ambulance + Tim Medis (Reguler)</t>
        </is>
      </c>
      <c r="I237" t="inlineStr">
        <is>
          <t>inc dokter &amp; nakes</t>
        </is>
      </c>
      <c r="J237" t="inlineStr">
        <is>
          <t>unit/day</t>
        </is>
      </c>
      <c r="L237" t="n">
        <v>2000000</v>
      </c>
      <c r="M237" t="n">
        <v>2000000</v>
      </c>
      <c r="N237">
        <f>IF(COUNT(L237:M237)=0,"",AVERAGE(L237:M237))</f>
        <v/>
      </c>
      <c r="O237" t="n">
        <v>2600000</v>
      </c>
      <c r="P237" t="n">
        <v>2600000</v>
      </c>
      <c r="Q237">
        <f>IF(COUNT(O237:P237)=0,"",AVERAGE(O237:P237))</f>
        <v/>
      </c>
      <c r="R237">
        <f>IF(Q237&lt;&gt;"",Q237,IF(N237&lt;&gt;"",ROUND(N237*(1+$B$2),0),""))</f>
        <v/>
      </c>
      <c r="S237">
        <f>IF(AND(N237&lt;&gt;"",Q237&lt;&gt;"",N237&lt;&gt;0),(Q237-N237)/N237,"")</f>
        <v/>
      </c>
      <c r="T237" t="inlineStr">
        <is>
          <t>2025</t>
        </is>
      </c>
      <c r="V237" t="inlineStr">
        <is>
          <t>Disney OCBC / Kemendikdasmen</t>
        </is>
      </c>
      <c r="X237" t="inlineStr">
        <is>
          <t>OK</t>
        </is>
      </c>
      <c r="Y237" t="inlineStr">
        <is>
          <t>ambulance + tim medis (reguler) | unit/day</t>
        </is>
      </c>
    </row>
    <row r="238">
      <c r="A238" t="n">
        <v>234</v>
      </c>
      <c r="B238" t="inlineStr">
        <is>
          <t>📦 RATECARD DB</t>
        </is>
      </c>
      <c r="C238" t="n">
        <v>11</v>
      </c>
      <c r="D238" t="inlineStr">
        <is>
          <t>Master Ratecard</t>
        </is>
      </c>
      <c r="F238" t="inlineStr">
        <is>
          <t>PERMIT &amp; HSE</t>
        </is>
      </c>
      <c r="G238" t="inlineStr">
        <is>
          <t>HSE</t>
        </is>
      </c>
      <c r="H238" t="inlineStr">
        <is>
          <t>Ambulance - Mini ICU (VIP)</t>
        </is>
      </c>
      <c r="I238" t="inlineStr">
        <is>
          <t>inc dokter &amp; peralatan</t>
        </is>
      </c>
      <c r="J238" t="inlineStr">
        <is>
          <t>unit/day</t>
        </is>
      </c>
      <c r="L238" t="n">
        <v>6000000</v>
      </c>
      <c r="M238" t="n">
        <v>6000000</v>
      </c>
      <c r="N238">
        <f>IF(COUNT(L238:M238)=0,"",AVERAGE(L238:M238))</f>
        <v/>
      </c>
      <c r="O238" t="n">
        <v>7500000</v>
      </c>
      <c r="P238" t="n">
        <v>7500000</v>
      </c>
      <c r="Q238">
        <f>IF(COUNT(O238:P238)=0,"",AVERAGE(O238:P238))</f>
        <v/>
      </c>
      <c r="R238">
        <f>IF(Q238&lt;&gt;"",Q238,IF(N238&lt;&gt;"",ROUND(N238*(1+$B$2),0),""))</f>
        <v/>
      </c>
      <c r="S238">
        <f>IF(AND(N238&lt;&gt;"",Q238&lt;&gt;"",N238&lt;&gt;0),(Q238-N238)/N238,"")</f>
        <v/>
      </c>
      <c r="T238" t="inlineStr">
        <is>
          <t>2025</t>
        </is>
      </c>
      <c r="V238" t="inlineStr">
        <is>
          <t>Kemendikdasmen</t>
        </is>
      </c>
      <c r="X238" t="inlineStr">
        <is>
          <t>OK</t>
        </is>
      </c>
      <c r="Y238" t="inlineStr">
        <is>
          <t>ambulance - mini icu (vip) | unit/day</t>
        </is>
      </c>
    </row>
    <row r="239">
      <c r="A239" t="n">
        <v>235</v>
      </c>
      <c r="B239" t="inlineStr">
        <is>
          <t>📦 RATECARD DB</t>
        </is>
      </c>
      <c r="C239" t="n">
        <v>16</v>
      </c>
      <c r="D239" t="inlineStr">
        <is>
          <t>Master Ratecard</t>
        </is>
      </c>
      <c r="F239" t="inlineStr">
        <is>
          <t>PERMIT &amp; HSE</t>
        </is>
      </c>
      <c r="G239" t="inlineStr">
        <is>
          <t>HSE</t>
        </is>
      </c>
      <c r="H239" t="inlineStr">
        <is>
          <t>DISHUB</t>
        </is>
      </c>
      <c r="I239" t="inlineStr">
        <is>
          <t>ijin lalu lintas</t>
        </is>
      </c>
      <c r="J239" t="inlineStr">
        <is>
          <t>pckg</t>
        </is>
      </c>
      <c r="L239" t="n">
        <v>3500000</v>
      </c>
      <c r="M239" t="n">
        <v>3500000</v>
      </c>
      <c r="N239">
        <f>IF(COUNT(L239:M239)=0,"",AVERAGE(L239:M239))</f>
        <v/>
      </c>
      <c r="O239" t="n">
        <v>5000000</v>
      </c>
      <c r="P239" t="n">
        <v>5000000</v>
      </c>
      <c r="Q239">
        <f>IF(COUNT(O239:P239)=0,"",AVERAGE(O239:P239))</f>
        <v/>
      </c>
      <c r="R239">
        <f>IF(Q239&lt;&gt;"",Q239,IF(N239&lt;&gt;"",ROUND(N239*(1+$B$2),0),""))</f>
        <v/>
      </c>
      <c r="S239">
        <f>IF(AND(N239&lt;&gt;"",Q239&lt;&gt;"",N239&lt;&gt;0),(Q239-N239)/N239,"")</f>
        <v/>
      </c>
      <c r="T239" t="inlineStr">
        <is>
          <t>2025</t>
        </is>
      </c>
      <c r="V239" t="inlineStr">
        <is>
          <t>Heppiii / CE GAPEMPI</t>
        </is>
      </c>
      <c r="X239" t="inlineStr">
        <is>
          <t>OK</t>
        </is>
      </c>
      <c r="Y239" t="inlineStr">
        <is>
          <t>dishub | pckg</t>
        </is>
      </c>
    </row>
    <row r="240">
      <c r="A240" t="n">
        <v>236</v>
      </c>
      <c r="B240" t="inlineStr">
        <is>
          <t>📦 RATECARD DB</t>
        </is>
      </c>
      <c r="C240" t="n">
        <v>12</v>
      </c>
      <c r="D240" t="inlineStr">
        <is>
          <t>Master Ratecard</t>
        </is>
      </c>
      <c r="F240" t="inlineStr">
        <is>
          <t>PERMIT &amp; HSE</t>
        </is>
      </c>
      <c r="G240" t="inlineStr">
        <is>
          <t>HSE</t>
        </is>
      </c>
      <c r="H240" t="inlineStr">
        <is>
          <t>Damkar</t>
        </is>
      </c>
      <c r="I240" t="inlineStr">
        <is>
          <t>1 unit standby</t>
        </is>
      </c>
      <c r="J240" t="inlineStr">
        <is>
          <t>unit/day</t>
        </is>
      </c>
      <c r="L240" t="n">
        <v>3500000</v>
      </c>
      <c r="M240" t="n">
        <v>3500000</v>
      </c>
      <c r="N240">
        <f>IF(COUNT(L240:M240)=0,"",AVERAGE(L240:M240))</f>
        <v/>
      </c>
      <c r="O240" t="n">
        <v>4750000</v>
      </c>
      <c r="P240" t="n">
        <v>4750000</v>
      </c>
      <c r="Q240">
        <f>IF(COUNT(O240:P240)=0,"",AVERAGE(O240:P240))</f>
        <v/>
      </c>
      <c r="R240">
        <f>IF(Q240&lt;&gt;"",Q240,IF(N240&lt;&gt;"",ROUND(N240*(1+$B$2),0),""))</f>
        <v/>
      </c>
      <c r="S240">
        <f>IF(AND(N240&lt;&gt;"",Q240&lt;&gt;"",N240&lt;&gt;0),(Q240-N240)/N240,"")</f>
        <v/>
      </c>
      <c r="T240" t="inlineStr">
        <is>
          <t>2025</t>
        </is>
      </c>
      <c r="V240" t="inlineStr">
        <is>
          <t>Multi event</t>
        </is>
      </c>
      <c r="X240" t="inlineStr">
        <is>
          <t>Potential duplicate x2</t>
        </is>
      </c>
      <c r="Y240" t="inlineStr">
        <is>
          <t>damkar | unit/day</t>
        </is>
      </c>
    </row>
    <row r="241">
      <c r="A241" t="n">
        <v>237</v>
      </c>
      <c r="B241" t="inlineStr">
        <is>
          <t>📦 RATECARD DB</t>
        </is>
      </c>
      <c r="C241" t="n">
        <v>13</v>
      </c>
      <c r="D241" t="inlineStr">
        <is>
          <t>Master Ratecard</t>
        </is>
      </c>
      <c r="F241" t="inlineStr">
        <is>
          <t>PERMIT &amp; HSE</t>
        </is>
      </c>
      <c r="G241" t="inlineStr">
        <is>
          <t>HSE</t>
        </is>
      </c>
      <c r="H241" t="inlineStr">
        <is>
          <t>Internal Security (Non Ormas)</t>
        </is>
      </c>
      <c r="J241" t="inlineStr">
        <is>
          <t>person/day</t>
        </is>
      </c>
      <c r="L241" t="n">
        <v>400000</v>
      </c>
      <c r="M241" t="n">
        <v>400000</v>
      </c>
      <c r="N241">
        <f>IF(COUNT(L241:M241)=0,"",AVERAGE(L241:M241))</f>
        <v/>
      </c>
      <c r="O241" t="n">
        <v>500000</v>
      </c>
      <c r="P241" t="n">
        <v>500000</v>
      </c>
      <c r="Q241">
        <f>IF(COUNT(O241:P241)=0,"",AVERAGE(O241:P241))</f>
        <v/>
      </c>
      <c r="R241">
        <f>IF(Q241&lt;&gt;"",Q241,IF(N241&lt;&gt;"",ROUND(N241*(1+$B$2),0),""))</f>
        <v/>
      </c>
      <c r="S241">
        <f>IF(AND(N241&lt;&gt;"",Q241&lt;&gt;"",N241&lt;&gt;0),(Q241-N241)/N241,"")</f>
        <v/>
      </c>
      <c r="T241" t="inlineStr">
        <is>
          <t>2025</t>
        </is>
      </c>
      <c r="V241" t="inlineStr">
        <is>
          <t>Heppiii Skate Day</t>
        </is>
      </c>
      <c r="X241" t="inlineStr">
        <is>
          <t>Potential duplicate x2</t>
        </is>
      </c>
      <c r="Y241" t="inlineStr">
        <is>
          <t>internal security (non ormas) | person/day</t>
        </is>
      </c>
    </row>
    <row r="242">
      <c r="A242" t="n">
        <v>238</v>
      </c>
      <c r="B242" t="inlineStr">
        <is>
          <t>📦 RATECARD DB</t>
        </is>
      </c>
      <c r="C242" t="n">
        <v>15</v>
      </c>
      <c r="D242" t="inlineStr">
        <is>
          <t>Master Ratecard</t>
        </is>
      </c>
      <c r="F242" t="inlineStr">
        <is>
          <t>PERMIT &amp; HSE</t>
        </is>
      </c>
      <c r="G242" t="inlineStr">
        <is>
          <t>HSE</t>
        </is>
      </c>
      <c r="H242" t="inlineStr">
        <is>
          <t>Portable Toilet (Single Cabin)</t>
        </is>
      </c>
      <c r="J242" t="inlineStr">
        <is>
          <t>unit/day</t>
        </is>
      </c>
      <c r="L242" t="n">
        <v>2250000</v>
      </c>
      <c r="M242" t="n">
        <v>2250000</v>
      </c>
      <c r="N242">
        <f>IF(COUNT(L242:M242)=0,"",AVERAGE(L242:M242))</f>
        <v/>
      </c>
      <c r="O242" t="n">
        <v>2750000</v>
      </c>
      <c r="P242" t="n">
        <v>2750000</v>
      </c>
      <c r="Q242">
        <f>IF(COUNT(O242:P242)=0,"",AVERAGE(O242:P242))</f>
        <v/>
      </c>
      <c r="R242">
        <f>IF(Q242&lt;&gt;"",Q242,IF(N242&lt;&gt;"",ROUND(N242*(1+$B$2),0),""))</f>
        <v/>
      </c>
      <c r="S242">
        <f>IF(AND(N242&lt;&gt;"",Q242&lt;&gt;"",N242&lt;&gt;0),(Q242-N242)/N242,"")</f>
        <v/>
      </c>
      <c r="T242" t="inlineStr">
        <is>
          <t>2025</t>
        </is>
      </c>
      <c r="V242" t="inlineStr">
        <is>
          <t>Disney OCBC / Kemendikdasmen</t>
        </is>
      </c>
      <c r="X242" t="inlineStr">
        <is>
          <t>Potential duplicate x2</t>
        </is>
      </c>
      <c r="Y242" t="inlineStr">
        <is>
          <t>portable toilet (single cabin) | unit/day</t>
        </is>
      </c>
    </row>
    <row r="243">
      <c r="A243" t="n">
        <v>239</v>
      </c>
      <c r="B243" t="inlineStr">
        <is>
          <t>📦 RATECARD DB</t>
        </is>
      </c>
      <c r="C243" t="n">
        <v>14</v>
      </c>
      <c r="D243" t="inlineStr">
        <is>
          <t>Master Ratecard</t>
        </is>
      </c>
      <c r="F243" t="inlineStr">
        <is>
          <t>PERMIT &amp; HSE</t>
        </is>
      </c>
      <c r="G243" t="inlineStr">
        <is>
          <t>HSE</t>
        </is>
      </c>
      <c r="H243" t="inlineStr">
        <is>
          <t>Rain Master</t>
        </is>
      </c>
      <c r="I243" t="inlineStr">
        <is>
          <t>paket</t>
        </is>
      </c>
      <c r="J243" t="inlineStr">
        <is>
          <t>pckg/day</t>
        </is>
      </c>
      <c r="L243" t="n">
        <v>750000</v>
      </c>
      <c r="M243" t="n">
        <v>750000</v>
      </c>
      <c r="N243">
        <f>IF(COUNT(L243:M243)=0,"",AVERAGE(L243:M243))</f>
        <v/>
      </c>
      <c r="O243" t="n">
        <v>1000000</v>
      </c>
      <c r="P243" t="n">
        <v>1000000</v>
      </c>
      <c r="Q243">
        <f>IF(COUNT(O243:P243)=0,"",AVERAGE(O243:P243))</f>
        <v/>
      </c>
      <c r="R243">
        <f>IF(Q243&lt;&gt;"",Q243,IF(N243&lt;&gt;"",ROUND(N243*(1+$B$2),0),""))</f>
        <v/>
      </c>
      <c r="S243">
        <f>IF(AND(N243&lt;&gt;"",Q243&lt;&gt;"",N243&lt;&gt;0),(Q243-N243)/N243,"")</f>
        <v/>
      </c>
      <c r="T243" t="inlineStr">
        <is>
          <t>2025</t>
        </is>
      </c>
      <c r="V243" t="inlineStr">
        <is>
          <t>Heppiii Skate Day</t>
        </is>
      </c>
      <c r="X243" t="inlineStr">
        <is>
          <t>OK</t>
        </is>
      </c>
      <c r="Y243" t="inlineStr">
        <is>
          <t>rain master | pckg/day</t>
        </is>
      </c>
    </row>
    <row r="244">
      <c r="A244" t="n">
        <v>240</v>
      </c>
      <c r="B244" t="inlineStr">
        <is>
          <t>📦 RATECARD DB</t>
        </is>
      </c>
      <c r="C244" t="n">
        <v>5</v>
      </c>
      <c r="D244" t="inlineStr">
        <is>
          <t>Master Ratecard</t>
        </is>
      </c>
      <c r="F244" t="inlineStr">
        <is>
          <t>PERMIT &amp; HSE</t>
        </is>
      </c>
      <c r="G244" t="inlineStr">
        <is>
          <t>Kepolisian</t>
        </is>
      </c>
      <c r="H244" t="inlineStr">
        <is>
          <t>Ijin Kegiatan - POLDA</t>
        </is>
      </c>
      <c r="J244" t="inlineStr">
        <is>
          <t>pckg</t>
        </is>
      </c>
      <c r="L244" t="n">
        <v>12000000</v>
      </c>
      <c r="M244" t="n">
        <v>12000000</v>
      </c>
      <c r="N244">
        <f>IF(COUNT(L244:M244)=0,"",AVERAGE(L244:M244))</f>
        <v/>
      </c>
      <c r="O244" t="n">
        <v>16000000</v>
      </c>
      <c r="P244" t="n">
        <v>16000000</v>
      </c>
      <c r="Q244">
        <f>IF(COUNT(O244:P244)=0,"",AVERAGE(O244:P244))</f>
        <v/>
      </c>
      <c r="R244">
        <f>IF(Q244&lt;&gt;"",Q244,IF(N244&lt;&gt;"",ROUND(N244*(1+$B$2),0),""))</f>
        <v/>
      </c>
      <c r="S244">
        <f>IF(AND(N244&lt;&gt;"",Q244&lt;&gt;"",N244&lt;&gt;0),(Q244-N244)/N244,"")</f>
        <v/>
      </c>
      <c r="T244" t="inlineStr">
        <is>
          <t>2025</t>
        </is>
      </c>
      <c r="V244" t="inlineStr">
        <is>
          <t>Quotation Smash Heppiii</t>
        </is>
      </c>
      <c r="X244" t="inlineStr">
        <is>
          <t>OK</t>
        </is>
      </c>
      <c r="Y244" t="inlineStr">
        <is>
          <t>ijin kegiatan - polda | pckg</t>
        </is>
      </c>
    </row>
    <row r="245">
      <c r="A245" t="n">
        <v>241</v>
      </c>
      <c r="B245" t="inlineStr">
        <is>
          <t>📦 RATECARD DB</t>
        </is>
      </c>
      <c r="C245" t="n">
        <v>4</v>
      </c>
      <c r="D245" t="inlineStr">
        <is>
          <t>Master Ratecard</t>
        </is>
      </c>
      <c r="F245" t="inlineStr">
        <is>
          <t>PERMIT &amp; HSE</t>
        </is>
      </c>
      <c r="G245" t="inlineStr">
        <is>
          <t>Kepolisian</t>
        </is>
      </c>
      <c r="H245" t="inlineStr">
        <is>
          <t>Ijin Kegiatan - POLRES</t>
        </is>
      </c>
      <c r="J245" t="inlineStr">
        <is>
          <t>pckg</t>
        </is>
      </c>
      <c r="L245" t="n">
        <v>12000000</v>
      </c>
      <c r="M245" t="n">
        <v>12000000</v>
      </c>
      <c r="N245">
        <f>IF(COUNT(L245:M245)=0,"",AVERAGE(L245:M245))</f>
        <v/>
      </c>
      <c r="O245" t="n">
        <v>16000000</v>
      </c>
      <c r="P245" t="n">
        <v>16000000</v>
      </c>
      <c r="Q245">
        <f>IF(COUNT(O245:P245)=0,"",AVERAGE(O245:P245))</f>
        <v/>
      </c>
      <c r="R245">
        <f>IF(Q245&lt;&gt;"",Q245,IF(N245&lt;&gt;"",ROUND(N245*(1+$B$2),0),""))</f>
        <v/>
      </c>
      <c r="S245">
        <f>IF(AND(N245&lt;&gt;"",Q245&lt;&gt;"",N245&lt;&gt;0),(Q245-N245)/N245,"")</f>
        <v/>
      </c>
      <c r="T245" t="inlineStr">
        <is>
          <t>2025</t>
        </is>
      </c>
      <c r="V245" t="inlineStr">
        <is>
          <t>Quotation Smash Heppiii</t>
        </is>
      </c>
      <c r="X245" t="inlineStr">
        <is>
          <t>OK</t>
        </is>
      </c>
      <c r="Y245" t="inlineStr">
        <is>
          <t>ijin kegiatan - polres | pckg</t>
        </is>
      </c>
    </row>
    <row r="246">
      <c r="A246" t="n">
        <v>242</v>
      </c>
      <c r="B246" t="inlineStr">
        <is>
          <t>📦 RATECARD DB</t>
        </is>
      </c>
      <c r="C246" t="n">
        <v>3</v>
      </c>
      <c r="D246" t="inlineStr">
        <is>
          <t>Master Ratecard</t>
        </is>
      </c>
      <c r="F246" t="inlineStr">
        <is>
          <t>PERMIT &amp; HSE</t>
        </is>
      </c>
      <c r="G246" t="inlineStr">
        <is>
          <t>Kepolisian</t>
        </is>
      </c>
      <c r="H246" t="inlineStr">
        <is>
          <t>Ijin Kegiatan - POLSEK</t>
        </is>
      </c>
      <c r="J246" t="inlineStr">
        <is>
          <t>pckg</t>
        </is>
      </c>
      <c r="L246" t="n">
        <v>8000000</v>
      </c>
      <c r="M246" t="n">
        <v>8000000</v>
      </c>
      <c r="N246">
        <f>IF(COUNT(L246:M246)=0,"",AVERAGE(L246:M246))</f>
        <v/>
      </c>
      <c r="O246" t="n">
        <v>10000000</v>
      </c>
      <c r="P246" t="n">
        <v>10000000</v>
      </c>
      <c r="Q246">
        <f>IF(COUNT(O246:P246)=0,"",AVERAGE(O246:P246))</f>
        <v/>
      </c>
      <c r="R246">
        <f>IF(Q246&lt;&gt;"",Q246,IF(N246&lt;&gt;"",ROUND(N246*(1+$B$2),0),""))</f>
        <v/>
      </c>
      <c r="S246">
        <f>IF(AND(N246&lt;&gt;"",Q246&lt;&gt;"",N246&lt;&gt;0),(Q246-N246)/N246,"")</f>
        <v/>
      </c>
      <c r="T246" t="inlineStr">
        <is>
          <t>2025</t>
        </is>
      </c>
      <c r="V246" t="inlineStr">
        <is>
          <t>CE GAPEMPI / Kemendikdasmen</t>
        </is>
      </c>
      <c r="X246" t="inlineStr">
        <is>
          <t>OK</t>
        </is>
      </c>
      <c r="Y246" t="inlineStr">
        <is>
          <t>ijin kegiatan - polsek | pckg</t>
        </is>
      </c>
    </row>
    <row r="247">
      <c r="A247" t="n">
        <v>243</v>
      </c>
      <c r="B247" t="inlineStr">
        <is>
          <t>📦 RATECARD DB</t>
        </is>
      </c>
      <c r="C247" t="n">
        <v>6</v>
      </c>
      <c r="D247" t="inlineStr">
        <is>
          <t>Master Ratecard</t>
        </is>
      </c>
      <c r="F247" t="inlineStr">
        <is>
          <t>PERMIT &amp; HSE</t>
        </is>
      </c>
      <c r="G247" t="inlineStr">
        <is>
          <t>Kepolisian</t>
        </is>
      </c>
      <c r="H247" t="inlineStr">
        <is>
          <t>PAM (Personil Kepolisian)</t>
        </is>
      </c>
      <c r="I247" t="inlineStr">
        <is>
          <t>incl. meals</t>
        </is>
      </c>
      <c r="J247" t="inlineStr">
        <is>
          <t>person/day</t>
        </is>
      </c>
      <c r="L247" t="n">
        <v>150000</v>
      </c>
      <c r="M247" t="n">
        <v>150000</v>
      </c>
      <c r="N247">
        <f>IF(COUNT(L247:M247)=0,"",AVERAGE(L247:M247))</f>
        <v/>
      </c>
      <c r="O247" t="n">
        <v>275000</v>
      </c>
      <c r="P247" t="n">
        <v>275000</v>
      </c>
      <c r="Q247">
        <f>IF(COUNT(O247:P247)=0,"",AVERAGE(O247:P247))</f>
        <v/>
      </c>
      <c r="R247">
        <f>IF(Q247&lt;&gt;"",Q247,IF(N247&lt;&gt;"",ROUND(N247*(1+$B$2),0),""))</f>
        <v/>
      </c>
      <c r="S247">
        <f>IF(AND(N247&lt;&gt;"",Q247&lt;&gt;"",N247&lt;&gt;0),(Q247-N247)/N247,"")</f>
        <v/>
      </c>
      <c r="T247" t="inlineStr">
        <is>
          <t>2025</t>
        </is>
      </c>
      <c r="V247" t="inlineStr">
        <is>
          <t>Kemendikdasmen / Heppiii</t>
        </is>
      </c>
      <c r="X247" t="inlineStr">
        <is>
          <t>OK</t>
        </is>
      </c>
      <c r="Y247" t="inlineStr">
        <is>
          <t>pam (personil kepolisian) | person/day</t>
        </is>
      </c>
    </row>
    <row r="248">
      <c r="A248" t="n">
        <v>244</v>
      </c>
      <c r="B248" t="inlineStr">
        <is>
          <t>📦 RATECARD DB</t>
        </is>
      </c>
      <c r="C248" t="n">
        <v>7</v>
      </c>
      <c r="D248" t="inlineStr">
        <is>
          <t>Master Ratecard</t>
        </is>
      </c>
      <c r="F248" t="inlineStr">
        <is>
          <t>PERMIT &amp; HSE</t>
        </is>
      </c>
      <c r="G248" t="inlineStr">
        <is>
          <t>Kepolisian</t>
        </is>
      </c>
      <c r="H248" t="inlineStr">
        <is>
          <t>PASPAMPRES</t>
        </is>
      </c>
      <c r="I248" t="inlineStr">
        <is>
          <t>paket</t>
        </is>
      </c>
      <c r="J248" t="inlineStr">
        <is>
          <t>pckg</t>
        </is>
      </c>
      <c r="L248" t="n">
        <v>10000000</v>
      </c>
      <c r="M248" t="n">
        <v>10000000</v>
      </c>
      <c r="N248">
        <f>IF(COUNT(L248:M248)=0,"",AVERAGE(L248:M248))</f>
        <v/>
      </c>
      <c r="O248" t="n">
        <v>13500000</v>
      </c>
      <c r="P248" t="n">
        <v>13500000</v>
      </c>
      <c r="Q248">
        <f>IF(COUNT(O248:P248)=0,"",AVERAGE(O248:P248))</f>
        <v/>
      </c>
      <c r="R248">
        <f>IF(Q248&lt;&gt;"",Q248,IF(N248&lt;&gt;"",ROUND(N248*(1+$B$2),0),""))</f>
        <v/>
      </c>
      <c r="S248">
        <f>IF(AND(N248&lt;&gt;"",Q248&lt;&gt;"",N248&lt;&gt;0),(Q248-N248)/N248,"")</f>
        <v/>
      </c>
      <c r="T248" t="inlineStr">
        <is>
          <t>2025</t>
        </is>
      </c>
      <c r="V248" t="inlineStr">
        <is>
          <t>Kemendikdasmen</t>
        </is>
      </c>
      <c r="W248" t="inlineStr">
        <is>
          <t>Sesuai kebutuhan acara</t>
        </is>
      </c>
      <c r="X248" t="inlineStr">
        <is>
          <t>OK</t>
        </is>
      </c>
      <c r="Y248" t="inlineStr">
        <is>
          <t>paspampres | pckg</t>
        </is>
      </c>
    </row>
    <row r="249">
      <c r="A249" t="n">
        <v>245</v>
      </c>
      <c r="B249" t="inlineStr">
        <is>
          <t>📦 RATECARD DB</t>
        </is>
      </c>
      <c r="C249" t="n">
        <v>8</v>
      </c>
      <c r="D249" t="inlineStr">
        <is>
          <t>Master Ratecard</t>
        </is>
      </c>
      <c r="F249" t="inlineStr">
        <is>
          <t>PERMIT &amp; HSE</t>
        </is>
      </c>
      <c r="G249" t="inlineStr">
        <is>
          <t>Kepolisian</t>
        </is>
      </c>
      <c r="H249" t="inlineStr">
        <is>
          <t>Patwal Motor</t>
        </is>
      </c>
      <c r="I249" t="inlineStr">
        <is>
          <t>rolling thunder</t>
        </is>
      </c>
      <c r="J249" t="inlineStr">
        <is>
          <t>pckg</t>
        </is>
      </c>
      <c r="L249" t="n">
        <v>1500000</v>
      </c>
      <c r="M249" t="n">
        <v>1500000</v>
      </c>
      <c r="N249">
        <f>IF(COUNT(L249:M249)=0,"",AVERAGE(L249:M249))</f>
        <v/>
      </c>
      <c r="O249" t="n">
        <v>2000000</v>
      </c>
      <c r="P249" t="n">
        <v>2000000</v>
      </c>
      <c r="Q249">
        <f>IF(COUNT(O249:P249)=0,"",AVERAGE(O249:P249))</f>
        <v/>
      </c>
      <c r="R249">
        <f>IF(Q249&lt;&gt;"",Q249,IF(N249&lt;&gt;"",ROUND(N249*(1+$B$2),0),""))</f>
        <v/>
      </c>
      <c r="S249">
        <f>IF(AND(N249&lt;&gt;"",Q249&lt;&gt;"",N249&lt;&gt;0),(Q249-N249)/N249,"")</f>
        <v/>
      </c>
      <c r="T249" t="inlineStr">
        <is>
          <t>2024</t>
        </is>
      </c>
      <c r="V249" t="inlineStr">
        <is>
          <t>Standard Quot 2024</t>
        </is>
      </c>
      <c r="X249" t="inlineStr">
        <is>
          <t>OK</t>
        </is>
      </c>
      <c r="Y249" t="inlineStr">
        <is>
          <t>patwal motor | pckg</t>
        </is>
      </c>
    </row>
    <row r="250">
      <c r="A250" t="n">
        <v>246</v>
      </c>
      <c r="B250" t="inlineStr">
        <is>
          <t>📦 RATECARD DB</t>
        </is>
      </c>
      <c r="C250" t="n">
        <v>9</v>
      </c>
      <c r="D250" t="inlineStr">
        <is>
          <t>Master Ratecard</t>
        </is>
      </c>
      <c r="F250" t="inlineStr">
        <is>
          <t>PERMIT &amp; HSE</t>
        </is>
      </c>
      <c r="G250" t="inlineStr">
        <is>
          <t>Kepolisian</t>
        </is>
      </c>
      <c r="H250" t="inlineStr">
        <is>
          <t>Voojrider / Patwal Mobil</t>
        </is>
      </c>
      <c r="I250" t="inlineStr">
        <is>
          <t>1 unit</t>
        </is>
      </c>
      <c r="J250" t="inlineStr">
        <is>
          <t>pckg</t>
        </is>
      </c>
      <c r="L250" t="n">
        <v>3000000</v>
      </c>
      <c r="M250" t="n">
        <v>3000000</v>
      </c>
      <c r="N250">
        <f>IF(COUNT(L250:M250)=0,"",AVERAGE(L250:M250))</f>
        <v/>
      </c>
      <c r="O250" t="n">
        <v>4550000</v>
      </c>
      <c r="P250" t="n">
        <v>4550000</v>
      </c>
      <c r="Q250">
        <f>IF(COUNT(O250:P250)=0,"",AVERAGE(O250:P250))</f>
        <v/>
      </c>
      <c r="R250">
        <f>IF(Q250&lt;&gt;"",Q250,IF(N250&lt;&gt;"",ROUND(N250*(1+$B$2),0),""))</f>
        <v/>
      </c>
      <c r="S250">
        <f>IF(AND(N250&lt;&gt;"",Q250&lt;&gt;"",N250&lt;&gt;0),(Q250-N250)/N250,"")</f>
        <v/>
      </c>
      <c r="T250" t="inlineStr">
        <is>
          <t>2025</t>
        </is>
      </c>
      <c r="V250" t="inlineStr">
        <is>
          <t>Disney Concert OCBC</t>
        </is>
      </c>
      <c r="X250" t="inlineStr">
        <is>
          <t>OK</t>
        </is>
      </c>
      <c r="Y250" t="inlineStr">
        <is>
          <t>voojrider / patwal mobil | pckg</t>
        </is>
      </c>
    </row>
    <row r="251">
      <c r="A251" t="n">
        <v>247</v>
      </c>
      <c r="B251" t="inlineStr">
        <is>
          <t>📊 SUMMARY</t>
        </is>
      </c>
      <c r="C251" t="n">
        <v>68</v>
      </c>
      <c r="D251" t="inlineStr">
        <is>
          <t>Summary Range</t>
        </is>
      </c>
      <c r="F251" t="inlineStr">
        <is>
          <t>PLANNING &amp; CREATIVE</t>
        </is>
      </c>
      <c r="H251" t="inlineStr">
        <is>
          <t>Bumper Video</t>
        </is>
      </c>
      <c r="J251" t="inlineStr">
        <is>
          <t>package/project</t>
        </is>
      </c>
      <c r="N251">
        <f>IF(COUNT(L251:M251)=0,"",AVERAGE(L251:M251))</f>
        <v/>
      </c>
      <c r="O251" t="n">
        <v>18000000</v>
      </c>
      <c r="P251" t="n">
        <v>25000000</v>
      </c>
      <c r="Q251">
        <f>IF(COUNT(O251:P251)=0,"",AVERAGE(O251:P251))</f>
        <v/>
      </c>
      <c r="R251">
        <f>IF(Q251&lt;&gt;"",Q251,IF(N251&lt;&gt;"",ROUND(N251*(1+$B$2),0),""))</f>
        <v/>
      </c>
      <c r="S251">
        <f>IF(AND(N251&lt;&gt;"",Q251&lt;&gt;"",N251&lt;&gt;0),(Q251-N251)/N251,"")</f>
        <v/>
      </c>
      <c r="V251" t="inlineStr">
        <is>
          <t>Summary Ratecard</t>
        </is>
      </c>
      <c r="X251" t="inlineStr">
        <is>
          <t>OK</t>
        </is>
      </c>
      <c r="Y251" t="inlineStr">
        <is>
          <t>bumper video | package/project</t>
        </is>
      </c>
    </row>
    <row r="252">
      <c r="A252" t="n">
        <v>248</v>
      </c>
      <c r="B252" t="inlineStr">
        <is>
          <t>📊 SUMMARY</t>
        </is>
      </c>
      <c r="C252" t="n">
        <v>66</v>
      </c>
      <c r="D252" t="inlineStr">
        <is>
          <t>Summary Range</t>
        </is>
      </c>
      <c r="F252" t="inlineStr">
        <is>
          <t>PLANNING &amp; CREATIVE</t>
        </is>
      </c>
      <c r="H252" t="inlineStr">
        <is>
          <t>Concept &amp; Ideation</t>
        </is>
      </c>
      <c r="J252" t="inlineStr">
        <is>
          <t>package/project</t>
        </is>
      </c>
      <c r="N252">
        <f>IF(COUNT(L252:M252)=0,"",AVERAGE(L252:M252))</f>
        <v/>
      </c>
      <c r="O252" t="n">
        <v>7000000</v>
      </c>
      <c r="P252" t="n">
        <v>12000000</v>
      </c>
      <c r="Q252">
        <f>IF(COUNT(O252:P252)=0,"",AVERAGE(O252:P252))</f>
        <v/>
      </c>
      <c r="R252">
        <f>IF(Q252&lt;&gt;"",Q252,IF(N252&lt;&gt;"",ROUND(N252*(1+$B$2),0),""))</f>
        <v/>
      </c>
      <c r="S252">
        <f>IF(AND(N252&lt;&gt;"",Q252&lt;&gt;"",N252&lt;&gt;0),(Q252-N252)/N252,"")</f>
        <v/>
      </c>
      <c r="V252" t="inlineStr">
        <is>
          <t>Summary Ratecard</t>
        </is>
      </c>
      <c r="X252" t="inlineStr">
        <is>
          <t>OK</t>
        </is>
      </c>
      <c r="Y252" t="inlineStr">
        <is>
          <t>concept &amp; ideation | package/project</t>
        </is>
      </c>
    </row>
    <row r="253">
      <c r="A253" t="n">
        <v>249</v>
      </c>
      <c r="B253" t="inlineStr">
        <is>
          <t>📊 SUMMARY</t>
        </is>
      </c>
      <c r="C253" t="n">
        <v>67</v>
      </c>
      <c r="D253" t="inlineStr">
        <is>
          <t>Summary Range</t>
        </is>
      </c>
      <c r="F253" t="inlineStr">
        <is>
          <t>PLANNING &amp; CREATIVE</t>
        </is>
      </c>
      <c r="H253" t="inlineStr">
        <is>
          <t>Creative Design 2D+3D</t>
        </is>
      </c>
      <c r="J253" t="inlineStr">
        <is>
          <t>package/project</t>
        </is>
      </c>
      <c r="N253">
        <f>IF(COUNT(L253:M253)=0,"",AVERAGE(L253:M253))</f>
        <v/>
      </c>
      <c r="O253" t="n">
        <v>8000000</v>
      </c>
      <c r="P253" t="n">
        <v>15000000</v>
      </c>
      <c r="Q253">
        <f>IF(COUNT(O253:P253)=0,"",AVERAGE(O253:P253))</f>
        <v/>
      </c>
      <c r="R253">
        <f>IF(Q253&lt;&gt;"",Q253,IF(N253&lt;&gt;"",ROUND(N253*(1+$B$2),0),""))</f>
        <v/>
      </c>
      <c r="S253">
        <f>IF(AND(N253&lt;&gt;"",Q253&lt;&gt;"",N253&lt;&gt;0),(Q253-N253)/N253,"")</f>
        <v/>
      </c>
      <c r="V253" t="inlineStr">
        <is>
          <t>Summary Ratecard</t>
        </is>
      </c>
      <c r="X253" t="inlineStr">
        <is>
          <t>OK</t>
        </is>
      </c>
      <c r="Y253" t="inlineStr">
        <is>
          <t>creative design 2d+3d | package/project</t>
        </is>
      </c>
    </row>
    <row r="254">
      <c r="A254" t="n">
        <v>250</v>
      </c>
      <c r="B254" t="inlineStr">
        <is>
          <t>📊 SUMMARY</t>
        </is>
      </c>
      <c r="C254" t="n">
        <v>69</v>
      </c>
      <c r="D254" t="inlineStr">
        <is>
          <t>Summary Range</t>
        </is>
      </c>
      <c r="F254" t="inlineStr">
        <is>
          <t>PLANNING &amp; CREATIVE</t>
        </is>
      </c>
      <c r="H254" t="inlineStr">
        <is>
          <t>Manifesto / Profile Video</t>
        </is>
      </c>
      <c r="J254" t="inlineStr">
        <is>
          <t>package/project</t>
        </is>
      </c>
      <c r="N254">
        <f>IF(COUNT(L254:M254)=0,"",AVERAGE(L254:M254))</f>
        <v/>
      </c>
      <c r="O254" t="n">
        <v>22000000</v>
      </c>
      <c r="P254" t="n">
        <v>35000000</v>
      </c>
      <c r="Q254">
        <f>IF(COUNT(O254:P254)=0,"",AVERAGE(O254:P254))</f>
        <v/>
      </c>
      <c r="R254">
        <f>IF(Q254&lt;&gt;"",Q254,IF(N254&lt;&gt;"",ROUND(N254*(1+$B$2),0),""))</f>
        <v/>
      </c>
      <c r="S254">
        <f>IF(AND(N254&lt;&gt;"",Q254&lt;&gt;"",N254&lt;&gt;0),(Q254-N254)/N254,"")</f>
        <v/>
      </c>
      <c r="V254" t="inlineStr">
        <is>
          <t>Summary Ratecard</t>
        </is>
      </c>
      <c r="X254" t="inlineStr">
        <is>
          <t>Potential duplicate x2</t>
        </is>
      </c>
      <c r="Y254" t="inlineStr">
        <is>
          <t>manifesto / profile video | package/project</t>
        </is>
      </c>
    </row>
    <row r="255">
      <c r="A255" t="n">
        <v>251</v>
      </c>
      <c r="B255" t="inlineStr">
        <is>
          <t>📦 RATECARD DB</t>
        </is>
      </c>
      <c r="C255" t="n">
        <v>160</v>
      </c>
      <c r="D255" t="inlineStr">
        <is>
          <t>Master Ratecard</t>
        </is>
      </c>
      <c r="F255" t="inlineStr">
        <is>
          <t>PLANNING &amp; CREATIVE</t>
        </is>
      </c>
      <c r="G255" t="inlineStr">
        <is>
          <t>Copywriting</t>
        </is>
      </c>
      <c r="H255" t="inlineStr">
        <is>
          <t>Copywriting English (A4/halaman)</t>
        </is>
      </c>
      <c r="J255" t="inlineStr">
        <is>
          <t>page</t>
        </is>
      </c>
      <c r="L255" t="n">
        <v>2500000</v>
      </c>
      <c r="M255" t="n">
        <v>2500000</v>
      </c>
      <c r="N255">
        <f>IF(COUNT(L255:M255)=0,"",AVERAGE(L255:M255))</f>
        <v/>
      </c>
      <c r="O255" t="n">
        <v>3500000</v>
      </c>
      <c r="P255" t="n">
        <v>3500000</v>
      </c>
      <c r="Q255">
        <f>IF(COUNT(O255:P255)=0,"",AVERAGE(O255:P255))</f>
        <v/>
      </c>
      <c r="R255">
        <f>IF(Q255&lt;&gt;"",Q255,IF(N255&lt;&gt;"",ROUND(N255*(1+$B$2),0),""))</f>
        <v/>
      </c>
      <c r="S255">
        <f>IF(AND(N255&lt;&gt;"",Q255&lt;&gt;"",N255&lt;&gt;0),(Q255-N255)/N255,"")</f>
        <v/>
      </c>
      <c r="T255" t="inlineStr">
        <is>
          <t>2022</t>
        </is>
      </c>
      <c r="V255" t="inlineStr">
        <is>
          <t>Starka Ratecard</t>
        </is>
      </c>
      <c r="X255" t="inlineStr">
        <is>
          <t>OK</t>
        </is>
      </c>
      <c r="Y255" t="inlineStr">
        <is>
          <t>copywriting english (a4/halaman) | page</t>
        </is>
      </c>
    </row>
    <row r="256">
      <c r="A256" t="n">
        <v>252</v>
      </c>
      <c r="B256" t="inlineStr">
        <is>
          <t>📦 RATECARD DB</t>
        </is>
      </c>
      <c r="C256" t="n">
        <v>155</v>
      </c>
      <c r="D256" t="inlineStr">
        <is>
          <t>Master Ratecard</t>
        </is>
      </c>
      <c r="F256" t="inlineStr">
        <is>
          <t>PLANNING &amp; CREATIVE</t>
        </is>
      </c>
      <c r="G256" t="inlineStr">
        <is>
          <t>Desain</t>
        </is>
      </c>
      <c r="H256" t="inlineStr">
        <is>
          <t>Creative Design 2D Visual</t>
        </is>
      </c>
      <c r="J256" t="inlineStr">
        <is>
          <t>package/project</t>
        </is>
      </c>
      <c r="L256" t="n">
        <v>4000000</v>
      </c>
      <c r="M256" t="n">
        <v>4000000</v>
      </c>
      <c r="N256">
        <f>IF(COUNT(L256:M256)=0,"",AVERAGE(L256:M256))</f>
        <v/>
      </c>
      <c r="O256" t="n">
        <v>7500000</v>
      </c>
      <c r="P256" t="n">
        <v>7500000</v>
      </c>
      <c r="Q256">
        <f>IF(COUNT(O256:P256)=0,"",AVERAGE(O256:P256))</f>
        <v/>
      </c>
      <c r="R256">
        <f>IF(Q256&lt;&gt;"",Q256,IF(N256&lt;&gt;"",ROUND(N256*(1+$B$2),0),""))</f>
        <v/>
      </c>
      <c r="S256">
        <f>IF(AND(N256&lt;&gt;"",Q256&lt;&gt;"",N256&lt;&gt;0),(Q256-N256)/N256,"")</f>
        <v/>
      </c>
      <c r="T256" t="inlineStr">
        <is>
          <t>2025</t>
        </is>
      </c>
      <c r="V256" t="inlineStr">
        <is>
          <t>Multi event</t>
        </is>
      </c>
      <c r="X256" t="inlineStr">
        <is>
          <t>OK</t>
        </is>
      </c>
      <c r="Y256" t="inlineStr">
        <is>
          <t>creative design 2d visual | package/project</t>
        </is>
      </c>
    </row>
    <row r="257">
      <c r="A257" t="n">
        <v>253</v>
      </c>
      <c r="B257" t="inlineStr">
        <is>
          <t>📦 RATECARD DB</t>
        </is>
      </c>
      <c r="C257" t="n">
        <v>156</v>
      </c>
      <c r="D257" t="inlineStr">
        <is>
          <t>Master Ratecard</t>
        </is>
      </c>
      <c r="F257" t="inlineStr">
        <is>
          <t>PLANNING &amp; CREATIVE</t>
        </is>
      </c>
      <c r="G257" t="inlineStr">
        <is>
          <t>Desain</t>
        </is>
      </c>
      <c r="H257" t="inlineStr">
        <is>
          <t>Creative Design 3D Visual</t>
        </is>
      </c>
      <c r="J257" t="inlineStr">
        <is>
          <t>package/project</t>
        </is>
      </c>
      <c r="L257" t="n">
        <v>4000000</v>
      </c>
      <c r="M257" t="n">
        <v>4000000</v>
      </c>
      <c r="N257">
        <f>IF(COUNT(L257:M257)=0,"",AVERAGE(L257:M257))</f>
        <v/>
      </c>
      <c r="O257" t="n">
        <v>7500000</v>
      </c>
      <c r="P257" t="n">
        <v>7500000</v>
      </c>
      <c r="Q257">
        <f>IF(COUNT(O257:P257)=0,"",AVERAGE(O257:P257))</f>
        <v/>
      </c>
      <c r="R257">
        <f>IF(Q257&lt;&gt;"",Q257,IF(N257&lt;&gt;"",ROUND(N257*(1+$B$2),0),""))</f>
        <v/>
      </c>
      <c r="S257">
        <f>IF(AND(N257&lt;&gt;"",Q257&lt;&gt;"",N257&lt;&gt;0),(Q257-N257)/N257,"")</f>
        <v/>
      </c>
      <c r="T257" t="inlineStr">
        <is>
          <t>2025</t>
        </is>
      </c>
      <c r="V257" t="inlineStr">
        <is>
          <t>Multi event</t>
        </is>
      </c>
      <c r="X257" t="inlineStr">
        <is>
          <t>OK</t>
        </is>
      </c>
      <c r="Y257" t="inlineStr">
        <is>
          <t>creative design 3d visual | package/project</t>
        </is>
      </c>
    </row>
    <row r="258">
      <c r="A258" t="n">
        <v>254</v>
      </c>
      <c r="B258" t="inlineStr">
        <is>
          <t>📦 RATECARD DB</t>
        </is>
      </c>
      <c r="C258" t="n">
        <v>154</v>
      </c>
      <c r="D258" t="inlineStr">
        <is>
          <t>Master Ratecard</t>
        </is>
      </c>
      <c r="F258" t="inlineStr">
        <is>
          <t>PLANNING &amp; CREATIVE</t>
        </is>
      </c>
      <c r="G258" t="inlineStr">
        <is>
          <t>Konsep</t>
        </is>
      </c>
      <c r="H258" t="inlineStr">
        <is>
          <t>Concept &amp; Ideation Development</t>
        </is>
      </c>
      <c r="J258" t="inlineStr">
        <is>
          <t>package/project</t>
        </is>
      </c>
      <c r="L258" t="n">
        <v>7000000</v>
      </c>
      <c r="M258" t="n">
        <v>7000000</v>
      </c>
      <c r="N258">
        <f>IF(COUNT(L258:M258)=0,"",AVERAGE(L258:M258))</f>
        <v/>
      </c>
      <c r="O258" t="n">
        <v>10000000</v>
      </c>
      <c r="P258" t="n">
        <v>10000000</v>
      </c>
      <c r="Q258">
        <f>IF(COUNT(O258:P258)=0,"",AVERAGE(O258:P258))</f>
        <v/>
      </c>
      <c r="R258">
        <f>IF(Q258&lt;&gt;"",Q258,IF(N258&lt;&gt;"",ROUND(N258*(1+$B$2),0),""))</f>
        <v/>
      </c>
      <c r="S258">
        <f>IF(AND(N258&lt;&gt;"",Q258&lt;&gt;"",N258&lt;&gt;0),(Q258-N258)/N258,"")</f>
        <v/>
      </c>
      <c r="T258" t="inlineStr">
        <is>
          <t>2025</t>
        </is>
      </c>
      <c r="V258" t="inlineStr">
        <is>
          <t>Multi event</t>
        </is>
      </c>
      <c r="X258" t="inlineStr">
        <is>
          <t>OK</t>
        </is>
      </c>
      <c r="Y258" t="inlineStr">
        <is>
          <t>concept &amp; ideation development | package/project</t>
        </is>
      </c>
    </row>
    <row r="259">
      <c r="A259" t="n">
        <v>255</v>
      </c>
      <c r="B259" t="inlineStr">
        <is>
          <t>📦 RATECARD DB</t>
        </is>
      </c>
      <c r="C259" t="n">
        <v>157</v>
      </c>
      <c r="D259" t="inlineStr">
        <is>
          <t>Master Ratecard</t>
        </is>
      </c>
      <c r="F259" t="inlineStr">
        <is>
          <t>PLANNING &amp; CREATIVE</t>
        </is>
      </c>
      <c r="G259" t="inlineStr">
        <is>
          <t>Multimedia</t>
        </is>
      </c>
      <c r="H259" t="inlineStr">
        <is>
          <t>Bumper Video (Opening/Transisi)</t>
        </is>
      </c>
      <c r="J259" t="inlineStr">
        <is>
          <t>package/project</t>
        </is>
      </c>
      <c r="L259" t="n">
        <v>18000000</v>
      </c>
      <c r="M259" t="n">
        <v>18000000</v>
      </c>
      <c r="N259">
        <f>IF(COUNT(L259:M259)=0,"",AVERAGE(L259:M259))</f>
        <v/>
      </c>
      <c r="O259" t="n">
        <v>25000000</v>
      </c>
      <c r="P259" t="n">
        <v>25000000</v>
      </c>
      <c r="Q259">
        <f>IF(COUNT(O259:P259)=0,"",AVERAGE(O259:P259))</f>
        <v/>
      </c>
      <c r="R259">
        <f>IF(Q259&lt;&gt;"",Q259,IF(N259&lt;&gt;"",ROUND(N259*(1+$B$2),0),""))</f>
        <v/>
      </c>
      <c r="S259">
        <f>IF(AND(N259&lt;&gt;"",Q259&lt;&gt;"",N259&lt;&gt;0),(Q259-N259)/N259,"")</f>
        <v/>
      </c>
      <c r="T259" t="inlineStr">
        <is>
          <t>2025</t>
        </is>
      </c>
      <c r="V259" t="inlineStr">
        <is>
          <t>Multi event</t>
        </is>
      </c>
      <c r="X259" t="inlineStr">
        <is>
          <t>OK</t>
        </is>
      </c>
      <c r="Y259" t="inlineStr">
        <is>
          <t>bumper video (opening/transisi) | package/project</t>
        </is>
      </c>
    </row>
    <row r="260">
      <c r="A260" t="n">
        <v>256</v>
      </c>
      <c r="B260" t="inlineStr">
        <is>
          <t>📦 RATECARD DB</t>
        </is>
      </c>
      <c r="C260" t="n">
        <v>158</v>
      </c>
      <c r="D260" t="inlineStr">
        <is>
          <t>Master Ratecard</t>
        </is>
      </c>
      <c r="F260" t="inlineStr">
        <is>
          <t>PLANNING &amp; CREATIVE</t>
        </is>
      </c>
      <c r="G260" t="inlineStr">
        <is>
          <t>Multimedia</t>
        </is>
      </c>
      <c r="H260" t="inlineStr">
        <is>
          <t>Manifesto / Profile Video</t>
        </is>
      </c>
      <c r="J260" t="inlineStr">
        <is>
          <t>package/project</t>
        </is>
      </c>
      <c r="L260" t="n">
        <v>22000000</v>
      </c>
      <c r="M260" t="n">
        <v>22000000</v>
      </c>
      <c r="N260">
        <f>IF(COUNT(L260:M260)=0,"",AVERAGE(L260:M260))</f>
        <v/>
      </c>
      <c r="O260" t="n">
        <v>30000000</v>
      </c>
      <c r="P260" t="n">
        <v>30000000</v>
      </c>
      <c r="Q260">
        <f>IF(COUNT(O260:P260)=0,"",AVERAGE(O260:P260))</f>
        <v/>
      </c>
      <c r="R260">
        <f>IF(Q260&lt;&gt;"",Q260,IF(N260&lt;&gt;"",ROUND(N260*(1+$B$2),0),""))</f>
        <v/>
      </c>
      <c r="S260">
        <f>IF(AND(N260&lt;&gt;"",Q260&lt;&gt;"",N260&lt;&gt;0),(Q260-N260)/N260,"")</f>
        <v/>
      </c>
      <c r="T260" t="inlineStr">
        <is>
          <t>2025</t>
        </is>
      </c>
      <c r="V260" t="inlineStr">
        <is>
          <t>CE GAPEMPI</t>
        </is>
      </c>
      <c r="X260" t="inlineStr">
        <is>
          <t>Potential duplicate x2</t>
        </is>
      </c>
      <c r="Y260" t="inlineStr">
        <is>
          <t>manifesto / profile video | package/project</t>
        </is>
      </c>
    </row>
    <row r="261">
      <c r="A261" t="n">
        <v>257</v>
      </c>
      <c r="B261" t="inlineStr">
        <is>
          <t>📦 RATECARD DB</t>
        </is>
      </c>
      <c r="C261" t="n">
        <v>159</v>
      </c>
      <c r="D261" t="inlineStr">
        <is>
          <t>Master Ratecard</t>
        </is>
      </c>
      <c r="F261" t="inlineStr">
        <is>
          <t>PLANNING &amp; CREATIVE</t>
        </is>
      </c>
      <c r="G261" t="inlineStr">
        <is>
          <t>Survey</t>
        </is>
      </c>
      <c r="H261" t="inlineStr">
        <is>
          <t>Survey &amp; Koordinasi</t>
        </is>
      </c>
      <c r="I261" t="inlineStr">
        <is>
          <t>transport+meals</t>
        </is>
      </c>
      <c r="J261" t="inlineStr">
        <is>
          <t>package/survey</t>
        </is>
      </c>
      <c r="L261" t="n">
        <v>1000000</v>
      </c>
      <c r="M261" t="n">
        <v>1000000</v>
      </c>
      <c r="N261">
        <f>IF(COUNT(L261:M261)=0,"",AVERAGE(L261:M261))</f>
        <v/>
      </c>
      <c r="O261" t="n">
        <v>1500000</v>
      </c>
      <c r="P261" t="n">
        <v>1500000</v>
      </c>
      <c r="Q261">
        <f>IF(COUNT(O261:P261)=0,"",AVERAGE(O261:P261))</f>
        <v/>
      </c>
      <c r="R261">
        <f>IF(Q261&lt;&gt;"",Q261,IF(N261&lt;&gt;"",ROUND(N261*(1+$B$2),0),""))</f>
        <v/>
      </c>
      <c r="S261">
        <f>IF(AND(N261&lt;&gt;"",Q261&lt;&gt;"",N261&lt;&gt;0),(Q261-N261)/N261,"")</f>
        <v/>
      </c>
      <c r="T261" t="inlineStr">
        <is>
          <t>2025</t>
        </is>
      </c>
      <c r="V261" t="inlineStr">
        <is>
          <t>Heppiii Skate Day</t>
        </is>
      </c>
      <c r="X261" t="inlineStr">
        <is>
          <t>OK</t>
        </is>
      </c>
      <c r="Y261" t="inlineStr">
        <is>
          <t>survey &amp; koordinasi | package/survey</t>
        </is>
      </c>
    </row>
    <row r="262">
      <c r="A262" t="n">
        <v>258</v>
      </c>
      <c r="B262" t="inlineStr">
        <is>
          <t>📋 PO &amp; RFP DATA</t>
        </is>
      </c>
      <c r="C262" t="n">
        <v>88</v>
      </c>
      <c r="D262" t="inlineStr">
        <is>
          <t>PO/RFP HPP</t>
        </is>
      </c>
      <c r="E262" t="inlineStr">
        <is>
          <t>PT Bank OCBC NISP</t>
        </is>
      </c>
      <c r="F262" t="inlineStr">
        <is>
          <t>PO Klien ke Juara</t>
        </is>
      </c>
      <c r="H262" t="inlineStr">
        <is>
          <t>PO OCBC - Additional (T-shirt &amp; Tyvek)</t>
        </is>
      </c>
      <c r="I262" t="inlineStr">
        <is>
          <t>OCBC Disney Orchestra 2025</t>
        </is>
      </c>
      <c r="J262" t="inlineStr">
        <is>
          <t>pckg</t>
        </is>
      </c>
      <c r="K262" t="inlineStr">
        <is>
          <t>1</t>
        </is>
      </c>
      <c r="L262" t="n">
        <v>27000000</v>
      </c>
      <c r="M262" t="n">
        <v>27000000</v>
      </c>
      <c r="N262">
        <f>IF(COUNT(L262:M262)=0,"",AVERAGE(L262:M262))</f>
        <v/>
      </c>
      <c r="Q262">
        <f>IF(COUNT(O262:P262)=0,"",AVERAGE(O262:P262))</f>
        <v/>
      </c>
      <c r="R262">
        <f>IF(Q262&lt;&gt;"",Q262,IF(N262&lt;&gt;"",ROUND(N262*(1+$B$2),0),""))</f>
        <v/>
      </c>
      <c r="S262">
        <f>IF(AND(N262&lt;&gt;"",Q262&lt;&gt;"",N262&lt;&gt;0),(Q262-N262)/N262,"")</f>
        <v/>
      </c>
      <c r="T262" t="inlineStr">
        <is>
          <t>2025</t>
        </is>
      </c>
      <c r="U262" t="inlineStr">
        <is>
          <t>OCBC Disney Orchestra</t>
        </is>
      </c>
      <c r="X262" t="inlineStr">
        <is>
          <t>OK</t>
        </is>
      </c>
      <c r="Y262" t="inlineStr">
        <is>
          <t>po ocbc - additional (t-shirt &amp; tyvek) | pckg</t>
        </is>
      </c>
    </row>
    <row r="263">
      <c r="A263" t="n">
        <v>259</v>
      </c>
      <c r="B263" t="inlineStr">
        <is>
          <t>📋 PO &amp; RFP DATA</t>
        </is>
      </c>
      <c r="C263" t="n">
        <v>89</v>
      </c>
      <c r="D263" t="inlineStr">
        <is>
          <t>PO/RFP HPP</t>
        </is>
      </c>
      <c r="E263" t="inlineStr">
        <is>
          <t>PT Bank OCBC NISP</t>
        </is>
      </c>
      <c r="F263" t="inlineStr">
        <is>
          <t>PO Klien ke Juara</t>
        </is>
      </c>
      <c r="H263" t="inlineStr">
        <is>
          <t>PO OCBC - Permit</t>
        </is>
      </c>
      <c r="I263" t="inlineStr">
        <is>
          <t>OCBC Disney Orchestra 2025</t>
        </is>
      </c>
      <c r="J263" t="inlineStr">
        <is>
          <t>pckg</t>
        </is>
      </c>
      <c r="K263" t="inlineStr">
        <is>
          <t>1</t>
        </is>
      </c>
      <c r="L263" t="n">
        <v>190000000</v>
      </c>
      <c r="M263" t="n">
        <v>190000000</v>
      </c>
      <c r="N263">
        <f>IF(COUNT(L263:M263)=0,"",AVERAGE(L263:M263))</f>
        <v/>
      </c>
      <c r="Q263">
        <f>IF(COUNT(O263:P263)=0,"",AVERAGE(O263:P263))</f>
        <v/>
      </c>
      <c r="R263">
        <f>IF(Q263&lt;&gt;"",Q263,IF(N263&lt;&gt;"",ROUND(N263*(1+$B$2),0),""))</f>
        <v/>
      </c>
      <c r="S263">
        <f>IF(AND(N263&lt;&gt;"",Q263&lt;&gt;"",N263&lt;&gt;0),(Q263-N263)/N263,"")</f>
        <v/>
      </c>
      <c r="T263" t="inlineStr">
        <is>
          <t>2025</t>
        </is>
      </c>
      <c r="U263" t="inlineStr">
        <is>
          <t>OCBC Disney Orchestra</t>
        </is>
      </c>
      <c r="X263" t="inlineStr">
        <is>
          <t>OK</t>
        </is>
      </c>
      <c r="Y263" t="inlineStr">
        <is>
          <t>po ocbc - permit | pckg</t>
        </is>
      </c>
    </row>
    <row r="264">
      <c r="A264" t="n">
        <v>260</v>
      </c>
      <c r="B264" t="inlineStr">
        <is>
          <t>📋 PO &amp; RFP DATA</t>
        </is>
      </c>
      <c r="C264" t="n">
        <v>85</v>
      </c>
      <c r="D264" t="inlineStr">
        <is>
          <t>PO/RFP HPP</t>
        </is>
      </c>
      <c r="E264" t="inlineStr">
        <is>
          <t>PT Bank OCBC NISP</t>
        </is>
      </c>
      <c r="F264" t="inlineStr">
        <is>
          <t>PO Klien ke Juara</t>
        </is>
      </c>
      <c r="H264" t="inlineStr">
        <is>
          <t>PO OCBC - Production</t>
        </is>
      </c>
      <c r="I264" t="inlineStr">
        <is>
          <t>OCBC Disney Orchestra 2025</t>
        </is>
      </c>
      <c r="J264" t="inlineStr">
        <is>
          <t>pckg</t>
        </is>
      </c>
      <c r="K264" t="inlineStr">
        <is>
          <t>1</t>
        </is>
      </c>
      <c r="L264" t="n">
        <v>1183166667</v>
      </c>
      <c r="M264" t="n">
        <v>1183166667</v>
      </c>
      <c r="N264">
        <f>IF(COUNT(L264:M264)=0,"",AVERAGE(L264:M264))</f>
        <v/>
      </c>
      <c r="Q264">
        <f>IF(COUNT(O264:P264)=0,"",AVERAGE(O264:P264))</f>
        <v/>
      </c>
      <c r="R264">
        <f>IF(Q264&lt;&gt;"",Q264,IF(N264&lt;&gt;"",ROUND(N264*(1+$B$2),0),""))</f>
        <v/>
      </c>
      <c r="S264">
        <f>IF(AND(N264&lt;&gt;"",Q264&lt;&gt;"",N264&lt;&gt;0),(Q264-N264)/N264,"")</f>
        <v/>
      </c>
      <c r="T264" t="inlineStr">
        <is>
          <t>2025</t>
        </is>
      </c>
      <c r="U264" t="inlineStr">
        <is>
          <t>OCBC Disney Orchestra</t>
        </is>
      </c>
      <c r="V264" t="inlineStr">
        <is>
          <t>PO 371/PO/PC/RB/5/2025</t>
        </is>
      </c>
      <c r="X264" t="inlineStr">
        <is>
          <t>OK</t>
        </is>
      </c>
      <c r="Y264" t="inlineStr">
        <is>
          <t>po ocbc - production | pckg</t>
        </is>
      </c>
    </row>
    <row r="265">
      <c r="A265" t="n">
        <v>261</v>
      </c>
      <c r="B265" t="inlineStr">
        <is>
          <t>📋 PO &amp; RFP DATA</t>
        </is>
      </c>
      <c r="C265" t="n">
        <v>87</v>
      </c>
      <c r="D265" t="inlineStr">
        <is>
          <t>PO/RFP HPP</t>
        </is>
      </c>
      <c r="E265" t="inlineStr">
        <is>
          <t>PT Bank OCBC NISP</t>
        </is>
      </c>
      <c r="F265" t="inlineStr">
        <is>
          <t>PO Klien ke Juara</t>
        </is>
      </c>
      <c r="H265" t="inlineStr">
        <is>
          <t>PO OCBC - Sound &amp; Lighting</t>
        </is>
      </c>
      <c r="I265" t="inlineStr">
        <is>
          <t>OCBC Disney Orchestra 2025</t>
        </is>
      </c>
      <c r="J265" t="inlineStr">
        <is>
          <t>pckg</t>
        </is>
      </c>
      <c r="K265" t="inlineStr">
        <is>
          <t>1</t>
        </is>
      </c>
      <c r="L265" t="n">
        <v>357250000</v>
      </c>
      <c r="M265" t="n">
        <v>357250000</v>
      </c>
      <c r="N265">
        <f>IF(COUNT(L265:M265)=0,"",AVERAGE(L265:M265))</f>
        <v/>
      </c>
      <c r="Q265">
        <f>IF(COUNT(O265:P265)=0,"",AVERAGE(O265:P265))</f>
        <v/>
      </c>
      <c r="R265">
        <f>IF(Q265&lt;&gt;"",Q265,IF(N265&lt;&gt;"",ROUND(N265*(1+$B$2),0),""))</f>
        <v/>
      </c>
      <c r="S265">
        <f>IF(AND(N265&lt;&gt;"",Q265&lt;&gt;"",N265&lt;&gt;0),(Q265-N265)/N265,"")</f>
        <v/>
      </c>
      <c r="T265" t="inlineStr">
        <is>
          <t>2025</t>
        </is>
      </c>
      <c r="U265" t="inlineStr">
        <is>
          <t>OCBC Disney Orchestra</t>
        </is>
      </c>
      <c r="X265" t="inlineStr">
        <is>
          <t>OK</t>
        </is>
      </c>
      <c r="Y265" t="inlineStr">
        <is>
          <t>po ocbc - sound &amp; lighting | pckg</t>
        </is>
      </c>
    </row>
    <row r="266">
      <c r="A266" t="n">
        <v>262</v>
      </c>
      <c r="B266" t="inlineStr">
        <is>
          <t>📋 PO &amp; RFP DATA</t>
        </is>
      </c>
      <c r="C266" t="n">
        <v>86</v>
      </c>
      <c r="D266" t="inlineStr">
        <is>
          <t>PO/RFP HPP</t>
        </is>
      </c>
      <c r="E266" t="inlineStr">
        <is>
          <t>PT Bank OCBC NISP</t>
        </is>
      </c>
      <c r="F266" t="inlineStr">
        <is>
          <t>PO Klien ke Juara</t>
        </is>
      </c>
      <c r="H266" t="inlineStr">
        <is>
          <t>PO OCBC - Talent</t>
        </is>
      </c>
      <c r="I266" t="inlineStr">
        <is>
          <t>OCBC Disney Orchestra 2025</t>
        </is>
      </c>
      <c r="J266" t="inlineStr">
        <is>
          <t>pckg</t>
        </is>
      </c>
      <c r="K266" t="inlineStr">
        <is>
          <t>1</t>
        </is>
      </c>
      <c r="L266" t="n">
        <v>126250000</v>
      </c>
      <c r="M266" t="n">
        <v>126250000</v>
      </c>
      <c r="N266">
        <f>IF(COUNT(L266:M266)=0,"",AVERAGE(L266:M266))</f>
        <v/>
      </c>
      <c r="Q266">
        <f>IF(COUNT(O266:P266)=0,"",AVERAGE(O266:P266))</f>
        <v/>
      </c>
      <c r="R266">
        <f>IF(Q266&lt;&gt;"",Q266,IF(N266&lt;&gt;"",ROUND(N266*(1+$B$2),0),""))</f>
        <v/>
      </c>
      <c r="S266">
        <f>IF(AND(N266&lt;&gt;"",Q266&lt;&gt;"",N266&lt;&gt;0),(Q266-N266)/N266,"")</f>
        <v/>
      </c>
      <c r="T266" t="inlineStr">
        <is>
          <t>2025</t>
        </is>
      </c>
      <c r="U266" t="inlineStr">
        <is>
          <t>OCBC Disney Orchestra</t>
        </is>
      </c>
      <c r="X266" t="inlineStr">
        <is>
          <t>OK</t>
        </is>
      </c>
      <c r="Y266" t="inlineStr">
        <is>
          <t>po ocbc - talent | pckg</t>
        </is>
      </c>
    </row>
    <row r="267">
      <c r="A267" t="n">
        <v>263</v>
      </c>
      <c r="B267" t="inlineStr">
        <is>
          <t>📋 PO &amp; RFP DATA</t>
        </is>
      </c>
      <c r="C267" t="n">
        <v>90</v>
      </c>
      <c r="D267" t="inlineStr">
        <is>
          <t>PO/RFP HPP</t>
        </is>
      </c>
      <c r="E267" t="inlineStr">
        <is>
          <t>PT Bank OCBC NISP</t>
        </is>
      </c>
      <c r="F267" t="inlineStr">
        <is>
          <t>PO Klien ke Juara</t>
        </is>
      </c>
      <c r="H267" t="inlineStr">
        <is>
          <t>TOTAL PO OCBC (setelah diskon)</t>
        </is>
      </c>
      <c r="I267" t="inlineStr">
        <is>
          <t>incl. PPN 11%</t>
        </is>
      </c>
      <c r="J267" t="inlineStr">
        <is>
          <t>event</t>
        </is>
      </c>
      <c r="K267" t="inlineStr">
        <is>
          <t>1</t>
        </is>
      </c>
      <c r="L267" t="n">
        <v>2060900000</v>
      </c>
      <c r="M267" t="n">
        <v>2060900000</v>
      </c>
      <c r="N267">
        <f>IF(COUNT(L267:M267)=0,"",AVERAGE(L267:M267))</f>
        <v/>
      </c>
      <c r="Q267">
        <f>IF(COUNT(O267:P267)=0,"",AVERAGE(O267:P267))</f>
        <v/>
      </c>
      <c r="R267">
        <f>IF(Q267&lt;&gt;"",Q267,IF(N267&lt;&gt;"",ROUND(N267*(1+$B$2),0),""))</f>
        <v/>
      </c>
      <c r="S267">
        <f>IF(AND(N267&lt;&gt;"",Q267&lt;&gt;"",N267&lt;&gt;0),(Q267-N267)/N267,"")</f>
        <v/>
      </c>
      <c r="T267" t="inlineStr">
        <is>
          <t>2025</t>
        </is>
      </c>
      <c r="U267" t="inlineStr">
        <is>
          <t>OCBC Disney Orchestra</t>
        </is>
      </c>
      <c r="V267" t="inlineStr">
        <is>
          <t>Grand Total PO 371</t>
        </is>
      </c>
      <c r="X267" t="inlineStr">
        <is>
          <t>OK</t>
        </is>
      </c>
      <c r="Y267" t="inlineStr">
        <is>
          <t>total po ocbc (setelah diskon) | event</t>
        </is>
      </c>
    </row>
    <row r="268">
      <c r="A268" t="n">
        <v>264</v>
      </c>
      <c r="B268" t="inlineStr">
        <is>
          <t>🕌 MUI EVENT DATA</t>
        </is>
      </c>
      <c r="C268" t="n">
        <v>69</v>
      </c>
      <c r="D268" t="inlineStr">
        <is>
          <t>MUI Real Cost</t>
        </is>
      </c>
      <c r="E268" t="inlineStr">
        <is>
          <t>MUI/EO</t>
        </is>
      </c>
      <c r="F268" t="inlineStr">
        <is>
          <t>Participant</t>
        </is>
      </c>
      <c r="H268" t="inlineStr">
        <is>
          <t>Bendera Kelompok</t>
        </is>
      </c>
      <c r="J268" t="inlineStr">
        <is>
          <t>pcs</t>
        </is>
      </c>
      <c r="K268" t="inlineStr">
        <is>
          <t>1</t>
        </is>
      </c>
      <c r="L268" t="n">
        <v>15000</v>
      </c>
      <c r="M268" t="n">
        <v>15000</v>
      </c>
      <c r="N268">
        <f>IF(COUNT(L268:M268)=0,"",AVERAGE(L268:M268))</f>
        <v/>
      </c>
      <c r="Q268">
        <f>IF(COUNT(O268:P268)=0,"",AVERAGE(O268:P268))</f>
        <v/>
      </c>
      <c r="R268">
        <f>IF(Q268&lt;&gt;"",Q268,IF(N268&lt;&gt;"",ROUND(N268*(1+$B$2),0),""))</f>
        <v/>
      </c>
      <c r="S268">
        <f>IF(AND(N268&lt;&gt;"",Q268&lt;&gt;"",N268&lt;&gt;0),(Q268-N268)/N268,"")</f>
        <v/>
      </c>
      <c r="T268" t="inlineStr">
        <is>
          <t>2026</t>
        </is>
      </c>
      <c r="U268" t="inlineStr">
        <is>
          <t>MUI Istiqlal 2026</t>
        </is>
      </c>
      <c r="V268" t="inlineStr">
        <is>
          <t>per pcs</t>
        </is>
      </c>
      <c r="X268" t="inlineStr">
        <is>
          <t>OK</t>
        </is>
      </c>
      <c r="Y268" t="inlineStr">
        <is>
          <t>bendera kelompok | pcs</t>
        </is>
      </c>
    </row>
    <row r="269">
      <c r="A269" t="n">
        <v>265</v>
      </c>
      <c r="B269" t="inlineStr">
        <is>
          <t>🕌 MUI EVENT DATA</t>
        </is>
      </c>
      <c r="C269" t="n">
        <v>75</v>
      </c>
      <c r="D269" t="inlineStr">
        <is>
          <t>MUI Real Cost</t>
        </is>
      </c>
      <c r="E269" t="inlineStr">
        <is>
          <t>MUI/EO</t>
        </is>
      </c>
      <c r="F269" t="inlineStr">
        <is>
          <t>Participant</t>
        </is>
      </c>
      <c r="H269" t="inlineStr">
        <is>
          <t>Buffet VIP</t>
        </is>
      </c>
      <c r="J269" t="inlineStr">
        <is>
          <t>pax</t>
        </is>
      </c>
      <c r="K269" t="inlineStr">
        <is>
          <t>1</t>
        </is>
      </c>
      <c r="L269" t="n">
        <v>200000</v>
      </c>
      <c r="M269" t="n">
        <v>200000</v>
      </c>
      <c r="N269">
        <f>IF(COUNT(L269:M269)=0,"",AVERAGE(L269:M269))</f>
        <v/>
      </c>
      <c r="Q269">
        <f>IF(COUNT(O269:P269)=0,"",AVERAGE(O269:P269))</f>
        <v/>
      </c>
      <c r="R269">
        <f>IF(Q269&lt;&gt;"",Q269,IF(N269&lt;&gt;"",ROUND(N269*(1+$B$2),0),""))</f>
        <v/>
      </c>
      <c r="S269">
        <f>IF(AND(N269&lt;&gt;"",Q269&lt;&gt;"",N269&lt;&gt;0),(Q269-N269)/N269,"")</f>
        <v/>
      </c>
      <c r="T269" t="inlineStr">
        <is>
          <t>2026</t>
        </is>
      </c>
      <c r="U269" t="inlineStr">
        <is>
          <t>MUI Istiqlal 2026</t>
        </is>
      </c>
      <c r="V269" t="inlineStr">
        <is>
          <t>per pax</t>
        </is>
      </c>
      <c r="X269" t="inlineStr">
        <is>
          <t>OK</t>
        </is>
      </c>
      <c r="Y269" t="inlineStr">
        <is>
          <t>buffet vip | pax</t>
        </is>
      </c>
    </row>
    <row r="270">
      <c r="A270" t="n">
        <v>266</v>
      </c>
      <c r="B270" t="inlineStr">
        <is>
          <t>🕌 MUI EVENT DATA</t>
        </is>
      </c>
      <c r="C270" t="n">
        <v>74</v>
      </c>
      <c r="D270" t="inlineStr">
        <is>
          <t>MUI Real Cost</t>
        </is>
      </c>
      <c r="E270" t="inlineStr">
        <is>
          <t>MUI/EO</t>
        </is>
      </c>
      <c r="F270" t="inlineStr">
        <is>
          <t>Participant</t>
        </is>
      </c>
      <c r="H270" t="inlineStr">
        <is>
          <t>Buffet VVIP Minimal 50 pax</t>
        </is>
      </c>
      <c r="J270" t="inlineStr">
        <is>
          <t>pax</t>
        </is>
      </c>
      <c r="K270" t="inlineStr">
        <is>
          <t>50</t>
        </is>
      </c>
      <c r="L270" t="n">
        <v>250000</v>
      </c>
      <c r="M270" t="n">
        <v>250000</v>
      </c>
      <c r="N270">
        <f>IF(COUNT(L270:M270)=0,"",AVERAGE(L270:M270))</f>
        <v/>
      </c>
      <c r="Q270">
        <f>IF(COUNT(O270:P270)=0,"",AVERAGE(O270:P270))</f>
        <v/>
      </c>
      <c r="R270">
        <f>IF(Q270&lt;&gt;"",Q270,IF(N270&lt;&gt;"",ROUND(N270*(1+$B$2),0),""))</f>
        <v/>
      </c>
      <c r="S270">
        <f>IF(AND(N270&lt;&gt;"",Q270&lt;&gt;"",N270&lt;&gt;0),(Q270-N270)/N270,"")</f>
        <v/>
      </c>
      <c r="T270" t="inlineStr">
        <is>
          <t>2026</t>
        </is>
      </c>
      <c r="U270" t="inlineStr">
        <is>
          <t>MUI Istiqlal 2026</t>
        </is>
      </c>
      <c r="V270" t="inlineStr">
        <is>
          <t>per pax</t>
        </is>
      </c>
      <c r="X270" t="inlineStr">
        <is>
          <t>OK</t>
        </is>
      </c>
      <c r="Y270" t="inlineStr">
        <is>
          <t>buffet vvip minimal 50 pax | pax</t>
        </is>
      </c>
    </row>
    <row r="271">
      <c r="A271" t="n">
        <v>267</v>
      </c>
      <c r="B271" t="inlineStr">
        <is>
          <t>🕌 MUI EVENT DATA</t>
        </is>
      </c>
      <c r="C271" t="n">
        <v>70</v>
      </c>
      <c r="D271" t="inlineStr">
        <is>
          <t>MUI Real Cost</t>
        </is>
      </c>
      <c r="E271" t="inlineStr">
        <is>
          <t>MUI/EO</t>
        </is>
      </c>
      <c r="F271" t="inlineStr">
        <is>
          <t>Participant</t>
        </is>
      </c>
      <c r="H271" t="inlineStr">
        <is>
          <t>Carpass (VIP/Panitia/Vendor)</t>
        </is>
      </c>
      <c r="J271" t="inlineStr">
        <is>
          <t>pcs</t>
        </is>
      </c>
      <c r="K271" t="inlineStr">
        <is>
          <t>1</t>
        </is>
      </c>
      <c r="L271" t="n">
        <v>5000</v>
      </c>
      <c r="M271" t="n">
        <v>5000</v>
      </c>
      <c r="N271">
        <f>IF(COUNT(L271:M271)=0,"",AVERAGE(L271:M271))</f>
        <v/>
      </c>
      <c r="Q271">
        <f>IF(COUNT(O271:P271)=0,"",AVERAGE(O271:P271))</f>
        <v/>
      </c>
      <c r="R271">
        <f>IF(Q271&lt;&gt;"",Q271,IF(N271&lt;&gt;"",ROUND(N271*(1+$B$2),0),""))</f>
        <v/>
      </c>
      <c r="S271">
        <f>IF(AND(N271&lt;&gt;"",Q271&lt;&gt;"",N271&lt;&gt;0),(Q271-N271)/N271,"")</f>
        <v/>
      </c>
      <c r="T271" t="inlineStr">
        <is>
          <t>2026</t>
        </is>
      </c>
      <c r="U271" t="inlineStr">
        <is>
          <t>MUI Istiqlal 2026</t>
        </is>
      </c>
      <c r="V271" t="inlineStr">
        <is>
          <t>per pcs</t>
        </is>
      </c>
      <c r="X271" t="inlineStr">
        <is>
          <t>OK</t>
        </is>
      </c>
      <c r="Y271" t="inlineStr">
        <is>
          <t>carpass (vip/panitia/vendor) | pcs</t>
        </is>
      </c>
    </row>
    <row r="272">
      <c r="A272" t="n">
        <v>268</v>
      </c>
      <c r="B272" t="inlineStr">
        <is>
          <t>📋 PO &amp; RFP DATA</t>
        </is>
      </c>
      <c r="C272" t="n">
        <v>47</v>
      </c>
      <c r="D272" t="inlineStr">
        <is>
          <t>PO/RFP HPP</t>
        </is>
      </c>
      <c r="E272" t="inlineStr">
        <is>
          <t>Selaras Equipment</t>
        </is>
      </c>
      <c r="F272" t="inlineStr">
        <is>
          <t>Participant</t>
        </is>
      </c>
      <c r="H272" t="inlineStr">
        <is>
          <t>Cue Card Art Carton + Laminasi Doff A5</t>
        </is>
      </c>
      <c r="J272" t="inlineStr">
        <is>
          <t>pcs</t>
        </is>
      </c>
      <c r="K272" t="inlineStr">
        <is>
          <t>1</t>
        </is>
      </c>
      <c r="L272" t="n">
        <v>4000</v>
      </c>
      <c r="M272" t="n">
        <v>4000</v>
      </c>
      <c r="N272">
        <f>IF(COUNT(L272:M272)=0,"",AVERAGE(L272:M272))</f>
        <v/>
      </c>
      <c r="Q272">
        <f>IF(COUNT(O272:P272)=0,"",AVERAGE(O272:P272))</f>
        <v/>
      </c>
      <c r="R272">
        <f>IF(Q272&lt;&gt;"",Q272,IF(N272&lt;&gt;"",ROUND(N272*(1+$B$2),0),""))</f>
        <v/>
      </c>
      <c r="S272">
        <f>IF(AND(N272&lt;&gt;"",Q272&lt;&gt;"",N272&lt;&gt;0),(Q272-N272)/N272,"")</f>
        <v/>
      </c>
      <c r="T272" t="inlineStr">
        <is>
          <t>2026</t>
        </is>
      </c>
      <c r="U272" t="inlineStr">
        <is>
          <t>GAPEMPI Mandarin Oriental</t>
        </is>
      </c>
      <c r="X272" t="inlineStr">
        <is>
          <t>OK</t>
        </is>
      </c>
      <c r="Y272" t="inlineStr">
        <is>
          <t>cue card art carton + laminasi doff a5 | pcs</t>
        </is>
      </c>
    </row>
    <row r="273">
      <c r="A273" t="n">
        <v>269</v>
      </c>
      <c r="B273" t="inlineStr">
        <is>
          <t>🕌 MUI EVENT DATA</t>
        </is>
      </c>
      <c r="C273" t="n">
        <v>79</v>
      </c>
      <c r="D273" t="inlineStr">
        <is>
          <t>MUI Real Cost</t>
        </is>
      </c>
      <c r="E273" t="inlineStr">
        <is>
          <t>MUI/EO</t>
        </is>
      </c>
      <c r="F273" t="inlineStr">
        <is>
          <t>Participant</t>
        </is>
      </c>
      <c r="H273" t="inlineStr">
        <is>
          <t>ID Card Art Carton</t>
        </is>
      </c>
      <c r="J273" t="inlineStr">
        <is>
          <t>pcs</t>
        </is>
      </c>
      <c r="K273" t="inlineStr">
        <is>
          <t>1</t>
        </is>
      </c>
      <c r="L273" t="n">
        <v>3000</v>
      </c>
      <c r="M273" t="n">
        <v>3000</v>
      </c>
      <c r="N273">
        <f>IF(COUNT(L273:M273)=0,"",AVERAGE(L273:M273))</f>
        <v/>
      </c>
      <c r="Q273">
        <f>IF(COUNT(O273:P273)=0,"",AVERAGE(O273:P273))</f>
        <v/>
      </c>
      <c r="R273">
        <f>IF(Q273&lt;&gt;"",Q273,IF(N273&lt;&gt;"",ROUND(N273*(1+$B$2),0),""))</f>
        <v/>
      </c>
      <c r="S273">
        <f>IF(AND(N273&lt;&gt;"",Q273&lt;&gt;"",N273&lt;&gt;0),(Q273-N273)/N273,"")</f>
        <v/>
      </c>
      <c r="T273" t="inlineStr">
        <is>
          <t>2026</t>
        </is>
      </c>
      <c r="U273" t="inlineStr">
        <is>
          <t>MUI Istiqlal 2026</t>
        </is>
      </c>
      <c r="V273" t="inlineStr">
        <is>
          <t>per pcs cetak</t>
        </is>
      </c>
      <c r="X273" t="inlineStr">
        <is>
          <t>OK</t>
        </is>
      </c>
      <c r="Y273" t="inlineStr">
        <is>
          <t>id card art carton | pcs</t>
        </is>
      </c>
    </row>
    <row r="274">
      <c r="A274" t="n">
        <v>270</v>
      </c>
      <c r="B274" t="inlineStr">
        <is>
          <t>📋 PO &amp; RFP DATA</t>
        </is>
      </c>
      <c r="C274" t="n">
        <v>43</v>
      </c>
      <c r="D274" t="inlineStr">
        <is>
          <t>PO/RFP HPP</t>
        </is>
      </c>
      <c r="E274" t="inlineStr">
        <is>
          <t>Selaras Equipment</t>
        </is>
      </c>
      <c r="F274" t="inlineStr">
        <is>
          <t>Participant</t>
        </is>
      </c>
      <c r="H274" t="inlineStr">
        <is>
          <t>ID Card Art Carton + Mika</t>
        </is>
      </c>
      <c r="J274" t="inlineStr">
        <is>
          <t>pcs</t>
        </is>
      </c>
      <c r="K274" t="inlineStr">
        <is>
          <t>1</t>
        </is>
      </c>
      <c r="L274" t="n">
        <v>3300</v>
      </c>
      <c r="M274" t="n">
        <v>3300</v>
      </c>
      <c r="N274">
        <f>IF(COUNT(L274:M274)=0,"",AVERAGE(L274:M274))</f>
        <v/>
      </c>
      <c r="Q274">
        <f>IF(COUNT(O274:P274)=0,"",AVERAGE(O274:P274))</f>
        <v/>
      </c>
      <c r="R274">
        <f>IF(Q274&lt;&gt;"",Q274,IF(N274&lt;&gt;"",ROUND(N274*(1+$B$2),0),""))</f>
        <v/>
      </c>
      <c r="S274">
        <f>IF(AND(N274&lt;&gt;"",Q274&lt;&gt;"",N274&lt;&gt;0),(Q274-N274)/N274,"")</f>
        <v/>
      </c>
      <c r="T274" t="inlineStr">
        <is>
          <t>2026</t>
        </is>
      </c>
      <c r="U274" t="inlineStr">
        <is>
          <t>GAPEMPI Mandarin Oriental</t>
        </is>
      </c>
      <c r="X274" t="inlineStr">
        <is>
          <t>OK</t>
        </is>
      </c>
      <c r="Y274" t="inlineStr">
        <is>
          <t>id card art carton + mika | pcs</t>
        </is>
      </c>
    </row>
    <row r="275">
      <c r="A275" t="n">
        <v>271</v>
      </c>
      <c r="B275" t="inlineStr">
        <is>
          <t>🕌 MUI EVENT DATA</t>
        </is>
      </c>
      <c r="C275" t="n">
        <v>78</v>
      </c>
      <c r="D275" t="inlineStr">
        <is>
          <t>MUI Real Cost</t>
        </is>
      </c>
      <c r="E275" t="inlineStr">
        <is>
          <t>MUI/EO</t>
        </is>
      </c>
      <c r="F275" t="inlineStr">
        <is>
          <t>Participant</t>
        </is>
      </c>
      <c r="H275" t="inlineStr">
        <is>
          <t>ID Card PVC</t>
        </is>
      </c>
      <c r="J275" t="inlineStr">
        <is>
          <t>pcs</t>
        </is>
      </c>
      <c r="K275" t="inlineStr">
        <is>
          <t>1</t>
        </is>
      </c>
      <c r="L275" t="n">
        <v>5000</v>
      </c>
      <c r="M275" t="n">
        <v>5000</v>
      </c>
      <c r="N275">
        <f>IF(COUNT(L275:M275)=0,"",AVERAGE(L275:M275))</f>
        <v/>
      </c>
      <c r="Q275">
        <f>IF(COUNT(O275:P275)=0,"",AVERAGE(O275:P275))</f>
        <v/>
      </c>
      <c r="R275">
        <f>IF(Q275&lt;&gt;"",Q275,IF(N275&lt;&gt;"",ROUND(N275*(1+$B$2),0),""))</f>
        <v/>
      </c>
      <c r="S275">
        <f>IF(AND(N275&lt;&gt;"",Q275&lt;&gt;"",N275&lt;&gt;0),(Q275-N275)/N275,"")</f>
        <v/>
      </c>
      <c r="T275" t="inlineStr">
        <is>
          <t>2026</t>
        </is>
      </c>
      <c r="U275" t="inlineStr">
        <is>
          <t>MUI Istiqlal 2026</t>
        </is>
      </c>
      <c r="V275" t="inlineStr">
        <is>
          <t>per pcs cetak</t>
        </is>
      </c>
      <c r="X275" t="inlineStr">
        <is>
          <t>OK</t>
        </is>
      </c>
      <c r="Y275" t="inlineStr">
        <is>
          <t>id card pvc | pcs</t>
        </is>
      </c>
    </row>
    <row r="276">
      <c r="A276" t="n">
        <v>272</v>
      </c>
      <c r="B276" t="inlineStr">
        <is>
          <t>📋 PO &amp; RFP DATA</t>
        </is>
      </c>
      <c r="C276" t="n">
        <v>42</v>
      </c>
      <c r="D276" t="inlineStr">
        <is>
          <t>PO/RFP HPP</t>
        </is>
      </c>
      <c r="E276" t="inlineStr">
        <is>
          <t>Selaras Equipment</t>
        </is>
      </c>
      <c r="F276" t="inlineStr">
        <is>
          <t>Participant</t>
        </is>
      </c>
      <c r="H276" t="inlineStr">
        <is>
          <t>ID Card PVC + Mika</t>
        </is>
      </c>
      <c r="J276" t="inlineStr">
        <is>
          <t>pcs</t>
        </is>
      </c>
      <c r="K276" t="inlineStr">
        <is>
          <t>1</t>
        </is>
      </c>
      <c r="L276" t="n">
        <v>5500</v>
      </c>
      <c r="M276" t="n">
        <v>5500</v>
      </c>
      <c r="N276">
        <f>IF(COUNT(L276:M276)=0,"",AVERAGE(L276:M276))</f>
        <v/>
      </c>
      <c r="Q276">
        <f>IF(COUNT(O276:P276)=0,"",AVERAGE(O276:P276))</f>
        <v/>
      </c>
      <c r="R276">
        <f>IF(Q276&lt;&gt;"",Q276,IF(N276&lt;&gt;"",ROUND(N276*(1+$B$2),0),""))</f>
        <v/>
      </c>
      <c r="S276">
        <f>IF(AND(N276&lt;&gt;"",Q276&lt;&gt;"",N276&lt;&gt;0),(Q276-N276)/N276,"")</f>
        <v/>
      </c>
      <c r="T276" t="inlineStr">
        <is>
          <t>2026</t>
        </is>
      </c>
      <c r="U276" t="inlineStr">
        <is>
          <t>GAPEMPI Mandarin Oriental</t>
        </is>
      </c>
      <c r="V276" t="inlineStr">
        <is>
          <t>PO 011/JBBS/MUI/III/2026</t>
        </is>
      </c>
      <c r="X276" t="inlineStr">
        <is>
          <t>OK</t>
        </is>
      </c>
      <c r="Y276" t="inlineStr">
        <is>
          <t>id card pvc + mika | pcs</t>
        </is>
      </c>
    </row>
    <row r="277">
      <c r="A277" t="n">
        <v>273</v>
      </c>
      <c r="B277" t="inlineStr">
        <is>
          <t>📋 PO &amp; RFP DATA</t>
        </is>
      </c>
      <c r="C277" t="n">
        <v>45</v>
      </c>
      <c r="D277" t="inlineStr">
        <is>
          <t>PO/RFP HPP</t>
        </is>
      </c>
      <c r="E277" t="inlineStr">
        <is>
          <t>Selaras Equipment</t>
        </is>
      </c>
      <c r="F277" t="inlineStr">
        <is>
          <t>Participant</t>
        </is>
      </c>
      <c r="H277" t="inlineStr">
        <is>
          <t>Lanyard Biasa Putih Polos</t>
        </is>
      </c>
      <c r="J277" t="inlineStr">
        <is>
          <t>pcs</t>
        </is>
      </c>
      <c r="K277" t="inlineStr">
        <is>
          <t>1</t>
        </is>
      </c>
      <c r="L277" t="n">
        <v>4000</v>
      </c>
      <c r="M277" t="n">
        <v>4000</v>
      </c>
      <c r="N277">
        <f>IF(COUNT(L277:M277)=0,"",AVERAGE(L277:M277))</f>
        <v/>
      </c>
      <c r="Q277">
        <f>IF(COUNT(O277:P277)=0,"",AVERAGE(O277:P277))</f>
        <v/>
      </c>
      <c r="R277">
        <f>IF(Q277&lt;&gt;"",Q277,IF(N277&lt;&gt;"",ROUND(N277*(1+$B$2),0),""))</f>
        <v/>
      </c>
      <c r="S277">
        <f>IF(AND(N277&lt;&gt;"",Q277&lt;&gt;"",N277&lt;&gt;0),(Q277-N277)/N277,"")</f>
        <v/>
      </c>
      <c r="T277" t="inlineStr">
        <is>
          <t>2026</t>
        </is>
      </c>
      <c r="U277" t="inlineStr">
        <is>
          <t>GAPEMPI Mandarin Oriental</t>
        </is>
      </c>
      <c r="X277" t="inlineStr">
        <is>
          <t>OK</t>
        </is>
      </c>
      <c r="Y277" t="inlineStr">
        <is>
          <t>lanyard biasa putih polos | pcs</t>
        </is>
      </c>
    </row>
    <row r="278">
      <c r="A278" t="n">
        <v>274</v>
      </c>
      <c r="B278" t="inlineStr">
        <is>
          <t>🕌 MUI EVENT DATA</t>
        </is>
      </c>
      <c r="C278" t="n">
        <v>80</v>
      </c>
      <c r="D278" t="inlineStr">
        <is>
          <t>MUI Real Cost</t>
        </is>
      </c>
      <c r="E278" t="inlineStr">
        <is>
          <t>MUI/EO</t>
        </is>
      </c>
      <c r="F278" t="inlineStr">
        <is>
          <t>Participant</t>
        </is>
      </c>
      <c r="H278" t="inlineStr">
        <is>
          <t>Lanyard Printing</t>
        </is>
      </c>
      <c r="J278" t="inlineStr">
        <is>
          <t>pcs</t>
        </is>
      </c>
      <c r="K278" t="inlineStr">
        <is>
          <t>1</t>
        </is>
      </c>
      <c r="L278" t="n">
        <v>7700</v>
      </c>
      <c r="M278" t="n">
        <v>7700</v>
      </c>
      <c r="N278">
        <f>IF(COUNT(L278:M278)=0,"",AVERAGE(L278:M278))</f>
        <v/>
      </c>
      <c r="Q278">
        <f>IF(COUNT(O278:P278)=0,"",AVERAGE(O278:P278))</f>
        <v/>
      </c>
      <c r="R278">
        <f>IF(Q278&lt;&gt;"",Q278,IF(N278&lt;&gt;"",ROUND(N278*(1+$B$2),0),""))</f>
        <v/>
      </c>
      <c r="S278">
        <f>IF(AND(N278&lt;&gt;"",Q278&lt;&gt;"",N278&lt;&gt;0),(Q278-N278)/N278,"")</f>
        <v/>
      </c>
      <c r="T278" t="inlineStr">
        <is>
          <t>2026</t>
        </is>
      </c>
      <c r="U278" t="inlineStr">
        <is>
          <t>MUI Istiqlal 2026</t>
        </is>
      </c>
      <c r="V278" t="inlineStr">
        <is>
          <t>per pcs; reimburse MUI</t>
        </is>
      </c>
      <c r="X278" t="inlineStr">
        <is>
          <t>OK</t>
        </is>
      </c>
      <c r="Y278" t="inlineStr">
        <is>
          <t>lanyard printing | pcs</t>
        </is>
      </c>
    </row>
    <row r="279">
      <c r="A279" t="n">
        <v>275</v>
      </c>
      <c r="B279" t="inlineStr">
        <is>
          <t>📋 PO &amp; RFP DATA</t>
        </is>
      </c>
      <c r="C279" t="n">
        <v>44</v>
      </c>
      <c r="D279" t="inlineStr">
        <is>
          <t>PO/RFP HPP</t>
        </is>
      </c>
      <c r="E279" t="inlineStr">
        <is>
          <t>Selaras Equipment</t>
        </is>
      </c>
      <c r="F279" t="inlineStr">
        <is>
          <t>Participant</t>
        </is>
      </c>
      <c r="H279" t="inlineStr">
        <is>
          <t>Lanyard Printing 2 Sisi</t>
        </is>
      </c>
      <c r="J279" t="inlineStr">
        <is>
          <t>pcs</t>
        </is>
      </c>
      <c r="K279" t="inlineStr">
        <is>
          <t>1</t>
        </is>
      </c>
      <c r="L279" t="n">
        <v>8800</v>
      </c>
      <c r="M279" t="n">
        <v>8800</v>
      </c>
      <c r="N279">
        <f>IF(COUNT(L279:M279)=0,"",AVERAGE(L279:M279))</f>
        <v/>
      </c>
      <c r="Q279">
        <f>IF(COUNT(O279:P279)=0,"",AVERAGE(O279:P279))</f>
        <v/>
      </c>
      <c r="R279">
        <f>IF(Q279&lt;&gt;"",Q279,IF(N279&lt;&gt;"",ROUND(N279*(1+$B$2),0),""))</f>
        <v/>
      </c>
      <c r="S279">
        <f>IF(AND(N279&lt;&gt;"",Q279&lt;&gt;"",N279&lt;&gt;0),(Q279-N279)/N279,"")</f>
        <v/>
      </c>
      <c r="T279" t="inlineStr">
        <is>
          <t>2026</t>
        </is>
      </c>
      <c r="U279" t="inlineStr">
        <is>
          <t>GAPEMPI Mandarin Oriental</t>
        </is>
      </c>
      <c r="X279" t="inlineStr">
        <is>
          <t>OK</t>
        </is>
      </c>
      <c r="Y279" t="inlineStr">
        <is>
          <t>lanyard printing 2 sisi | pcs</t>
        </is>
      </c>
    </row>
    <row r="280">
      <c r="A280" t="n">
        <v>276</v>
      </c>
      <c r="B280" t="inlineStr">
        <is>
          <t>🕌 MUI EVENT DATA</t>
        </is>
      </c>
      <c r="C280" t="n">
        <v>76</v>
      </c>
      <c r="D280" t="inlineStr">
        <is>
          <t>MUI Real Cost</t>
        </is>
      </c>
      <c r="E280" t="inlineStr">
        <is>
          <t>MUI/EO</t>
        </is>
      </c>
      <c r="F280" t="inlineStr">
        <is>
          <t>Participant</t>
        </is>
      </c>
      <c r="H280" t="inlineStr">
        <is>
          <t>Mini ICU Setup</t>
        </is>
      </c>
      <c r="J280" t="inlineStr">
        <is>
          <t>pckg</t>
        </is>
      </c>
      <c r="K280" t="inlineStr">
        <is>
          <t>1</t>
        </is>
      </c>
      <c r="L280" t="n">
        <v>7500000</v>
      </c>
      <c r="M280" t="n">
        <v>7500000</v>
      </c>
      <c r="N280">
        <f>IF(COUNT(L280:M280)=0,"",AVERAGE(L280:M280))</f>
        <v/>
      </c>
      <c r="Q280">
        <f>IF(COUNT(O280:P280)=0,"",AVERAGE(O280:P280))</f>
        <v/>
      </c>
      <c r="R280">
        <f>IF(Q280&lt;&gt;"",Q280,IF(N280&lt;&gt;"",ROUND(N280*(1+$B$2),0),""))</f>
        <v/>
      </c>
      <c r="S280">
        <f>IF(AND(N280&lt;&gt;"",Q280&lt;&gt;"",N280&lt;&gt;0),(Q280-N280)/N280,"")</f>
        <v/>
      </c>
      <c r="T280" t="inlineStr">
        <is>
          <t>2026</t>
        </is>
      </c>
      <c r="U280" t="inlineStr">
        <is>
          <t>MUI Istiqlal 2026</t>
        </is>
      </c>
      <c r="V280" t="inlineStr">
        <is>
          <t>RAB MUI</t>
        </is>
      </c>
      <c r="X280" t="inlineStr">
        <is>
          <t>OK</t>
        </is>
      </c>
      <c r="Y280" t="inlineStr">
        <is>
          <t>mini icu setup | pckg</t>
        </is>
      </c>
    </row>
    <row r="281">
      <c r="A281" t="n">
        <v>277</v>
      </c>
      <c r="B281" t="inlineStr">
        <is>
          <t>🕌 MUI EVENT DATA</t>
        </is>
      </c>
      <c r="C281" t="n">
        <v>72</v>
      </c>
      <c r="D281" t="inlineStr">
        <is>
          <t>MUI Real Cost</t>
        </is>
      </c>
      <c r="E281" t="inlineStr">
        <is>
          <t>MUI/EO</t>
        </is>
      </c>
      <c r="F281" t="inlineStr">
        <is>
          <t>Participant</t>
        </is>
      </c>
      <c r="H281" t="inlineStr">
        <is>
          <t>Plastik Alas Kaki (kantong plastik)</t>
        </is>
      </c>
      <c r="J281" t="inlineStr">
        <is>
          <t>pack/1300pcs</t>
        </is>
      </c>
      <c r="K281" t="inlineStr">
        <is>
          <t>1</t>
        </is>
      </c>
      <c r="L281" t="n">
        <v>17500</v>
      </c>
      <c r="M281" t="n">
        <v>17500</v>
      </c>
      <c r="N281">
        <f>IF(COUNT(L281:M281)=0,"",AVERAGE(L281:M281))</f>
        <v/>
      </c>
      <c r="Q281">
        <f>IF(COUNT(O281:P281)=0,"",AVERAGE(O281:P281))</f>
        <v/>
      </c>
      <c r="R281">
        <f>IF(Q281&lt;&gt;"",Q281,IF(N281&lt;&gt;"",ROUND(N281*(1+$B$2),0),""))</f>
        <v/>
      </c>
      <c r="S281">
        <f>IF(AND(N281&lt;&gt;"",Q281&lt;&gt;"",N281&lt;&gt;0),(Q281-N281)/N281,"")</f>
        <v/>
      </c>
      <c r="T281" t="inlineStr">
        <is>
          <t>2026</t>
        </is>
      </c>
      <c r="U281" t="inlineStr">
        <is>
          <t>MUI Istiqlal 2026</t>
        </is>
      </c>
      <c r="V281" t="inlineStr">
        <is>
          <t>per pack</t>
        </is>
      </c>
      <c r="X281" t="inlineStr">
        <is>
          <t>OK</t>
        </is>
      </c>
      <c r="Y281" t="inlineStr">
        <is>
          <t>plastik alas kaki (kantong plastik) | pack/1300pcs</t>
        </is>
      </c>
    </row>
    <row r="282">
      <c r="A282" t="n">
        <v>278</v>
      </c>
      <c r="B282" t="inlineStr">
        <is>
          <t>🕌 MUI EVENT DATA</t>
        </is>
      </c>
      <c r="C282" t="n">
        <v>77</v>
      </c>
      <c r="D282" t="inlineStr">
        <is>
          <t>MUI Real Cost</t>
        </is>
      </c>
      <c r="E282" t="inlineStr">
        <is>
          <t>MUI/EO</t>
        </is>
      </c>
      <c r="F282" t="inlineStr">
        <is>
          <t>Participant</t>
        </is>
      </c>
      <c r="H282" t="inlineStr">
        <is>
          <t>RI-1 Requirement Items (Presiden)</t>
        </is>
      </c>
      <c r="I282" t="inlineStr">
        <is>
          <t>kebutuhan protokol istana</t>
        </is>
      </c>
      <c r="J282" t="inlineStr">
        <is>
          <t>pckg</t>
        </is>
      </c>
      <c r="K282" t="inlineStr">
        <is>
          <t>1</t>
        </is>
      </c>
      <c r="L282" t="n">
        <v>10000000</v>
      </c>
      <c r="M282" t="n">
        <v>10000000</v>
      </c>
      <c r="N282">
        <f>IF(COUNT(L282:M282)=0,"",AVERAGE(L282:M282))</f>
        <v/>
      </c>
      <c r="Q282">
        <f>IF(COUNT(O282:P282)=0,"",AVERAGE(O282:P282))</f>
        <v/>
      </c>
      <c r="R282">
        <f>IF(Q282&lt;&gt;"",Q282,IF(N282&lt;&gt;"",ROUND(N282*(1+$B$2),0),""))</f>
        <v/>
      </c>
      <c r="S282">
        <f>IF(AND(N282&lt;&gt;"",Q282&lt;&gt;"",N282&lt;&gt;0),(Q282-N282)/N282,"")</f>
        <v/>
      </c>
      <c r="T282" t="inlineStr">
        <is>
          <t>2026</t>
        </is>
      </c>
      <c r="U282" t="inlineStr">
        <is>
          <t>MUI Istiqlal 2026</t>
        </is>
      </c>
      <c r="V282" t="inlineStr">
        <is>
          <t>Real-CE MUI</t>
        </is>
      </c>
      <c r="X282" t="inlineStr">
        <is>
          <t>OK</t>
        </is>
      </c>
      <c r="Y282" t="inlineStr">
        <is>
          <t>ri-1 requirement items (presiden) | pckg</t>
        </is>
      </c>
    </row>
    <row r="283">
      <c r="A283" t="n">
        <v>279</v>
      </c>
      <c r="B283" t="inlineStr">
        <is>
          <t>🕌 MUI EVENT DATA</t>
        </is>
      </c>
      <c r="C283" t="n">
        <v>68</v>
      </c>
      <c r="D283" t="inlineStr">
        <is>
          <t>MUI Real Cost</t>
        </is>
      </c>
      <c r="E283" t="inlineStr">
        <is>
          <t>MUI/EO</t>
        </is>
      </c>
      <c r="F283" t="inlineStr">
        <is>
          <t>Participant</t>
        </is>
      </c>
      <c r="H283" t="inlineStr">
        <is>
          <t>Sticker Bus</t>
        </is>
      </c>
      <c r="J283" t="inlineStr">
        <is>
          <t>pcs</t>
        </is>
      </c>
      <c r="K283" t="inlineStr">
        <is>
          <t>1</t>
        </is>
      </c>
      <c r="L283" t="n">
        <v>13000</v>
      </c>
      <c r="M283" t="n">
        <v>13000</v>
      </c>
      <c r="N283">
        <f>IF(COUNT(L283:M283)=0,"",AVERAGE(L283:M283))</f>
        <v/>
      </c>
      <c r="Q283">
        <f>IF(COUNT(O283:P283)=0,"",AVERAGE(O283:P283))</f>
        <v/>
      </c>
      <c r="R283">
        <f>IF(Q283&lt;&gt;"",Q283,IF(N283&lt;&gt;"",ROUND(N283*(1+$B$2),0),""))</f>
        <v/>
      </c>
      <c r="S283">
        <f>IF(AND(N283&lt;&gt;"",Q283&lt;&gt;"",N283&lt;&gt;0),(Q283-N283)/N283,"")</f>
        <v/>
      </c>
      <c r="T283" t="inlineStr">
        <is>
          <t>2026</t>
        </is>
      </c>
      <c r="U283" t="inlineStr">
        <is>
          <t>MUI Istiqlal 2026</t>
        </is>
      </c>
      <c r="V283" t="inlineStr">
        <is>
          <t>per pcs</t>
        </is>
      </c>
      <c r="X283" t="inlineStr">
        <is>
          <t>OK</t>
        </is>
      </c>
      <c r="Y283" t="inlineStr">
        <is>
          <t>sticker bus | pcs</t>
        </is>
      </c>
    </row>
    <row r="284">
      <c r="A284" t="n">
        <v>280</v>
      </c>
      <c r="B284" t="inlineStr">
        <is>
          <t>🕌 MUI EVENT DATA</t>
        </is>
      </c>
      <c r="C284" t="n">
        <v>71</v>
      </c>
      <c r="D284" t="inlineStr">
        <is>
          <t>MUI Real Cost</t>
        </is>
      </c>
      <c r="E284" t="inlineStr">
        <is>
          <t>MUI/EO</t>
        </is>
      </c>
      <c r="F284" t="inlineStr">
        <is>
          <t>Participant</t>
        </is>
      </c>
      <c r="H284" t="inlineStr">
        <is>
          <t>Sticker Polkadot (100 pcs/pack)</t>
        </is>
      </c>
      <c r="J284" t="inlineStr">
        <is>
          <t>pack</t>
        </is>
      </c>
      <c r="K284" t="inlineStr">
        <is>
          <t>1</t>
        </is>
      </c>
      <c r="L284" t="n">
        <v>300000</v>
      </c>
      <c r="M284" t="n">
        <v>300000</v>
      </c>
      <c r="N284">
        <f>IF(COUNT(L284:M284)=0,"",AVERAGE(L284:M284))</f>
        <v/>
      </c>
      <c r="Q284">
        <f>IF(COUNT(O284:P284)=0,"",AVERAGE(O284:P284))</f>
        <v/>
      </c>
      <c r="R284">
        <f>IF(Q284&lt;&gt;"",Q284,IF(N284&lt;&gt;"",ROUND(N284*(1+$B$2),0),""))</f>
        <v/>
      </c>
      <c r="S284">
        <f>IF(AND(N284&lt;&gt;"",Q284&lt;&gt;"",N284&lt;&gt;0),(Q284-N284)/N284,"")</f>
        <v/>
      </c>
      <c r="T284" t="inlineStr">
        <is>
          <t>2026</t>
        </is>
      </c>
      <c r="U284" t="inlineStr">
        <is>
          <t>MUI Istiqlal 2026</t>
        </is>
      </c>
      <c r="V284" t="inlineStr">
        <is>
          <t>per pack</t>
        </is>
      </c>
      <c r="X284" t="inlineStr">
        <is>
          <t>OK</t>
        </is>
      </c>
      <c r="Y284" t="inlineStr">
        <is>
          <t>sticker polkadot (100 pcs/pack) | pack</t>
        </is>
      </c>
    </row>
    <row r="285">
      <c r="A285" t="n">
        <v>281</v>
      </c>
      <c r="B285" t="inlineStr">
        <is>
          <t>📋 PO &amp; RFP DATA</t>
        </is>
      </c>
      <c r="C285" t="n">
        <v>49</v>
      </c>
      <c r="D285" t="inlineStr">
        <is>
          <t>PO/RFP HPP</t>
        </is>
      </c>
      <c r="E285" t="inlineStr">
        <is>
          <t>Selaras Equipment</t>
        </is>
      </c>
      <c r="F285" t="inlineStr">
        <is>
          <t>Participant</t>
        </is>
      </c>
      <c r="H285" t="inlineStr">
        <is>
          <t>Sticker Seating Arrangement (A6 doff)</t>
        </is>
      </c>
      <c r="J285" t="inlineStr">
        <is>
          <t>pcs</t>
        </is>
      </c>
      <c r="K285" t="inlineStr">
        <is>
          <t>1</t>
        </is>
      </c>
      <c r="L285" t="n">
        <v>3500</v>
      </c>
      <c r="M285" t="n">
        <v>3500</v>
      </c>
      <c r="N285">
        <f>IF(COUNT(L285:M285)=0,"",AVERAGE(L285:M285))</f>
        <v/>
      </c>
      <c r="Q285">
        <f>IF(COUNT(O285:P285)=0,"",AVERAGE(O285:P285))</f>
        <v/>
      </c>
      <c r="R285">
        <f>IF(Q285&lt;&gt;"",Q285,IF(N285&lt;&gt;"",ROUND(N285*(1+$B$2),0),""))</f>
        <v/>
      </c>
      <c r="S285">
        <f>IF(AND(N285&lt;&gt;"",Q285&lt;&gt;"",N285&lt;&gt;0),(Q285-N285)/N285,"")</f>
        <v/>
      </c>
      <c r="T285" t="inlineStr">
        <is>
          <t>2026</t>
        </is>
      </c>
      <c r="U285" t="inlineStr">
        <is>
          <t>GAPEMPI Mandarin Oriental</t>
        </is>
      </c>
      <c r="X285" t="inlineStr">
        <is>
          <t>OK</t>
        </is>
      </c>
      <c r="Y285" t="inlineStr">
        <is>
          <t>sticker seating arrangement (a6 doff) | pcs</t>
        </is>
      </c>
    </row>
    <row r="286">
      <c r="A286" t="n">
        <v>282</v>
      </c>
      <c r="B286" t="inlineStr">
        <is>
          <t>📋 PO &amp; RFP DATA</t>
        </is>
      </c>
      <c r="C286" t="n">
        <v>50</v>
      </c>
      <c r="D286" t="inlineStr">
        <is>
          <t>PO/RFP HPP</t>
        </is>
      </c>
      <c r="E286" t="inlineStr">
        <is>
          <t>Selaras Equipment</t>
        </is>
      </c>
      <c r="F286" t="inlineStr">
        <is>
          <t>Participant</t>
        </is>
      </c>
      <c r="H286" t="inlineStr">
        <is>
          <t>Sticker Signage (A3 doff)</t>
        </is>
      </c>
      <c r="J286" t="inlineStr">
        <is>
          <t>pcs</t>
        </is>
      </c>
      <c r="K286" t="inlineStr">
        <is>
          <t>1</t>
        </is>
      </c>
      <c r="L286" t="n">
        <v>25000</v>
      </c>
      <c r="M286" t="n">
        <v>25000</v>
      </c>
      <c r="N286">
        <f>IF(COUNT(L286:M286)=0,"",AVERAGE(L286:M286))</f>
        <v/>
      </c>
      <c r="Q286">
        <f>IF(COUNT(O286:P286)=0,"",AVERAGE(O286:P286))</f>
        <v/>
      </c>
      <c r="R286">
        <f>IF(Q286&lt;&gt;"",Q286,IF(N286&lt;&gt;"",ROUND(N286*(1+$B$2),0),""))</f>
        <v/>
      </c>
      <c r="S286">
        <f>IF(AND(N286&lt;&gt;"",Q286&lt;&gt;"",N286&lt;&gt;0),(Q286-N286)/N286,"")</f>
        <v/>
      </c>
      <c r="T286" t="inlineStr">
        <is>
          <t>2026</t>
        </is>
      </c>
      <c r="U286" t="inlineStr">
        <is>
          <t>GAPEMPI Mandarin Oriental</t>
        </is>
      </c>
      <c r="X286" t="inlineStr">
        <is>
          <t>OK</t>
        </is>
      </c>
      <c r="Y286" t="inlineStr">
        <is>
          <t>sticker signage (a3 doff) | pcs</t>
        </is>
      </c>
    </row>
    <row r="287">
      <c r="A287" t="n">
        <v>283</v>
      </c>
      <c r="B287" t="inlineStr">
        <is>
          <t>📋 PO &amp; RFP DATA</t>
        </is>
      </c>
      <c r="C287" t="n">
        <v>51</v>
      </c>
      <c r="D287" t="inlineStr">
        <is>
          <t>PO/RFP HPP</t>
        </is>
      </c>
      <c r="E287" t="inlineStr">
        <is>
          <t>Selaras Equipment</t>
        </is>
      </c>
      <c r="F287" t="inlineStr">
        <is>
          <t>Participant</t>
        </is>
      </c>
      <c r="H287" t="inlineStr">
        <is>
          <t>TV Matador (sewa)</t>
        </is>
      </c>
      <c r="I287" t="inlineStr">
        <is>
          <t>per event</t>
        </is>
      </c>
      <c r="J287" t="inlineStr">
        <is>
          <t>unit</t>
        </is>
      </c>
      <c r="K287" t="inlineStr">
        <is>
          <t>1</t>
        </is>
      </c>
      <c r="L287" t="n">
        <v>750000</v>
      </c>
      <c r="M287" t="n">
        <v>750000</v>
      </c>
      <c r="N287">
        <f>IF(COUNT(L287:M287)=0,"",AVERAGE(L287:M287))</f>
        <v/>
      </c>
      <c r="Q287">
        <f>IF(COUNT(O287:P287)=0,"",AVERAGE(O287:P287))</f>
        <v/>
      </c>
      <c r="R287">
        <f>IF(Q287&lt;&gt;"",Q287,IF(N287&lt;&gt;"",ROUND(N287*(1+$B$2),0),""))</f>
        <v/>
      </c>
      <c r="S287">
        <f>IF(AND(N287&lt;&gt;"",Q287&lt;&gt;"",N287&lt;&gt;0),(Q287-N287)/N287,"")</f>
        <v/>
      </c>
      <c r="T287" t="inlineStr">
        <is>
          <t>2026</t>
        </is>
      </c>
      <c r="U287" t="inlineStr">
        <is>
          <t>GAPEMPI / MUI</t>
        </is>
      </c>
      <c r="V287" t="inlineStr">
        <is>
          <t>PO 016/JBBS/MUI/III/2026</t>
        </is>
      </c>
      <c r="X287" t="inlineStr">
        <is>
          <t>OK</t>
        </is>
      </c>
      <c r="Y287" t="inlineStr">
        <is>
          <t>tv matador (sewa) | unit</t>
        </is>
      </c>
    </row>
    <row r="288">
      <c r="A288" t="n">
        <v>284</v>
      </c>
      <c r="B288" t="inlineStr">
        <is>
          <t>📋 PO &amp; RFP DATA</t>
        </is>
      </c>
      <c r="C288" t="n">
        <v>48</v>
      </c>
      <c r="D288" t="inlineStr">
        <is>
          <t>PO/RFP HPP</t>
        </is>
      </c>
      <c r="E288" t="inlineStr">
        <is>
          <t>Selaras Equipment</t>
        </is>
      </c>
      <c r="F288" t="inlineStr">
        <is>
          <t>Participant</t>
        </is>
      </c>
      <c r="H288" t="inlineStr">
        <is>
          <t>Tent Card Art Carton + Laminasi Doff</t>
        </is>
      </c>
      <c r="J288" t="inlineStr">
        <is>
          <t>pcs</t>
        </is>
      </c>
      <c r="K288" t="inlineStr">
        <is>
          <t>1</t>
        </is>
      </c>
      <c r="L288" t="n">
        <v>3000</v>
      </c>
      <c r="M288" t="n">
        <v>3000</v>
      </c>
      <c r="N288">
        <f>IF(COUNT(L288:M288)=0,"",AVERAGE(L288:M288))</f>
        <v/>
      </c>
      <c r="Q288">
        <f>IF(COUNT(O288:P288)=0,"",AVERAGE(O288:P288))</f>
        <v/>
      </c>
      <c r="R288">
        <f>IF(Q288&lt;&gt;"",Q288,IF(N288&lt;&gt;"",ROUND(N288*(1+$B$2),0),""))</f>
        <v/>
      </c>
      <c r="S288">
        <f>IF(AND(N288&lt;&gt;"",Q288&lt;&gt;"",N288&lt;&gt;0),(Q288-N288)/N288,"")</f>
        <v/>
      </c>
      <c r="T288" t="inlineStr">
        <is>
          <t>2026</t>
        </is>
      </c>
      <c r="U288" t="inlineStr">
        <is>
          <t>GAPEMPI Mandarin Oriental</t>
        </is>
      </c>
      <c r="X288" t="inlineStr">
        <is>
          <t>OK</t>
        </is>
      </c>
      <c r="Y288" t="inlineStr">
        <is>
          <t>tent card art carton + laminasi doff | pcs</t>
        </is>
      </c>
    </row>
    <row r="289">
      <c r="A289" t="n">
        <v>285</v>
      </c>
      <c r="B289" t="inlineStr">
        <is>
          <t>🕌 MUI EVENT DATA</t>
        </is>
      </c>
      <c r="C289" t="n">
        <v>73</v>
      </c>
      <c r="D289" t="inlineStr">
        <is>
          <t>MUI Real Cost</t>
        </is>
      </c>
      <c r="E289" t="inlineStr">
        <is>
          <t>MUI/EO</t>
        </is>
      </c>
      <c r="F289" t="inlineStr">
        <is>
          <t>Participant</t>
        </is>
      </c>
      <c r="H289" t="inlineStr">
        <is>
          <t>Undangan</t>
        </is>
      </c>
      <c r="J289" t="inlineStr">
        <is>
          <t>pcs</t>
        </is>
      </c>
      <c r="K289" t="inlineStr">
        <is>
          <t>1</t>
        </is>
      </c>
      <c r="L289" t="n">
        <v>30000</v>
      </c>
      <c r="M289" t="n">
        <v>30000</v>
      </c>
      <c r="N289">
        <f>IF(COUNT(L289:M289)=0,"",AVERAGE(L289:M289))</f>
        <v/>
      </c>
      <c r="Q289">
        <f>IF(COUNT(O289:P289)=0,"",AVERAGE(O289:P289))</f>
        <v/>
      </c>
      <c r="R289">
        <f>IF(Q289&lt;&gt;"",Q289,IF(N289&lt;&gt;"",ROUND(N289*(1+$B$2),0),""))</f>
        <v/>
      </c>
      <c r="S289">
        <f>IF(AND(N289&lt;&gt;"",Q289&lt;&gt;"",N289&lt;&gt;0),(Q289-N289)/N289,"")</f>
        <v/>
      </c>
      <c r="T289" t="inlineStr">
        <is>
          <t>2026</t>
        </is>
      </c>
      <c r="U289" t="inlineStr">
        <is>
          <t>MUI Istiqlal 2026</t>
        </is>
      </c>
      <c r="V289" t="inlineStr">
        <is>
          <t>per pcs</t>
        </is>
      </c>
      <c r="X289" t="inlineStr">
        <is>
          <t>OK</t>
        </is>
      </c>
      <c r="Y289" t="inlineStr">
        <is>
          <t>undangan | pcs</t>
        </is>
      </c>
    </row>
    <row r="290">
      <c r="A290" t="n">
        <v>286</v>
      </c>
      <c r="B290" t="inlineStr">
        <is>
          <t>📋 PO &amp; RFP DATA</t>
        </is>
      </c>
      <c r="C290" t="n">
        <v>46</v>
      </c>
      <c r="D290" t="inlineStr">
        <is>
          <t>PO/RFP HPP</t>
        </is>
      </c>
      <c r="E290" t="inlineStr">
        <is>
          <t>Selaras Equipment</t>
        </is>
      </c>
      <c r="F290" t="inlineStr">
        <is>
          <t>Participant</t>
        </is>
      </c>
      <c r="H290" t="inlineStr">
        <is>
          <t>Welcoming Banner Flexy 1x5m</t>
        </is>
      </c>
      <c r="J290" t="inlineStr">
        <is>
          <t>pcs</t>
        </is>
      </c>
      <c r="K290" t="inlineStr">
        <is>
          <t>1</t>
        </is>
      </c>
      <c r="L290" t="n">
        <v>130000</v>
      </c>
      <c r="M290" t="n">
        <v>130000</v>
      </c>
      <c r="N290">
        <f>IF(COUNT(L290:M290)=0,"",AVERAGE(L290:M290))</f>
        <v/>
      </c>
      <c r="Q290">
        <f>IF(COUNT(O290:P290)=0,"",AVERAGE(O290:P290))</f>
        <v/>
      </c>
      <c r="R290">
        <f>IF(Q290&lt;&gt;"",Q290,IF(N290&lt;&gt;"",ROUND(N290*(1+$B$2),0),""))</f>
        <v/>
      </c>
      <c r="S290">
        <f>IF(AND(N290&lt;&gt;"",Q290&lt;&gt;"",N290&lt;&gt;0),(Q290-N290)/N290,"")</f>
        <v/>
      </c>
      <c r="T290" t="inlineStr">
        <is>
          <t>2026</t>
        </is>
      </c>
      <c r="U290" t="inlineStr">
        <is>
          <t>GAPEMPI Mandarin Oriental</t>
        </is>
      </c>
      <c r="X290" t="inlineStr">
        <is>
          <t>OK</t>
        </is>
      </c>
      <c r="Y290" t="inlineStr">
        <is>
          <t>welcoming banner flexy 1x5m | pcs</t>
        </is>
      </c>
    </row>
    <row r="291">
      <c r="A291" t="n">
        <v>287</v>
      </c>
      <c r="B291" t="inlineStr">
        <is>
          <t>🕌 MUI EVENT DATA</t>
        </is>
      </c>
      <c r="C291" t="n">
        <v>67</v>
      </c>
      <c r="D291" t="inlineStr">
        <is>
          <t>MUI Real Cost</t>
        </is>
      </c>
      <c r="E291" t="inlineStr">
        <is>
          <t>MUI/EO</t>
        </is>
      </c>
      <c r="F291" t="inlineStr">
        <is>
          <t>Participant</t>
        </is>
      </c>
      <c r="H291" t="inlineStr">
        <is>
          <t>Wristband Gelang Tambahan</t>
        </is>
      </c>
      <c r="J291" t="inlineStr">
        <is>
          <t>pcs</t>
        </is>
      </c>
      <c r="K291" t="inlineStr">
        <is>
          <t>1</t>
        </is>
      </c>
      <c r="L291" t="n">
        <v>2000</v>
      </c>
      <c r="M291" t="n">
        <v>2000</v>
      </c>
      <c r="N291">
        <f>IF(COUNT(L291:M291)=0,"",AVERAGE(L291:M291))</f>
        <v/>
      </c>
      <c r="Q291">
        <f>IF(COUNT(O291:P291)=0,"",AVERAGE(O291:P291))</f>
        <v/>
      </c>
      <c r="R291">
        <f>IF(Q291&lt;&gt;"",Q291,IF(N291&lt;&gt;"",ROUND(N291*(1+$B$2),0),""))</f>
        <v/>
      </c>
      <c r="S291">
        <f>IF(AND(N291&lt;&gt;"",Q291&lt;&gt;"",N291&lt;&gt;0),(Q291-N291)/N291,"")</f>
        <v/>
      </c>
      <c r="T291" t="inlineStr">
        <is>
          <t>2026</t>
        </is>
      </c>
      <c r="U291" t="inlineStr">
        <is>
          <t>MUI Istiqlal 2026</t>
        </is>
      </c>
      <c r="V291" t="inlineStr">
        <is>
          <t>per pcs</t>
        </is>
      </c>
      <c r="X291" t="inlineStr">
        <is>
          <t>OK</t>
        </is>
      </c>
      <c r="Y291" t="inlineStr">
        <is>
          <t>wristband gelang tambahan | pcs</t>
        </is>
      </c>
    </row>
    <row r="292">
      <c r="A292" t="n">
        <v>288</v>
      </c>
      <c r="B292" t="inlineStr">
        <is>
          <t>🕌 MUI EVENT DATA</t>
        </is>
      </c>
      <c r="C292" t="n">
        <v>66</v>
      </c>
      <c r="D292" t="inlineStr">
        <is>
          <t>MUI Real Cost</t>
        </is>
      </c>
      <c r="E292" t="inlineStr">
        <is>
          <t>MUI/EO</t>
        </is>
      </c>
      <c r="F292" t="inlineStr">
        <is>
          <t>Participant</t>
        </is>
      </c>
      <c r="H292" t="inlineStr">
        <is>
          <t>Wristband RFID Peserta</t>
        </is>
      </c>
      <c r="J292" t="inlineStr">
        <is>
          <t>pcs</t>
        </is>
      </c>
      <c r="K292" t="inlineStr">
        <is>
          <t>50000</t>
        </is>
      </c>
      <c r="L292" t="n">
        <v>1300</v>
      </c>
      <c r="M292" t="n">
        <v>1300</v>
      </c>
      <c r="N292">
        <f>IF(COUNT(L292:M292)=0,"",AVERAGE(L292:M292))</f>
        <v/>
      </c>
      <c r="Q292">
        <f>IF(COUNT(O292:P292)=0,"",AVERAGE(O292:P292))</f>
        <v/>
      </c>
      <c r="R292">
        <f>IF(Q292&lt;&gt;"",Q292,IF(N292&lt;&gt;"",ROUND(N292*(1+$B$2),0),""))</f>
        <v/>
      </c>
      <c r="S292">
        <f>IF(AND(N292&lt;&gt;"",Q292&lt;&gt;"",N292&lt;&gt;0),(Q292-N292)/N292,"")</f>
        <v/>
      </c>
      <c r="T292" t="inlineStr">
        <is>
          <t>2026</t>
        </is>
      </c>
      <c r="U292" t="inlineStr">
        <is>
          <t>MUI Istiqlal 2026</t>
        </is>
      </c>
      <c r="V292" t="inlineStr">
        <is>
          <t>Real-CE; Rp1.300/pcs</t>
        </is>
      </c>
      <c r="X292" t="inlineStr">
        <is>
          <t>OK</t>
        </is>
      </c>
      <c r="Y292" t="inlineStr">
        <is>
          <t>wristband rfid peserta | pcs</t>
        </is>
      </c>
    </row>
    <row r="293">
      <c r="A293" t="n">
        <v>289</v>
      </c>
      <c r="B293" t="inlineStr">
        <is>
          <t>🕌 MUI EVENT DATA</t>
        </is>
      </c>
      <c r="C293" t="n">
        <v>14</v>
      </c>
      <c r="D293" t="inlineStr">
        <is>
          <t>MUI Real Cost</t>
        </is>
      </c>
      <c r="E293" t="inlineStr">
        <is>
          <t>MUI/EO</t>
        </is>
      </c>
      <c r="F293" t="inlineStr">
        <is>
          <t>Paspampres</t>
        </is>
      </c>
      <c r="H293" t="inlineStr">
        <is>
          <t>Hologram (legalisir akses)</t>
        </is>
      </c>
      <c r="I293" t="inlineStr">
        <is>
          <t>VIP, panitia, peserta</t>
        </is>
      </c>
      <c r="J293" t="inlineStr">
        <is>
          <t>pcs</t>
        </is>
      </c>
      <c r="K293" t="inlineStr">
        <is>
          <t>20000</t>
        </is>
      </c>
      <c r="L293" t="n">
        <v>2500</v>
      </c>
      <c r="M293" t="n">
        <v>2500</v>
      </c>
      <c r="N293">
        <f>IF(COUNT(L293:M293)=0,"",AVERAGE(L293:M293))</f>
        <v/>
      </c>
      <c r="Q293">
        <f>IF(COUNT(O293:P293)=0,"",AVERAGE(O293:P293))</f>
        <v/>
      </c>
      <c r="R293">
        <f>IF(Q293&lt;&gt;"",Q293,IF(N293&lt;&gt;"",ROUND(N293*(1+$B$2),0),""))</f>
        <v/>
      </c>
      <c r="S293">
        <f>IF(AND(N293&lt;&gt;"",Q293&lt;&gt;"",N293&lt;&gt;0),(Q293-N293)/N293,"")</f>
        <v/>
      </c>
      <c r="T293" t="inlineStr">
        <is>
          <t>2026</t>
        </is>
      </c>
      <c r="U293" t="inlineStr">
        <is>
          <t>MUI Istiqlal 2026</t>
        </is>
      </c>
      <c r="V293" t="inlineStr">
        <is>
          <t>Real-CE; Rp2.500/pcs</t>
        </is>
      </c>
      <c r="X293" t="inlineStr">
        <is>
          <t>OK</t>
        </is>
      </c>
      <c r="Y293" t="inlineStr">
        <is>
          <t>hologram (legalisir akses) | pcs</t>
        </is>
      </c>
    </row>
    <row r="294">
      <c r="A294" t="n">
        <v>290</v>
      </c>
      <c r="B294" t="inlineStr">
        <is>
          <t>🕌 MUI EVENT DATA</t>
        </is>
      </c>
      <c r="C294" t="n">
        <v>148</v>
      </c>
      <c r="D294" t="inlineStr">
        <is>
          <t>MUI Real Cost</t>
        </is>
      </c>
      <c r="E294" t="inlineStr">
        <is>
          <t>Ali Assegaf</t>
        </is>
      </c>
      <c r="F294" t="inlineStr">
        <is>
          <t>Paspampres</t>
        </is>
      </c>
      <c r="H294" t="inlineStr">
        <is>
          <t>Paspampres (2x bayar = total 100jt)</t>
        </is>
      </c>
      <c r="I294" t="inlineStr">
        <is>
          <t>advance + main</t>
        </is>
      </c>
      <c r="J294" t="inlineStr">
        <is>
          <t>event</t>
        </is>
      </c>
      <c r="K294" t="inlineStr">
        <is>
          <t>1</t>
        </is>
      </c>
      <c r="L294" t="n">
        <v>100000000</v>
      </c>
      <c r="M294" t="n">
        <v>100000000</v>
      </c>
      <c r="N294">
        <f>IF(COUNT(L294:M294)=0,"",AVERAGE(L294:M294))</f>
        <v/>
      </c>
      <c r="Q294">
        <f>IF(COUNT(O294:P294)=0,"",AVERAGE(O294:P294))</f>
        <v/>
      </c>
      <c r="R294">
        <f>IF(Q294&lt;&gt;"",Q294,IF(N294&lt;&gt;"",ROUND(N294*(1+$B$2),0),""))</f>
        <v/>
      </c>
      <c r="S294">
        <f>IF(AND(N294&lt;&gt;"",Q294&lt;&gt;"",N294&lt;&gt;0),(Q294-N294)/N294,"")</f>
        <v/>
      </c>
      <c r="T294" t="inlineStr">
        <is>
          <t>2026</t>
        </is>
      </c>
      <c r="U294" t="inlineStr">
        <is>
          <t>MUI Istiqlal 2026</t>
        </is>
      </c>
      <c r="V294" t="inlineStr">
        <is>
          <t>RFP MUI.xlsx mutation</t>
        </is>
      </c>
      <c r="X294" t="inlineStr">
        <is>
          <t>OK</t>
        </is>
      </c>
      <c r="Y294" t="inlineStr">
        <is>
          <t>paspampres (2x bayar = total 100jt) | event</t>
        </is>
      </c>
    </row>
    <row r="295">
      <c r="A295" t="n">
        <v>291</v>
      </c>
      <c r="B295" t="inlineStr">
        <is>
          <t>🕌 MUI EVENT DATA</t>
        </is>
      </c>
      <c r="C295" t="n">
        <v>11</v>
      </c>
      <c r="D295" t="inlineStr">
        <is>
          <t>MUI Real Cost</t>
        </is>
      </c>
      <c r="E295" t="inlineStr">
        <is>
          <t>MUI/EO</t>
        </is>
      </c>
      <c r="F295" t="inlineStr">
        <is>
          <t>Paspampres</t>
        </is>
      </c>
      <c r="H295" t="inlineStr">
        <is>
          <t>Paspampres - Advance</t>
        </is>
      </c>
      <c r="J295" t="inlineStr">
        <is>
          <t>pckg</t>
        </is>
      </c>
      <c r="K295" t="inlineStr">
        <is>
          <t>1</t>
        </is>
      </c>
      <c r="L295" t="n">
        <v>10000000</v>
      </c>
      <c r="M295" t="n">
        <v>10000000</v>
      </c>
      <c r="N295">
        <f>IF(COUNT(L295:M295)=0,"",AVERAGE(L295:M295))</f>
        <v/>
      </c>
      <c r="Q295">
        <f>IF(COUNT(O295:P295)=0,"",AVERAGE(O295:P295))</f>
        <v/>
      </c>
      <c r="R295">
        <f>IF(Q295&lt;&gt;"",Q295,IF(N295&lt;&gt;"",ROUND(N295*(1+$B$2),0),""))</f>
        <v/>
      </c>
      <c r="S295">
        <f>IF(AND(N295&lt;&gt;"",Q295&lt;&gt;"",N295&lt;&gt;0),(Q295-N295)/N295,"")</f>
        <v/>
      </c>
      <c r="T295" t="inlineStr">
        <is>
          <t>2026</t>
        </is>
      </c>
      <c r="U295" t="inlineStr">
        <is>
          <t>MUI Istiqlal 2026</t>
        </is>
      </c>
      <c r="V295" t="inlineStr">
        <is>
          <t>Real-CE MUI</t>
        </is>
      </c>
      <c r="X295" t="inlineStr">
        <is>
          <t>OK</t>
        </is>
      </c>
      <c r="Y295" t="inlineStr">
        <is>
          <t>paspampres - advance | pckg</t>
        </is>
      </c>
    </row>
    <row r="296">
      <c r="A296" t="n">
        <v>292</v>
      </c>
      <c r="B296" t="inlineStr">
        <is>
          <t>🕌 MUI EVENT DATA</t>
        </is>
      </c>
      <c r="C296" t="n">
        <v>13</v>
      </c>
      <c r="D296" t="inlineStr">
        <is>
          <t>MUI Real Cost</t>
        </is>
      </c>
      <c r="E296" t="inlineStr">
        <is>
          <t>MUI/EO</t>
        </is>
      </c>
      <c r="F296" t="inlineStr">
        <is>
          <t>Paspampres</t>
        </is>
      </c>
      <c r="H296" t="inlineStr">
        <is>
          <t>Paspampres - Deteksi</t>
        </is>
      </c>
      <c r="J296" t="inlineStr">
        <is>
          <t>pckg</t>
        </is>
      </c>
      <c r="K296" t="inlineStr">
        <is>
          <t>1</t>
        </is>
      </c>
      <c r="L296" t="n">
        <v>10000000</v>
      </c>
      <c r="M296" t="n">
        <v>10000000</v>
      </c>
      <c r="N296">
        <f>IF(COUNT(L296:M296)=0,"",AVERAGE(L296:M296))</f>
        <v/>
      </c>
      <c r="Q296">
        <f>IF(COUNT(O296:P296)=0,"",AVERAGE(O296:P296))</f>
        <v/>
      </c>
      <c r="R296">
        <f>IF(Q296&lt;&gt;"",Q296,IF(N296&lt;&gt;"",ROUND(N296*(1+$B$2),0),""))</f>
        <v/>
      </c>
      <c r="S296">
        <f>IF(AND(N296&lt;&gt;"",Q296&lt;&gt;"",N296&lt;&gt;0),(Q296-N296)/N296,"")</f>
        <v/>
      </c>
      <c r="T296" t="inlineStr">
        <is>
          <t>2026</t>
        </is>
      </c>
      <c r="U296" t="inlineStr">
        <is>
          <t>MUI Istiqlal 2026</t>
        </is>
      </c>
      <c r="V296" t="inlineStr">
        <is>
          <t>Real-CE MUI</t>
        </is>
      </c>
      <c r="X296" t="inlineStr">
        <is>
          <t>OK</t>
        </is>
      </c>
      <c r="Y296" t="inlineStr">
        <is>
          <t>paspampres - deteksi | pckg</t>
        </is>
      </c>
    </row>
    <row r="297">
      <c r="A297" t="n">
        <v>293</v>
      </c>
      <c r="B297" t="inlineStr">
        <is>
          <t>🕌 MUI EVENT DATA</t>
        </is>
      </c>
      <c r="C297" t="n">
        <v>12</v>
      </c>
      <c r="D297" t="inlineStr">
        <is>
          <t>MUI Real Cost</t>
        </is>
      </c>
      <c r="E297" t="inlineStr">
        <is>
          <t>MUI/EO</t>
        </is>
      </c>
      <c r="F297" t="inlineStr">
        <is>
          <t>Paspampres</t>
        </is>
      </c>
      <c r="H297" t="inlineStr">
        <is>
          <t>Paspampres - Main Group</t>
        </is>
      </c>
      <c r="J297" t="inlineStr">
        <is>
          <t>pckg</t>
        </is>
      </c>
      <c r="K297" t="inlineStr">
        <is>
          <t>1</t>
        </is>
      </c>
      <c r="L297" t="n">
        <v>10000000</v>
      </c>
      <c r="M297" t="n">
        <v>10000000</v>
      </c>
      <c r="N297">
        <f>IF(COUNT(L297:M297)=0,"",AVERAGE(L297:M297))</f>
        <v/>
      </c>
      <c r="Q297">
        <f>IF(COUNT(O297:P297)=0,"",AVERAGE(O297:P297))</f>
        <v/>
      </c>
      <c r="R297">
        <f>IF(Q297&lt;&gt;"",Q297,IF(N297&lt;&gt;"",ROUND(N297*(1+$B$2),0),""))</f>
        <v/>
      </c>
      <c r="S297">
        <f>IF(AND(N297&lt;&gt;"",Q297&lt;&gt;"",N297&lt;&gt;0),(Q297-N297)/N297,"")</f>
        <v/>
      </c>
      <c r="T297" t="inlineStr">
        <is>
          <t>2026</t>
        </is>
      </c>
      <c r="U297" t="inlineStr">
        <is>
          <t>MUI Istiqlal 2026</t>
        </is>
      </c>
      <c r="V297" t="inlineStr">
        <is>
          <t>Real-CE MUI</t>
        </is>
      </c>
      <c r="X297" t="inlineStr">
        <is>
          <t>OK</t>
        </is>
      </c>
      <c r="Y297" t="inlineStr">
        <is>
          <t>paspampres - main group | pckg</t>
        </is>
      </c>
    </row>
    <row r="298">
      <c r="A298" t="n">
        <v>294</v>
      </c>
      <c r="B298" t="inlineStr">
        <is>
          <t>🕌 MUI EVENT DATA</t>
        </is>
      </c>
      <c r="C298" t="n">
        <v>7</v>
      </c>
      <c r="D298" t="inlineStr">
        <is>
          <t>MUI Real Cost</t>
        </is>
      </c>
      <c r="E298" t="inlineStr">
        <is>
          <t>MUI/EO</t>
        </is>
      </c>
      <c r="F298" t="inlineStr">
        <is>
          <t>Permit</t>
        </is>
      </c>
      <c r="H298" t="inlineStr">
        <is>
          <t>DISHUB (bayar EO)</t>
        </is>
      </c>
      <c r="J298" t="inlineStr">
        <is>
          <t>pckg</t>
        </is>
      </c>
      <c r="K298" t="inlineStr">
        <is>
          <t>1</t>
        </is>
      </c>
      <c r="L298" t="n">
        <v>5000000</v>
      </c>
      <c r="M298" t="n">
        <v>5000000</v>
      </c>
      <c r="N298">
        <f>IF(COUNT(L298:M298)=0,"",AVERAGE(L298:M298))</f>
        <v/>
      </c>
      <c r="Q298">
        <f>IF(COUNT(O298:P298)=0,"",AVERAGE(O298:P298))</f>
        <v/>
      </c>
      <c r="R298">
        <f>IF(Q298&lt;&gt;"",Q298,IF(N298&lt;&gt;"",ROUND(N298*(1+$B$2),0),""))</f>
        <v/>
      </c>
      <c r="S298">
        <f>IF(AND(N298&lt;&gt;"",Q298&lt;&gt;"",N298&lt;&gt;0),(Q298-N298)/N298,"")</f>
        <v/>
      </c>
      <c r="T298" t="inlineStr">
        <is>
          <t>2026</t>
        </is>
      </c>
      <c r="U298" t="inlineStr">
        <is>
          <t>MUI Istiqlal 2026</t>
        </is>
      </c>
      <c r="V298" t="inlineStr">
        <is>
          <t>Real-CE MUI</t>
        </is>
      </c>
      <c r="X298" t="inlineStr">
        <is>
          <t>OK</t>
        </is>
      </c>
      <c r="Y298" t="inlineStr">
        <is>
          <t>dishub (bayar eo) | pckg</t>
        </is>
      </c>
    </row>
    <row r="299">
      <c r="A299" t="n">
        <v>295</v>
      </c>
      <c r="B299" t="inlineStr">
        <is>
          <t>🕌 MUI EVENT DATA</t>
        </is>
      </c>
      <c r="C299" t="n">
        <v>6</v>
      </c>
      <c r="D299" t="inlineStr">
        <is>
          <t>MUI Real Cost</t>
        </is>
      </c>
      <c r="E299" t="inlineStr">
        <is>
          <t>MUI/EO</t>
        </is>
      </c>
      <c r="F299" t="inlineStr">
        <is>
          <t>Permit</t>
        </is>
      </c>
      <c r="H299" t="inlineStr">
        <is>
          <t>Koordinasi Kawasan (bayar EO)</t>
        </is>
      </c>
      <c r="J299" t="inlineStr">
        <is>
          <t>pckg</t>
        </is>
      </c>
      <c r="K299" t="inlineStr">
        <is>
          <t>1</t>
        </is>
      </c>
      <c r="L299" t="n">
        <v>15000000</v>
      </c>
      <c r="M299" t="n">
        <v>15000000</v>
      </c>
      <c r="N299">
        <f>IF(COUNT(L299:M299)=0,"",AVERAGE(L299:M299))</f>
        <v/>
      </c>
      <c r="Q299">
        <f>IF(COUNT(O299:P299)=0,"",AVERAGE(O299:P299))</f>
        <v/>
      </c>
      <c r="R299">
        <f>IF(Q299&lt;&gt;"",Q299,IF(N299&lt;&gt;"",ROUND(N299*(1+$B$2),0),""))</f>
        <v/>
      </c>
      <c r="S299">
        <f>IF(AND(N299&lt;&gt;"",Q299&lt;&gt;"",N299&lt;&gt;0),(Q299-N299)/N299,"")</f>
        <v/>
      </c>
      <c r="T299" t="inlineStr">
        <is>
          <t>2026</t>
        </is>
      </c>
      <c r="U299" t="inlineStr">
        <is>
          <t>MUI Istiqlal 2026</t>
        </is>
      </c>
      <c r="V299" t="inlineStr">
        <is>
          <t>Real-CE MUI</t>
        </is>
      </c>
      <c r="X299" t="inlineStr">
        <is>
          <t>OK</t>
        </is>
      </c>
      <c r="Y299" t="inlineStr">
        <is>
          <t>koordinasi kawasan (bayar eo) | pckg</t>
        </is>
      </c>
    </row>
    <row r="300">
      <c r="A300" t="n">
        <v>296</v>
      </c>
      <c r="B300" t="inlineStr">
        <is>
          <t>🕌 MUI EVENT DATA</t>
        </is>
      </c>
      <c r="C300" t="n">
        <v>5</v>
      </c>
      <c r="D300" t="inlineStr">
        <is>
          <t>MUI Real Cost</t>
        </is>
      </c>
      <c r="E300" t="inlineStr">
        <is>
          <t>MUI/EO</t>
        </is>
      </c>
      <c r="F300" t="inlineStr">
        <is>
          <t>Permit</t>
        </is>
      </c>
      <c r="H300" t="inlineStr">
        <is>
          <t>PAM Personil Kepolisian (bayar EO)</t>
        </is>
      </c>
      <c r="I300" t="inlineStr">
        <is>
          <t>600 orang, 2 time</t>
        </is>
      </c>
      <c r="J300" t="inlineStr">
        <is>
          <t>prs</t>
        </is>
      </c>
      <c r="K300" t="inlineStr">
        <is>
          <t>600</t>
        </is>
      </c>
      <c r="L300" t="n">
        <v>25000</v>
      </c>
      <c r="M300" t="n">
        <v>25000</v>
      </c>
      <c r="N300">
        <f>IF(COUNT(L300:M300)=0,"",AVERAGE(L300:M300))</f>
        <v/>
      </c>
      <c r="Q300">
        <f>IF(COUNT(O300:P300)=0,"",AVERAGE(O300:P300))</f>
        <v/>
      </c>
      <c r="R300">
        <f>IF(Q300&lt;&gt;"",Q300,IF(N300&lt;&gt;"",ROUND(N300*(1+$B$2),0),""))</f>
        <v/>
      </c>
      <c r="S300">
        <f>IF(AND(N300&lt;&gt;"",Q300&lt;&gt;"",N300&lt;&gt;0),(Q300-N300)/N300,"")</f>
        <v/>
      </c>
      <c r="T300" t="inlineStr">
        <is>
          <t>2026</t>
        </is>
      </c>
      <c r="U300" t="inlineStr">
        <is>
          <t>MUI Istiqlal 2026</t>
        </is>
      </c>
      <c r="V300" t="inlineStr">
        <is>
          <t>Real-CE; Rp25rb/pax</t>
        </is>
      </c>
      <c r="X300" t="inlineStr">
        <is>
          <t>OK</t>
        </is>
      </c>
      <c r="Y300" t="inlineStr">
        <is>
          <t>pam personil kepolisian (bayar eo) | prs</t>
        </is>
      </c>
    </row>
    <row r="301">
      <c r="A301" t="n">
        <v>297</v>
      </c>
      <c r="B301" t="inlineStr">
        <is>
          <t>🕌 MUI EVENT DATA</t>
        </is>
      </c>
      <c r="C301" t="n">
        <v>4</v>
      </c>
      <c r="D301" t="inlineStr">
        <is>
          <t>MUI Real Cost</t>
        </is>
      </c>
      <c r="E301" t="inlineStr">
        <is>
          <t>MUI/EO</t>
        </is>
      </c>
      <c r="F301" t="inlineStr">
        <is>
          <t>Permit</t>
        </is>
      </c>
      <c r="H301" t="inlineStr">
        <is>
          <t>POLDA (bayar EO)</t>
        </is>
      </c>
      <c r="J301" t="inlineStr">
        <is>
          <t>pckg</t>
        </is>
      </c>
      <c r="K301" t="inlineStr">
        <is>
          <t>1</t>
        </is>
      </c>
      <c r="L301" t="n">
        <v>5000000</v>
      </c>
      <c r="M301" t="n">
        <v>5000000</v>
      </c>
      <c r="N301">
        <f>IF(COUNT(L301:M301)=0,"",AVERAGE(L301:M301))</f>
        <v/>
      </c>
      <c r="Q301">
        <f>IF(COUNT(O301:P301)=0,"",AVERAGE(O301:P301))</f>
        <v/>
      </c>
      <c r="R301">
        <f>IF(Q301&lt;&gt;"",Q301,IF(N301&lt;&gt;"",ROUND(N301*(1+$B$2),0),""))</f>
        <v/>
      </c>
      <c r="S301">
        <f>IF(AND(N301&lt;&gt;"",Q301&lt;&gt;"",N301&lt;&gt;0),(Q301-N301)/N301,"")</f>
        <v/>
      </c>
      <c r="T301" t="inlineStr">
        <is>
          <t>2026</t>
        </is>
      </c>
      <c r="U301" t="inlineStr">
        <is>
          <t>MUI Istiqlal 2026</t>
        </is>
      </c>
      <c r="V301" t="inlineStr">
        <is>
          <t>Real-CE MUI</t>
        </is>
      </c>
      <c r="X301" t="inlineStr">
        <is>
          <t>OK</t>
        </is>
      </c>
      <c r="Y301" t="inlineStr">
        <is>
          <t>polda (bayar eo) | pckg</t>
        </is>
      </c>
    </row>
    <row r="302">
      <c r="A302" t="n">
        <v>298</v>
      </c>
      <c r="B302" t="inlineStr">
        <is>
          <t>🕌 MUI EVENT DATA</t>
        </is>
      </c>
      <c r="C302" t="n">
        <v>8</v>
      </c>
      <c r="D302" t="inlineStr">
        <is>
          <t>MUI Real Cost</t>
        </is>
      </c>
      <c r="E302" t="inlineStr">
        <is>
          <t>MUI/EO</t>
        </is>
      </c>
      <c r="F302" t="inlineStr">
        <is>
          <t>Permit</t>
        </is>
      </c>
      <c r="H302" t="inlineStr">
        <is>
          <t>Parkir (Monas+Alderon+Senen+TransJ)</t>
        </is>
      </c>
      <c r="I302" t="inlineStr">
        <is>
          <t>bayar EO</t>
        </is>
      </c>
      <c r="J302" t="inlineStr">
        <is>
          <t>pckg</t>
        </is>
      </c>
      <c r="K302" t="inlineStr">
        <is>
          <t>1</t>
        </is>
      </c>
      <c r="L302" t="n">
        <v>15000000</v>
      </c>
      <c r="M302" t="n">
        <v>15000000</v>
      </c>
      <c r="N302">
        <f>IF(COUNT(L302:M302)=0,"",AVERAGE(L302:M302))</f>
        <v/>
      </c>
      <c r="Q302">
        <f>IF(COUNT(O302:P302)=0,"",AVERAGE(O302:P302))</f>
        <v/>
      </c>
      <c r="R302">
        <f>IF(Q302&lt;&gt;"",Q302,IF(N302&lt;&gt;"",ROUND(N302*(1+$B$2),0),""))</f>
        <v/>
      </c>
      <c r="S302">
        <f>IF(AND(N302&lt;&gt;"",Q302&lt;&gt;"",N302&lt;&gt;0),(Q302-N302)/N302,"")</f>
        <v/>
      </c>
      <c r="T302" t="inlineStr">
        <is>
          <t>2026</t>
        </is>
      </c>
      <c r="U302" t="inlineStr">
        <is>
          <t>MUI Istiqlal 2026</t>
        </is>
      </c>
      <c r="V302" t="inlineStr">
        <is>
          <t>Real-CE MUI</t>
        </is>
      </c>
      <c r="X302" t="inlineStr">
        <is>
          <t>OK</t>
        </is>
      </c>
      <c r="Y302" t="inlineStr">
        <is>
          <t>parkir (monas+alderon+senen+transj) | pckg</t>
        </is>
      </c>
    </row>
    <row r="303">
      <c r="A303" t="n">
        <v>299</v>
      </c>
      <c r="B303" t="inlineStr">
        <is>
          <t>📋 PO &amp; RFP DATA</t>
        </is>
      </c>
      <c r="C303" t="n">
        <v>22</v>
      </c>
      <c r="D303" t="inlineStr">
        <is>
          <t>PO/RFP HPP</t>
        </is>
      </c>
      <c r="E303" t="inlineStr">
        <is>
          <t>Vendor Photobooth</t>
        </is>
      </c>
      <c r="F303" t="inlineStr">
        <is>
          <t>Photobooth</t>
        </is>
      </c>
      <c r="H303" t="inlineStr">
        <is>
          <t>Frame Foto 4R</t>
        </is>
      </c>
      <c r="I303" t="inlineStr">
        <is>
          <t>per pax</t>
        </is>
      </c>
      <c r="J303" t="inlineStr">
        <is>
          <t>pax</t>
        </is>
      </c>
      <c r="K303" t="inlineStr">
        <is>
          <t>1</t>
        </is>
      </c>
      <c r="L303" t="n">
        <v>7000</v>
      </c>
      <c r="M303" t="n">
        <v>7000</v>
      </c>
      <c r="N303">
        <f>IF(COUNT(L303:M303)=0,"",AVERAGE(L303:M303))</f>
        <v/>
      </c>
      <c r="Q303">
        <f>IF(COUNT(O303:P303)=0,"",AVERAGE(O303:P303))</f>
        <v/>
      </c>
      <c r="R303">
        <f>IF(Q303&lt;&gt;"",Q303,IF(N303&lt;&gt;"",ROUND(N303*(1+$B$2),0),""))</f>
        <v/>
      </c>
      <c r="S303">
        <f>IF(AND(N303&lt;&gt;"",Q303&lt;&gt;"",N303&lt;&gt;0),(Q303-N303)/N303,"")</f>
        <v/>
      </c>
      <c r="T303" t="inlineStr">
        <is>
          <t>2025</t>
        </is>
      </c>
      <c r="U303" t="inlineStr">
        <is>
          <t>OCBC Disney Orchestra</t>
        </is>
      </c>
      <c r="V303" t="inlineStr">
        <is>
          <t>per lembar cetak</t>
        </is>
      </c>
      <c r="X303" t="inlineStr">
        <is>
          <t>OK</t>
        </is>
      </c>
      <c r="Y303" t="inlineStr">
        <is>
          <t>frame foto 4r | pax</t>
        </is>
      </c>
    </row>
    <row r="304">
      <c r="A304" t="n">
        <v>300</v>
      </c>
      <c r="B304" t="inlineStr">
        <is>
          <t>📋 PO &amp; RFP DATA</t>
        </is>
      </c>
      <c r="C304" t="n">
        <v>21</v>
      </c>
      <c r="D304" t="inlineStr">
        <is>
          <t>PO/RFP HPP</t>
        </is>
      </c>
      <c r="E304" t="inlineStr">
        <is>
          <t>Vendor Photobooth</t>
        </is>
      </c>
      <c r="F304" t="inlineStr">
        <is>
          <t>Photobooth</t>
        </is>
      </c>
      <c r="H304" t="inlineStr">
        <is>
          <t>Paket Photobooth (output 4R)</t>
        </is>
      </c>
      <c r="I304" t="inlineStr">
        <is>
          <t>per hari</t>
        </is>
      </c>
      <c r="J304" t="inlineStr">
        <is>
          <t>set/day</t>
        </is>
      </c>
      <c r="K304" t="inlineStr">
        <is>
          <t>1</t>
        </is>
      </c>
      <c r="L304" t="n">
        <v>4000000</v>
      </c>
      <c r="M304" t="n">
        <v>4000000</v>
      </c>
      <c r="N304">
        <f>IF(COUNT(L304:M304)=0,"",AVERAGE(L304:M304))</f>
        <v/>
      </c>
      <c r="Q304">
        <f>IF(COUNT(O304:P304)=0,"",AVERAGE(O304:P304))</f>
        <v/>
      </c>
      <c r="R304">
        <f>IF(Q304&lt;&gt;"",Q304,IF(N304&lt;&gt;"",ROUND(N304*(1+$B$2),0),""))</f>
        <v/>
      </c>
      <c r="S304">
        <f>IF(AND(N304&lt;&gt;"",Q304&lt;&gt;"",N304&lt;&gt;0),(Q304-N304)/N304,"")</f>
        <v/>
      </c>
      <c r="T304" t="inlineStr">
        <is>
          <t>2025</t>
        </is>
      </c>
      <c r="U304" t="inlineStr">
        <is>
          <t>OCBC Disney Orchestra</t>
        </is>
      </c>
      <c r="V304" t="inlineStr">
        <is>
          <t>PO Photobooth OCBC</t>
        </is>
      </c>
      <c r="X304" t="inlineStr">
        <is>
          <t>OK</t>
        </is>
      </c>
      <c r="Y304" t="inlineStr">
        <is>
          <t>paket photobooth (output 4r) | set/day</t>
        </is>
      </c>
    </row>
    <row r="305">
      <c r="A305" t="n">
        <v>301</v>
      </c>
      <c r="B305" t="inlineStr">
        <is>
          <t>📋 PO &amp; RFP DATA</t>
        </is>
      </c>
      <c r="C305" t="n">
        <v>79</v>
      </c>
      <c r="D305" t="inlineStr">
        <is>
          <t>PO/RFP HPP</t>
        </is>
      </c>
      <c r="E305" t="inlineStr">
        <is>
          <t>PT Multi Visual Kreasindo</t>
        </is>
      </c>
      <c r="F305" t="inlineStr">
        <is>
          <t>Print &amp; Branding</t>
        </is>
      </c>
      <c r="H305" t="inlineStr">
        <is>
          <t>Backdrop 4x2m flexy install on wall</t>
        </is>
      </c>
      <c r="J305" t="inlineStr">
        <is>
          <t>pckg</t>
        </is>
      </c>
      <c r="K305" t="inlineStr">
        <is>
          <t>1</t>
        </is>
      </c>
      <c r="L305" t="n">
        <v>1000000</v>
      </c>
      <c r="M305" t="n">
        <v>1000000</v>
      </c>
      <c r="N305">
        <f>IF(COUNT(L305:M305)=0,"",AVERAGE(L305:M305))</f>
        <v/>
      </c>
      <c r="Q305">
        <f>IF(COUNT(O305:P305)=0,"",AVERAGE(O305:P305))</f>
        <v/>
      </c>
      <c r="R305">
        <f>IF(Q305&lt;&gt;"",Q305,IF(N305&lt;&gt;"",ROUND(N305*(1+$B$2),0),""))</f>
        <v/>
      </c>
      <c r="S305">
        <f>IF(AND(N305&lt;&gt;"",Q305&lt;&gt;"",N305&lt;&gt;0),(Q305-N305)/N305,"")</f>
        <v/>
      </c>
      <c r="T305" t="inlineStr">
        <is>
          <t>2026</t>
        </is>
      </c>
      <c r="U305" t="inlineStr">
        <is>
          <t>PGN Safari Ramadan Bogor</t>
        </is>
      </c>
      <c r="X305" t="inlineStr">
        <is>
          <t>OK</t>
        </is>
      </c>
      <c r="Y305" t="inlineStr">
        <is>
          <t>backdrop 4x2m flexy install on wall | pckg</t>
        </is>
      </c>
    </row>
    <row r="306">
      <c r="A306" t="n">
        <v>302</v>
      </c>
      <c r="B306" t="inlineStr">
        <is>
          <t>📋 PO &amp; RFP DATA</t>
        </is>
      </c>
      <c r="C306" t="n">
        <v>52</v>
      </c>
      <c r="D306" t="inlineStr">
        <is>
          <t>PO/RFP HPP</t>
        </is>
      </c>
      <c r="E306" t="inlineStr">
        <is>
          <t>iPrinting Indonesia</t>
        </is>
      </c>
      <c r="F306" t="inlineStr">
        <is>
          <t>Print &amp; Branding</t>
        </is>
      </c>
      <c r="H306" t="inlineStr">
        <is>
          <t>Booklet Event (A5 art paper)</t>
        </is>
      </c>
      <c r="I306" t="inlineStr">
        <is>
          <t>per pcs</t>
        </is>
      </c>
      <c r="J306" t="inlineStr">
        <is>
          <t>pcs</t>
        </is>
      </c>
      <c r="K306" t="inlineStr">
        <is>
          <t>1</t>
        </is>
      </c>
      <c r="L306" t="n">
        <v>18500</v>
      </c>
      <c r="M306" t="n">
        <v>18500</v>
      </c>
      <c r="N306">
        <f>IF(COUNT(L306:M306)=0,"",AVERAGE(L306:M306))</f>
        <v/>
      </c>
      <c r="Q306">
        <f>IF(COUNT(O306:P306)=0,"",AVERAGE(O306:P306))</f>
        <v/>
      </c>
      <c r="R306">
        <f>IF(Q306&lt;&gt;"",Q306,IF(N306&lt;&gt;"",ROUND(N306*(1+$B$2),0),""))</f>
        <v/>
      </c>
      <c r="S306">
        <f>IF(AND(N306&lt;&gt;"",Q306&lt;&gt;"",N306&lt;&gt;0),(Q306-N306)/N306,"")</f>
        <v/>
      </c>
      <c r="T306" t="inlineStr">
        <is>
          <t>2026</t>
        </is>
      </c>
      <c r="U306" t="inlineStr">
        <is>
          <t>GAPEMPI Mandarin Oriental</t>
        </is>
      </c>
      <c r="V306" t="inlineStr">
        <is>
          <t>PO 012/JBBS/GAPEMPI/III/2026</t>
        </is>
      </c>
      <c r="X306" t="inlineStr">
        <is>
          <t>OK</t>
        </is>
      </c>
      <c r="Y306" t="inlineStr">
        <is>
          <t>booklet event (a5 art paper) | pcs</t>
        </is>
      </c>
    </row>
    <row r="307">
      <c r="A307" t="n">
        <v>303</v>
      </c>
      <c r="B307" t="inlineStr">
        <is>
          <t>📋 PO &amp; RFP DATA</t>
        </is>
      </c>
      <c r="C307" t="n">
        <v>41</v>
      </c>
      <c r="D307" t="inlineStr">
        <is>
          <t>PO/RFP HPP</t>
        </is>
      </c>
      <c r="E307" t="inlineStr">
        <is>
          <t>SG Production</t>
        </is>
      </c>
      <c r="F307" t="inlineStr">
        <is>
          <t>Print &amp; Branding</t>
        </is>
      </c>
      <c r="H307" t="inlineStr">
        <is>
          <t>Pemasangan Banner / Spanduk</t>
        </is>
      </c>
      <c r="I307" t="inlineStr">
        <is>
          <t>instalasi</t>
        </is>
      </c>
      <c r="J307" t="inlineStr">
        <is>
          <t>pckg</t>
        </is>
      </c>
      <c r="K307" t="inlineStr">
        <is>
          <t>1</t>
        </is>
      </c>
      <c r="L307" t="n">
        <v>150000</v>
      </c>
      <c r="M307" t="n">
        <v>150000</v>
      </c>
      <c r="N307">
        <f>IF(COUNT(L307:M307)=0,"",AVERAGE(L307:M307))</f>
        <v/>
      </c>
      <c r="Q307">
        <f>IF(COUNT(O307:P307)=0,"",AVERAGE(O307:P307))</f>
        <v/>
      </c>
      <c r="R307">
        <f>IF(Q307&lt;&gt;"",Q307,IF(N307&lt;&gt;"",ROUND(N307*(1+$B$2),0),""))</f>
        <v/>
      </c>
      <c r="S307">
        <f>IF(AND(N307&lt;&gt;"",Q307&lt;&gt;"",N307&lt;&gt;0),(Q307-N307)/N307,"")</f>
        <v/>
      </c>
      <c r="T307" t="inlineStr">
        <is>
          <t>2026</t>
        </is>
      </c>
      <c r="U307" t="inlineStr">
        <is>
          <t>GAPEMPI Mandarin Oriental</t>
        </is>
      </c>
      <c r="V307" t="inlineStr">
        <is>
          <t>PO 015/JBBS/GAPEMPI/III/2026</t>
        </is>
      </c>
      <c r="X307" t="inlineStr">
        <is>
          <t>OK</t>
        </is>
      </c>
      <c r="Y307" t="inlineStr">
        <is>
          <t>pemasangan banner / spanduk | pckg</t>
        </is>
      </c>
    </row>
    <row r="308">
      <c r="A308" t="n">
        <v>304</v>
      </c>
      <c r="B308" t="inlineStr">
        <is>
          <t>📋 PO &amp; RFP DATA</t>
        </is>
      </c>
      <c r="C308" t="n">
        <v>78</v>
      </c>
      <c r="D308" t="inlineStr">
        <is>
          <t>PO/RFP HPP</t>
        </is>
      </c>
      <c r="E308" t="inlineStr">
        <is>
          <t>PT Multi Visual Kreasindo</t>
        </is>
      </c>
      <c r="F308" t="inlineStr">
        <is>
          <t>Print &amp; Branding</t>
        </is>
      </c>
      <c r="H308" t="inlineStr">
        <is>
          <t>Spanduk 2x1m incl. install</t>
        </is>
      </c>
      <c r="J308" t="inlineStr">
        <is>
          <t>unit</t>
        </is>
      </c>
      <c r="K308" t="inlineStr">
        <is>
          <t>1</t>
        </is>
      </c>
      <c r="L308" t="n">
        <v>300000</v>
      </c>
      <c r="M308" t="n">
        <v>300000</v>
      </c>
      <c r="N308">
        <f>IF(COUNT(L308:M308)=0,"",AVERAGE(L308:M308))</f>
        <v/>
      </c>
      <c r="Q308">
        <f>IF(COUNT(O308:P308)=0,"",AVERAGE(O308:P308))</f>
        <v/>
      </c>
      <c r="R308">
        <f>IF(Q308&lt;&gt;"",Q308,IF(N308&lt;&gt;"",ROUND(N308*(1+$B$2),0),""))</f>
        <v/>
      </c>
      <c r="S308">
        <f>IF(AND(N308&lt;&gt;"",Q308&lt;&gt;"",N308&lt;&gt;0),(Q308-N308)/N308,"")</f>
        <v/>
      </c>
      <c r="T308" t="inlineStr">
        <is>
          <t>2026</t>
        </is>
      </c>
      <c r="U308" t="inlineStr">
        <is>
          <t>PGN Safari Ramadan Bogor</t>
        </is>
      </c>
      <c r="X308" t="inlineStr">
        <is>
          <t>OK</t>
        </is>
      </c>
      <c r="Y308" t="inlineStr">
        <is>
          <t>spanduk 2x1m incl. install | unit</t>
        </is>
      </c>
    </row>
    <row r="309">
      <c r="A309" t="n">
        <v>305</v>
      </c>
      <c r="B309" t="inlineStr">
        <is>
          <t>📋 PO &amp; RFP DATA</t>
        </is>
      </c>
      <c r="C309" t="n">
        <v>40</v>
      </c>
      <c r="D309" t="inlineStr">
        <is>
          <t>PO/RFP HPP</t>
        </is>
      </c>
      <c r="E309" t="inlineStr">
        <is>
          <t>SG Production</t>
        </is>
      </c>
      <c r="F309" t="inlineStr">
        <is>
          <t>Print &amp; Branding</t>
        </is>
      </c>
      <c r="H309" t="inlineStr">
        <is>
          <t>T-Banner 1x3 meter</t>
        </is>
      </c>
      <c r="J309" t="inlineStr">
        <is>
          <t>unit</t>
        </is>
      </c>
      <c r="K309" t="inlineStr">
        <is>
          <t>10</t>
        </is>
      </c>
      <c r="L309" t="n">
        <v>275000</v>
      </c>
      <c r="M309" t="n">
        <v>275000</v>
      </c>
      <c r="N309">
        <f>IF(COUNT(L309:M309)=0,"",AVERAGE(L309:M309))</f>
        <v/>
      </c>
      <c r="Q309">
        <f>IF(COUNT(O309:P309)=0,"",AVERAGE(O309:P309))</f>
        <v/>
      </c>
      <c r="R309">
        <f>IF(Q309&lt;&gt;"",Q309,IF(N309&lt;&gt;"",ROUND(N309*(1+$B$2),0),""))</f>
        <v/>
      </c>
      <c r="S309">
        <f>IF(AND(N309&lt;&gt;"",Q309&lt;&gt;"",N309&lt;&gt;0),(Q309-N309)/N309,"")</f>
        <v/>
      </c>
      <c r="T309" t="inlineStr">
        <is>
          <t>2026</t>
        </is>
      </c>
      <c r="U309" t="inlineStr">
        <is>
          <t>GAPEMPI Mandarin Oriental</t>
        </is>
      </c>
      <c r="V309" t="inlineStr">
        <is>
          <t>PO 006/JBBS/GAPEMPI/III/2026; per unit</t>
        </is>
      </c>
      <c r="X309" t="inlineStr">
        <is>
          <t>OK</t>
        </is>
      </c>
      <c r="Y309" t="inlineStr">
        <is>
          <t>t-banner 1x3 meter | unit</t>
        </is>
      </c>
    </row>
    <row r="310">
      <c r="A310" t="n">
        <v>306</v>
      </c>
      <c r="B310" t="inlineStr">
        <is>
          <t>💰 HPP VENDOR</t>
        </is>
      </c>
      <c r="C310" t="n">
        <v>8</v>
      </c>
      <c r="D310" t="inlineStr">
        <is>
          <t>Vendor HPP</t>
        </is>
      </c>
      <c r="E310" t="inlineStr">
        <is>
          <t>Dinamix Production</t>
        </is>
      </c>
      <c r="F310" t="inlineStr">
        <is>
          <t>Production</t>
        </is>
      </c>
      <c r="H310" t="inlineStr">
        <is>
          <t>Backdrop Digital Printing 300x600cm</t>
        </is>
      </c>
      <c r="I310" t="inlineStr">
        <is>
          <t>tanpa rangka</t>
        </is>
      </c>
      <c r="J310" t="inlineStr">
        <is>
          <t>package</t>
        </is>
      </c>
      <c r="K310" t="inlineStr">
        <is>
          <t>1</t>
        </is>
      </c>
      <c r="L310" t="n">
        <v>750000</v>
      </c>
      <c r="M310" t="n">
        <v>750000</v>
      </c>
      <c r="N310">
        <f>IF(COUNT(L310:M310)=0,"",AVERAGE(L310:M310))</f>
        <v/>
      </c>
      <c r="Q310">
        <f>IF(COUNT(O310:P310)=0,"",AVERAGE(O310:P310))</f>
        <v/>
      </c>
      <c r="R310">
        <f>IF(Q310&lt;&gt;"",Q310,IF(N310&lt;&gt;"",ROUND(N310*(1+$B$2),0),""))</f>
        <v/>
      </c>
      <c r="S310">
        <f>IF(AND(N310&lt;&gt;"",Q310&lt;&gt;"",N310&lt;&gt;0),(Q310-N310)/N310,"")</f>
        <v/>
      </c>
      <c r="T310" t="inlineStr">
        <is>
          <t>2025</t>
        </is>
      </c>
      <c r="U310" t="inlineStr">
        <is>
          <t>Sunpride Bandung</t>
        </is>
      </c>
      <c r="V310" t="inlineStr">
        <is>
          <t>HPP Vendor</t>
        </is>
      </c>
      <c r="X310" t="inlineStr">
        <is>
          <t>OK</t>
        </is>
      </c>
      <c r="Y310" t="inlineStr">
        <is>
          <t>backdrop digital printing 300x600cm | package</t>
        </is>
      </c>
    </row>
    <row r="311">
      <c r="A311" t="n">
        <v>307</v>
      </c>
      <c r="B311" t="inlineStr">
        <is>
          <t>💰 HPP VENDOR</t>
        </is>
      </c>
      <c r="C311" t="n">
        <v>5</v>
      </c>
      <c r="D311" t="inlineStr">
        <is>
          <t>Vendor HPP</t>
        </is>
      </c>
      <c r="E311" t="inlineStr">
        <is>
          <t>Dinamix Production</t>
        </is>
      </c>
      <c r="F311" t="inlineStr">
        <is>
          <t>Production</t>
        </is>
      </c>
      <c r="H311" t="inlineStr">
        <is>
          <t>Genset 60 KVA</t>
        </is>
      </c>
      <c r="J311" t="inlineStr">
        <is>
          <t>package</t>
        </is>
      </c>
      <c r="K311" t="inlineStr">
        <is>
          <t>1</t>
        </is>
      </c>
      <c r="L311" t="n">
        <v>2750000</v>
      </c>
      <c r="M311" t="n">
        <v>2750000</v>
      </c>
      <c r="N311">
        <f>IF(COUNT(L311:M311)=0,"",AVERAGE(L311:M311))</f>
        <v/>
      </c>
      <c r="Q311">
        <f>IF(COUNT(O311:P311)=0,"",AVERAGE(O311:P311))</f>
        <v/>
      </c>
      <c r="R311">
        <f>IF(Q311&lt;&gt;"",Q311,IF(N311&lt;&gt;"",ROUND(N311*(1+$B$2),0),""))</f>
        <v/>
      </c>
      <c r="S311">
        <f>IF(AND(N311&lt;&gt;"",Q311&lt;&gt;"",N311&lt;&gt;0),(Q311-N311)/N311,"")</f>
        <v/>
      </c>
      <c r="T311" t="inlineStr">
        <is>
          <t>2025</t>
        </is>
      </c>
      <c r="U311" t="inlineStr">
        <is>
          <t>Sunpride Musim Buahagia Bandung</t>
        </is>
      </c>
      <c r="V311" t="inlineStr">
        <is>
          <t>HPP Vendor</t>
        </is>
      </c>
      <c r="X311" t="inlineStr">
        <is>
          <t>OK</t>
        </is>
      </c>
      <c r="Y311" t="inlineStr">
        <is>
          <t>genset 60 kva | package</t>
        </is>
      </c>
    </row>
    <row r="312">
      <c r="A312" t="n">
        <v>308</v>
      </c>
      <c r="B312" t="inlineStr">
        <is>
          <t>💰 HPP VENDOR</t>
        </is>
      </c>
      <c r="C312" t="n">
        <v>7</v>
      </c>
      <c r="D312" t="inlineStr">
        <is>
          <t>Vendor HPP</t>
        </is>
      </c>
      <c r="E312" t="inlineStr">
        <is>
          <t>Dinamix Production</t>
        </is>
      </c>
      <c r="F312" t="inlineStr">
        <is>
          <t>Production</t>
        </is>
      </c>
      <c r="H312" t="inlineStr">
        <is>
          <t>Lighting System</t>
        </is>
      </c>
      <c r="I312" t="inlineStr">
        <is>
          <t>paket standard</t>
        </is>
      </c>
      <c r="J312" t="inlineStr">
        <is>
          <t>package</t>
        </is>
      </c>
      <c r="K312" t="inlineStr">
        <is>
          <t>1</t>
        </is>
      </c>
      <c r="L312" t="n">
        <v>4500000</v>
      </c>
      <c r="M312" t="n">
        <v>4500000</v>
      </c>
      <c r="N312">
        <f>IF(COUNT(L312:M312)=0,"",AVERAGE(L312:M312))</f>
        <v/>
      </c>
      <c r="Q312">
        <f>IF(COUNT(O312:P312)=0,"",AVERAGE(O312:P312))</f>
        <v/>
      </c>
      <c r="R312">
        <f>IF(Q312&lt;&gt;"",Q312,IF(N312&lt;&gt;"",ROUND(N312*(1+$B$2),0),""))</f>
        <v/>
      </c>
      <c r="S312">
        <f>IF(AND(N312&lt;&gt;"",Q312&lt;&gt;"",N312&lt;&gt;0),(Q312-N312)/N312,"")</f>
        <v/>
      </c>
      <c r="T312" t="inlineStr">
        <is>
          <t>2025</t>
        </is>
      </c>
      <c r="U312" t="inlineStr">
        <is>
          <t>Sunpride Bandung</t>
        </is>
      </c>
      <c r="V312" t="inlineStr">
        <is>
          <t>HPP Vendor</t>
        </is>
      </c>
      <c r="X312" t="inlineStr">
        <is>
          <t>OK</t>
        </is>
      </c>
      <c r="Y312" t="inlineStr">
        <is>
          <t>lighting system | package</t>
        </is>
      </c>
    </row>
    <row r="313">
      <c r="A313" t="n">
        <v>309</v>
      </c>
      <c r="B313" t="inlineStr">
        <is>
          <t>💰 HPP VENDOR</t>
        </is>
      </c>
      <c r="C313" t="n">
        <v>4</v>
      </c>
      <c r="D313" t="inlineStr">
        <is>
          <t>Vendor HPP</t>
        </is>
      </c>
      <c r="E313" t="inlineStr">
        <is>
          <t>Dinamix Production</t>
        </is>
      </c>
      <c r="F313" t="inlineStr">
        <is>
          <t>Production</t>
        </is>
      </c>
      <c r="H313" t="inlineStr">
        <is>
          <t>Sound System 5.000W + Set Band</t>
        </is>
      </c>
      <c r="I313" t="inlineStr">
        <is>
          <t>Capacity 5.000 watt incl. band gear</t>
        </is>
      </c>
      <c r="J313" t="inlineStr">
        <is>
          <t>package</t>
        </is>
      </c>
      <c r="K313" t="inlineStr">
        <is>
          <t>1</t>
        </is>
      </c>
      <c r="L313" t="n">
        <v>3500000</v>
      </c>
      <c r="M313" t="n">
        <v>3500000</v>
      </c>
      <c r="N313">
        <f>IF(COUNT(L313:M313)=0,"",AVERAGE(L313:M313))</f>
        <v/>
      </c>
      <c r="Q313">
        <f>IF(COUNT(O313:P313)=0,"",AVERAGE(O313:P313))</f>
        <v/>
      </c>
      <c r="R313">
        <f>IF(Q313&lt;&gt;"",Q313,IF(N313&lt;&gt;"",ROUND(N313*(1+$B$2),0),""))</f>
        <v/>
      </c>
      <c r="S313">
        <f>IF(AND(N313&lt;&gt;"",Q313&lt;&gt;"",N313&lt;&gt;0),(Q313-N313)/N313,"")</f>
        <v/>
      </c>
      <c r="T313" t="inlineStr">
        <is>
          <t>2025</t>
        </is>
      </c>
      <c r="U313" t="inlineStr">
        <is>
          <t>Sunpride Musim Buahagia Bandung</t>
        </is>
      </c>
      <c r="V313" t="inlineStr">
        <is>
          <t>HPP Vendor</t>
        </is>
      </c>
      <c r="W313" t="inlineStr">
        <is>
          <t>PO JBBS 160/2025</t>
        </is>
      </c>
      <c r="X313" t="inlineStr">
        <is>
          <t>OK</t>
        </is>
      </c>
      <c r="Y313" t="inlineStr">
        <is>
          <t>sound system 5.000w + set band | package</t>
        </is>
      </c>
    </row>
    <row r="314">
      <c r="A314" t="n">
        <v>310</v>
      </c>
      <c r="B314" t="inlineStr">
        <is>
          <t>💰 HPP VENDOR</t>
        </is>
      </c>
      <c r="C314" t="n">
        <v>6</v>
      </c>
      <c r="D314" t="inlineStr">
        <is>
          <t>Vendor HPP</t>
        </is>
      </c>
      <c r="E314" t="inlineStr">
        <is>
          <t>Dinamix Production</t>
        </is>
      </c>
      <c r="F314" t="inlineStr">
        <is>
          <t>Production</t>
        </is>
      </c>
      <c r="H314" t="inlineStr">
        <is>
          <t>Stage 4x6m + Fascia</t>
        </is>
      </c>
      <c r="I314" t="inlineStr">
        <is>
          <t>incl. header event logo</t>
        </is>
      </c>
      <c r="J314" t="inlineStr">
        <is>
          <t>package</t>
        </is>
      </c>
      <c r="K314" t="inlineStr">
        <is>
          <t>1</t>
        </is>
      </c>
      <c r="L314" t="n">
        <v>4000000</v>
      </c>
      <c r="M314" t="n">
        <v>4000000</v>
      </c>
      <c r="N314">
        <f>IF(COUNT(L314:M314)=0,"",AVERAGE(L314:M314))</f>
        <v/>
      </c>
      <c r="Q314">
        <f>IF(COUNT(O314:P314)=0,"",AVERAGE(O314:P314))</f>
        <v/>
      </c>
      <c r="R314">
        <f>IF(Q314&lt;&gt;"",Q314,IF(N314&lt;&gt;"",ROUND(N314*(1+$B$2),0),""))</f>
        <v/>
      </c>
      <c r="S314">
        <f>IF(AND(N314&lt;&gt;"",Q314&lt;&gt;"",N314&lt;&gt;0),(Q314-N314)/N314,"")</f>
        <v/>
      </c>
      <c r="T314" t="inlineStr">
        <is>
          <t>2025</t>
        </is>
      </c>
      <c r="U314" t="inlineStr">
        <is>
          <t>Sunpride Bandung</t>
        </is>
      </c>
      <c r="V314" t="inlineStr">
        <is>
          <t>HPP Vendor</t>
        </is>
      </c>
      <c r="X314" t="inlineStr">
        <is>
          <t>OK</t>
        </is>
      </c>
      <c r="Y314" t="inlineStr">
        <is>
          <t>stage 4x6m + fascia | package</t>
        </is>
      </c>
    </row>
    <row r="315">
      <c r="A315" t="n">
        <v>311</v>
      </c>
      <c r="B315" t="inlineStr">
        <is>
          <t>🕌 MUI EVENT DATA</t>
        </is>
      </c>
      <c r="C315" t="n">
        <v>143</v>
      </c>
      <c r="D315" t="inlineStr">
        <is>
          <t>MUI Real Cost</t>
        </is>
      </c>
      <c r="E315" t="inlineStr">
        <is>
          <t>KOBINDO</t>
        </is>
      </c>
      <c r="F315" t="inlineStr">
        <is>
          <t>Produksi</t>
        </is>
      </c>
      <c r="H315" t="inlineStr">
        <is>
          <t>DP Addcost Produksi KOBINDO</t>
        </is>
      </c>
      <c r="I315" t="inlineStr">
        <is>
          <t>addcost produksi</t>
        </is>
      </c>
      <c r="J315" t="inlineStr">
        <is>
          <t>pckg</t>
        </is>
      </c>
      <c r="K315" t="inlineStr">
        <is>
          <t>1</t>
        </is>
      </c>
      <c r="L315" t="n">
        <v>30135000</v>
      </c>
      <c r="M315" t="n">
        <v>30135000</v>
      </c>
      <c r="N315">
        <f>IF(COUNT(L315:M315)=0,"",AVERAGE(L315:M315))</f>
        <v/>
      </c>
      <c r="Q315">
        <f>IF(COUNT(O315:P315)=0,"",AVERAGE(O315:P315))</f>
        <v/>
      </c>
      <c r="R315">
        <f>IF(Q315&lt;&gt;"",Q315,IF(N315&lt;&gt;"",ROUND(N315*(1+$B$2),0),""))</f>
        <v/>
      </c>
      <c r="S315">
        <f>IF(AND(N315&lt;&gt;"",Q315&lt;&gt;"",N315&lt;&gt;0),(Q315-N315)/N315,"")</f>
        <v/>
      </c>
      <c r="T315" t="inlineStr">
        <is>
          <t>2026</t>
        </is>
      </c>
      <c r="U315" t="inlineStr">
        <is>
          <t>MUI Istiqlal 2026</t>
        </is>
      </c>
      <c r="V315" t="inlineStr">
        <is>
          <t>RFP MUI.xlsx mutation</t>
        </is>
      </c>
      <c r="X315" t="inlineStr">
        <is>
          <t>OK</t>
        </is>
      </c>
      <c r="Y315" t="inlineStr">
        <is>
          <t>dp addcost produksi kobindo | pckg</t>
        </is>
      </c>
    </row>
    <row r="316">
      <c r="A316" t="n">
        <v>312</v>
      </c>
      <c r="B316" t="inlineStr">
        <is>
          <t>🕌 MUI EVENT DATA</t>
        </is>
      </c>
      <c r="C316" t="n">
        <v>142</v>
      </c>
      <c r="D316" t="inlineStr">
        <is>
          <t>MUI Real Cost</t>
        </is>
      </c>
      <c r="E316" t="inlineStr">
        <is>
          <t>Asamulti</t>
        </is>
      </c>
      <c r="F316" t="inlineStr">
        <is>
          <t>Produksi</t>
        </is>
      </c>
      <c r="H316" t="inlineStr">
        <is>
          <t>DP Produksi Asamulti</t>
        </is>
      </c>
      <c r="J316" t="inlineStr">
        <is>
          <t>pckg</t>
        </is>
      </c>
      <c r="K316" t="inlineStr">
        <is>
          <t>1</t>
        </is>
      </c>
      <c r="L316" t="n">
        <v>42925000</v>
      </c>
      <c r="M316" t="n">
        <v>42925000</v>
      </c>
      <c r="N316">
        <f>IF(COUNT(L316:M316)=0,"",AVERAGE(L316:M316))</f>
        <v/>
      </c>
      <c r="Q316">
        <f>IF(COUNT(O316:P316)=0,"",AVERAGE(O316:P316))</f>
        <v/>
      </c>
      <c r="R316">
        <f>IF(Q316&lt;&gt;"",Q316,IF(N316&lt;&gt;"",ROUND(N316*(1+$B$2),0),""))</f>
        <v/>
      </c>
      <c r="S316">
        <f>IF(AND(N316&lt;&gt;"",Q316&lt;&gt;"",N316&lt;&gt;0),(Q316-N316)/N316,"")</f>
        <v/>
      </c>
      <c r="T316" t="inlineStr">
        <is>
          <t>2026</t>
        </is>
      </c>
      <c r="U316" t="inlineStr">
        <is>
          <t>MUI Istiqlal 2026</t>
        </is>
      </c>
      <c r="V316" t="inlineStr">
        <is>
          <t>RFP MUI.xlsx mutation</t>
        </is>
      </c>
      <c r="X316" t="inlineStr">
        <is>
          <t>OK</t>
        </is>
      </c>
      <c r="Y316" t="inlineStr">
        <is>
          <t>dp produksi asamulti | pckg</t>
        </is>
      </c>
    </row>
    <row r="317">
      <c r="A317" t="n">
        <v>313</v>
      </c>
      <c r="B317" t="inlineStr">
        <is>
          <t>🕌 MUI EVENT DATA</t>
        </is>
      </c>
      <c r="C317" t="n">
        <v>141</v>
      </c>
      <c r="D317" t="inlineStr">
        <is>
          <t>MUI Real Cost</t>
        </is>
      </c>
      <c r="E317" t="inlineStr">
        <is>
          <t>KARINDO</t>
        </is>
      </c>
      <c r="F317" t="inlineStr">
        <is>
          <t>Produksi</t>
        </is>
      </c>
      <c r="H317" t="inlineStr">
        <is>
          <t>DP Produksi KARINDO</t>
        </is>
      </c>
      <c r="I317" t="inlineStr">
        <is>
          <t>stage/produksi</t>
        </is>
      </c>
      <c r="J317" t="inlineStr">
        <is>
          <t>pckg</t>
        </is>
      </c>
      <c r="K317" t="inlineStr">
        <is>
          <t>1</t>
        </is>
      </c>
      <c r="L317" t="n">
        <v>75000000</v>
      </c>
      <c r="M317" t="n">
        <v>75000000</v>
      </c>
      <c r="N317">
        <f>IF(COUNT(L317:M317)=0,"",AVERAGE(L317:M317))</f>
        <v/>
      </c>
      <c r="Q317">
        <f>IF(COUNT(O317:P317)=0,"",AVERAGE(O317:P317))</f>
        <v/>
      </c>
      <c r="R317">
        <f>IF(Q317&lt;&gt;"",Q317,IF(N317&lt;&gt;"",ROUND(N317*(1+$B$2),0),""))</f>
        <v/>
      </c>
      <c r="S317">
        <f>IF(AND(N317&lt;&gt;"",Q317&lt;&gt;"",N317&lt;&gt;0),(Q317-N317)/N317,"")</f>
        <v/>
      </c>
      <c r="T317" t="inlineStr">
        <is>
          <t>2026</t>
        </is>
      </c>
      <c r="U317" t="inlineStr">
        <is>
          <t>MUI Istiqlal 2026</t>
        </is>
      </c>
      <c r="V317" t="inlineStr">
        <is>
          <t>RFP MUI.xlsx mutation</t>
        </is>
      </c>
      <c r="X317" t="inlineStr">
        <is>
          <t>OK</t>
        </is>
      </c>
      <c r="Y317" t="inlineStr">
        <is>
          <t>dp produksi karindo | pckg</t>
        </is>
      </c>
    </row>
    <row r="318">
      <c r="A318" t="n">
        <v>314</v>
      </c>
      <c r="B318" t="inlineStr">
        <is>
          <t>💰 HPP VENDOR</t>
        </is>
      </c>
      <c r="C318" t="n">
        <v>46</v>
      </c>
      <c r="D318" t="inlineStr">
        <is>
          <t>Vendor HPP</t>
        </is>
      </c>
      <c r="E318" t="inlineStr">
        <is>
          <t>Arta Advertising</t>
        </is>
      </c>
      <c r="F318" t="inlineStr">
        <is>
          <t>Produksi Cetak</t>
        </is>
      </c>
      <c r="H318" t="inlineStr">
        <is>
          <t>Plakat / Trophy Event</t>
        </is>
      </c>
      <c r="J318" t="inlineStr">
        <is>
          <t>unit</t>
        </is>
      </c>
      <c r="K318" t="inlineStr">
        <is>
          <t>1</t>
        </is>
      </c>
      <c r="L318" t="n">
        <v>1100000</v>
      </c>
      <c r="M318" t="n">
        <v>1100000</v>
      </c>
      <c r="N318">
        <f>IF(COUNT(L318:M318)=0,"",AVERAGE(L318:M318))</f>
        <v/>
      </c>
      <c r="Q318">
        <f>IF(COUNT(O318:P318)=0,"",AVERAGE(O318:P318))</f>
        <v/>
      </c>
      <c r="R318">
        <f>IF(Q318&lt;&gt;"",Q318,IF(N318&lt;&gt;"",ROUND(N318*(1+$B$2),0),""))</f>
        <v/>
      </c>
      <c r="S318">
        <f>IF(AND(N318&lt;&gt;"",Q318&lt;&gt;"",N318&lt;&gt;0),(Q318-N318)/N318,"")</f>
        <v/>
      </c>
      <c r="T318" t="inlineStr">
        <is>
          <t>2026</t>
        </is>
      </c>
      <c r="U318" t="inlineStr">
        <is>
          <t>GEPEMPI 2026</t>
        </is>
      </c>
      <c r="V318" t="inlineStr">
        <is>
          <t>HPP Vendor</t>
        </is>
      </c>
      <c r="W318" t="inlineStr">
        <is>
          <t>INV-789-2026-a233</t>
        </is>
      </c>
      <c r="X318" t="inlineStr">
        <is>
          <t>OK</t>
        </is>
      </c>
      <c r="Y318" t="inlineStr">
        <is>
          <t>plakat / trophy event | unit</t>
        </is>
      </c>
    </row>
    <row r="319">
      <c r="A319" t="n">
        <v>315</v>
      </c>
      <c r="B319" t="inlineStr">
        <is>
          <t>📋 PO &amp; RFP DATA</t>
        </is>
      </c>
      <c r="C319" t="n">
        <v>84</v>
      </c>
      <c r="D319" t="inlineStr">
        <is>
          <t>PO/RFP HPP</t>
        </is>
      </c>
      <c r="E319" t="inlineStr">
        <is>
          <t>InJourney / Client RFP</t>
        </is>
      </c>
      <c r="F319" t="inlineStr">
        <is>
          <t>RFP Client</t>
        </is>
      </c>
      <c r="H319" t="inlineStr">
        <is>
          <t>RFP Audience Flow Management, Ticketing &amp; Crowd Control F1H2O 2023</t>
        </is>
      </c>
      <c r="I319" t="inlineStr">
        <is>
          <t>Penyelenggaraan F1H2O Tahun 2023</t>
        </is>
      </c>
      <c r="J319" t="inlineStr">
        <is>
          <t>event</t>
        </is>
      </c>
      <c r="K319" t="inlineStr">
        <is>
          <t>1</t>
        </is>
      </c>
      <c r="L319" t="n">
        <v>0</v>
      </c>
      <c r="M319" t="n">
        <v>0</v>
      </c>
      <c r="N319">
        <f>IF(COUNT(L319:M319)=0,"",AVERAGE(L319:M319))</f>
        <v/>
      </c>
      <c r="Q319">
        <f>IF(COUNT(O319:P319)=0,"",AVERAGE(O319:P319))</f>
        <v/>
      </c>
      <c r="R319">
        <f>IF(Q319&lt;&gt;"",Q319,IF(N319&lt;&gt;"",ROUND(N319*(1+$B$2),0),""))</f>
        <v/>
      </c>
      <c r="S319">
        <f>IF(AND(N319&lt;&gt;"",Q319&lt;&gt;"",N319&lt;&gt;0),(Q319-N319)/N319,"")</f>
        <v/>
      </c>
      <c r="T319" t="inlineStr">
        <is>
          <t>2023</t>
        </is>
      </c>
      <c r="U319" t="inlineStr">
        <is>
          <t>F1H2O InJourney 2023</t>
        </is>
      </c>
      <c r="V319" t="inlineStr">
        <is>
          <t>Surat Dinas INJ.06.02.03/23/01/2023/A.0546</t>
        </is>
      </c>
      <c r="X319" t="inlineStr">
        <is>
          <t>Zero HPP - review</t>
        </is>
      </c>
      <c r="Y319" t="inlineStr">
        <is>
          <t>rfp audience flow management, ticketing &amp; crowd control f1h2o 2023 | event</t>
        </is>
      </c>
    </row>
    <row r="320">
      <c r="A320" t="n">
        <v>316</v>
      </c>
      <c r="B320" t="inlineStr">
        <is>
          <t>📋 PO &amp; RFP DATA</t>
        </is>
      </c>
      <c r="C320" t="n">
        <v>83</v>
      </c>
      <c r="D320" t="inlineStr">
        <is>
          <t>PO/RFP HPP</t>
        </is>
      </c>
      <c r="E320" t="inlineStr">
        <is>
          <t>Takeda / Client RFP</t>
        </is>
      </c>
      <c r="F320" t="inlineStr">
        <is>
          <t>RFP Client</t>
        </is>
      </c>
      <c r="H320" t="inlineStr">
        <is>
          <t>RFP Takeda National Conference 2024</t>
        </is>
      </c>
      <c r="I320" t="inlineStr">
        <is>
          <t>161 peserta, Bali 5-8 Mei 2024, hotel bintang 4-5, CSR, team building</t>
        </is>
      </c>
      <c r="J320" t="inlineStr">
        <is>
          <t>event</t>
        </is>
      </c>
      <c r="K320" t="inlineStr">
        <is>
          <t>1</t>
        </is>
      </c>
      <c r="L320" t="n">
        <v>0</v>
      </c>
      <c r="M320" t="n">
        <v>0</v>
      </c>
      <c r="N320">
        <f>IF(COUNT(L320:M320)=0,"",AVERAGE(L320:M320))</f>
        <v/>
      </c>
      <c r="Q320">
        <f>IF(COUNT(O320:P320)=0,"",AVERAGE(O320:P320))</f>
        <v/>
      </c>
      <c r="R320">
        <f>IF(Q320&lt;&gt;"",Q320,IF(N320&lt;&gt;"",ROUND(N320*(1+$B$2),0),""))</f>
        <v/>
      </c>
      <c r="S320">
        <f>IF(AND(N320&lt;&gt;"",Q320&lt;&gt;"",N320&lt;&gt;0),(Q320-N320)/N320,"")</f>
        <v/>
      </c>
      <c r="T320" t="inlineStr">
        <is>
          <t>2024</t>
        </is>
      </c>
      <c r="U320" t="inlineStr">
        <is>
          <t>Takeda National Conference 2024</t>
        </is>
      </c>
      <c r="V320" t="inlineStr">
        <is>
          <t>TNC_2024_RFP.xlsx; tidak ada budget, hanya scope</t>
        </is>
      </c>
      <c r="X320" t="inlineStr">
        <is>
          <t>Zero HPP - review</t>
        </is>
      </c>
      <c r="Y320" t="inlineStr">
        <is>
          <t>rfp takeda national conference 2024 | event</t>
        </is>
      </c>
    </row>
    <row r="321">
      <c r="A321" t="n">
        <v>317</v>
      </c>
      <c r="B321" t="inlineStr">
        <is>
          <t>📋 PO &amp; RFP DATA</t>
        </is>
      </c>
      <c r="C321" t="n">
        <v>20</v>
      </c>
      <c r="D321" t="inlineStr">
        <is>
          <t>PO/RFP HPP</t>
        </is>
      </c>
      <c r="E321" t="inlineStr">
        <is>
          <t>Riders Talent</t>
        </is>
      </c>
      <c r="F321" t="inlineStr">
        <is>
          <t>Riders Talent</t>
        </is>
      </c>
      <c r="H321" t="inlineStr">
        <is>
          <t>Car Production untuk Talent</t>
        </is>
      </c>
      <c r="I321" t="inlineStr">
        <is>
          <t>1 unit per event</t>
        </is>
      </c>
      <c r="J321" t="inlineStr">
        <is>
          <t>unit/event</t>
        </is>
      </c>
      <c r="K321" t="inlineStr">
        <is>
          <t>1</t>
        </is>
      </c>
      <c r="L321" t="n">
        <v>3500000</v>
      </c>
      <c r="M321" t="n">
        <v>3500000</v>
      </c>
      <c r="N321">
        <f>IF(COUNT(L321:M321)=0,"",AVERAGE(L321:M321))</f>
        <v/>
      </c>
      <c r="Q321">
        <f>IF(COUNT(O321:P321)=0,"",AVERAGE(O321:P321))</f>
        <v/>
      </c>
      <c r="R321">
        <f>IF(Q321&lt;&gt;"",Q321,IF(N321&lt;&gt;"",ROUND(N321*(1+$B$2),0),""))</f>
        <v/>
      </c>
      <c r="S321">
        <f>IF(AND(N321&lt;&gt;"",Q321&lt;&gt;"",N321&lt;&gt;0),(Q321-N321)/N321,"")</f>
        <v/>
      </c>
      <c r="T321" t="inlineStr">
        <is>
          <t>2025</t>
        </is>
      </c>
      <c r="U321" t="inlineStr">
        <is>
          <t>OCBC Disney Orchestra</t>
        </is>
      </c>
      <c r="V321" t="inlineStr">
        <is>
          <t>PO Riders BCL</t>
        </is>
      </c>
      <c r="X321" t="inlineStr">
        <is>
          <t>OK</t>
        </is>
      </c>
      <c r="Y321" t="inlineStr">
        <is>
          <t>car production untuk talent | unit/event</t>
        </is>
      </c>
    </row>
    <row r="322">
      <c r="A322" t="n">
        <v>318</v>
      </c>
      <c r="B322" t="inlineStr">
        <is>
          <t>📋 PO &amp; RFP DATA</t>
        </is>
      </c>
      <c r="C322" t="n">
        <v>18</v>
      </c>
      <c r="D322" t="inlineStr">
        <is>
          <t>PO/RFP HPP</t>
        </is>
      </c>
      <c r="E322" t="inlineStr">
        <is>
          <t>Riders Talent</t>
        </is>
      </c>
      <c r="F322" t="inlineStr">
        <is>
          <t>Riders Talent</t>
        </is>
      </c>
      <c r="H322" t="inlineStr">
        <is>
          <t>Uang Makan Talent GR H-1</t>
        </is>
      </c>
      <c r="I322" t="inlineStr">
        <is>
          <t>per orang</t>
        </is>
      </c>
      <c r="J322" t="inlineStr">
        <is>
          <t>pax/day</t>
        </is>
      </c>
      <c r="K322" t="inlineStr">
        <is>
          <t>1</t>
        </is>
      </c>
      <c r="L322" t="n">
        <v>300000</v>
      </c>
      <c r="M322" t="n">
        <v>300000</v>
      </c>
      <c r="N322">
        <f>IF(COUNT(L322:M322)=0,"",AVERAGE(L322:M322))</f>
        <v/>
      </c>
      <c r="Q322">
        <f>IF(COUNT(O322:P322)=0,"",AVERAGE(O322:P322))</f>
        <v/>
      </c>
      <c r="R322">
        <f>IF(Q322&lt;&gt;"",Q322,IF(N322&lt;&gt;"",ROUND(N322*(1+$B$2),0),""))</f>
        <v/>
      </c>
      <c r="S322">
        <f>IF(AND(N322&lt;&gt;"",Q322&lt;&gt;"",N322&lt;&gt;0),(Q322-N322)/N322,"")</f>
        <v/>
      </c>
      <c r="T322" t="inlineStr">
        <is>
          <t>2025</t>
        </is>
      </c>
      <c r="U322" t="inlineStr">
        <is>
          <t>OCBC Disney Orchestra</t>
        </is>
      </c>
      <c r="V322" t="inlineStr">
        <is>
          <t>PO Riders BCL</t>
        </is>
      </c>
      <c r="X322" t="inlineStr">
        <is>
          <t>OK</t>
        </is>
      </c>
      <c r="Y322" t="inlineStr">
        <is>
          <t>uang makan talent gr h-1 | pax/day</t>
        </is>
      </c>
    </row>
    <row r="323">
      <c r="A323" t="n">
        <v>319</v>
      </c>
      <c r="B323" t="inlineStr">
        <is>
          <t>📋 PO &amp; RFP DATA</t>
        </is>
      </c>
      <c r="C323" t="n">
        <v>19</v>
      </c>
      <c r="D323" t="inlineStr">
        <is>
          <t>PO/RFP HPP</t>
        </is>
      </c>
      <c r="E323" t="inlineStr">
        <is>
          <t>Riders Talent</t>
        </is>
      </c>
      <c r="F323" t="inlineStr">
        <is>
          <t>Riders Talent</t>
        </is>
      </c>
      <c r="H323" t="inlineStr">
        <is>
          <t>Uang Makan Talent Hari H</t>
        </is>
      </c>
      <c r="I323" t="inlineStr">
        <is>
          <t>per orang</t>
        </is>
      </c>
      <c r="J323" t="inlineStr">
        <is>
          <t>pax/day</t>
        </is>
      </c>
      <c r="K323" t="inlineStr">
        <is>
          <t>1</t>
        </is>
      </c>
      <c r="L323" t="n">
        <v>300000</v>
      </c>
      <c r="M323" t="n">
        <v>300000</v>
      </c>
      <c r="N323">
        <f>IF(COUNT(L323:M323)=0,"",AVERAGE(L323:M323))</f>
        <v/>
      </c>
      <c r="Q323">
        <f>IF(COUNT(O323:P323)=0,"",AVERAGE(O323:P323))</f>
        <v/>
      </c>
      <c r="R323">
        <f>IF(Q323&lt;&gt;"",Q323,IF(N323&lt;&gt;"",ROUND(N323*(1+$B$2),0),""))</f>
        <v/>
      </c>
      <c r="S323">
        <f>IF(AND(N323&lt;&gt;"",Q323&lt;&gt;"",N323&lt;&gt;0),(Q323-N323)/N323,"")</f>
        <v/>
      </c>
      <c r="T323" t="inlineStr">
        <is>
          <t>2025</t>
        </is>
      </c>
      <c r="U323" t="inlineStr">
        <is>
          <t>OCBC Disney Orchestra</t>
        </is>
      </c>
      <c r="V323" t="inlineStr">
        <is>
          <t>PO Riders BCL</t>
        </is>
      </c>
      <c r="X323" t="inlineStr">
        <is>
          <t>OK</t>
        </is>
      </c>
      <c r="Y323" t="inlineStr">
        <is>
          <t>uang makan talent hari h | pax/day</t>
        </is>
      </c>
    </row>
    <row r="324">
      <c r="A324" t="n">
        <v>320</v>
      </c>
      <c r="B324" t="inlineStr">
        <is>
          <t>📊 SUMMARY</t>
        </is>
      </c>
      <c r="C324" t="n">
        <v>33</v>
      </c>
      <c r="D324" t="inlineStr">
        <is>
          <t>Summary Range</t>
        </is>
      </c>
      <c r="F324" t="inlineStr">
        <is>
          <t>SOUND &amp; LIGHTING</t>
        </is>
      </c>
      <c r="H324" t="inlineStr">
        <is>
          <t>Genset 100 KVA</t>
        </is>
      </c>
      <c r="J324" t="inlineStr">
        <is>
          <t>unit/day</t>
        </is>
      </c>
      <c r="N324">
        <f>IF(COUNT(L324:M324)=0,"",AVERAGE(L324:M324))</f>
        <v/>
      </c>
      <c r="O324" t="n">
        <v>5000000</v>
      </c>
      <c r="P324" t="n">
        <v>6500000</v>
      </c>
      <c r="Q324">
        <f>IF(COUNT(O324:P324)=0,"",AVERAGE(O324:P324))</f>
        <v/>
      </c>
      <c r="R324">
        <f>IF(Q324&lt;&gt;"",Q324,IF(N324&lt;&gt;"",ROUND(N324*(1+$B$2),0),""))</f>
        <v/>
      </c>
      <c r="S324">
        <f>IF(AND(N324&lt;&gt;"",Q324&lt;&gt;"",N324&lt;&gt;0),(Q324-N324)/N324,"")</f>
        <v/>
      </c>
      <c r="V324" t="inlineStr">
        <is>
          <t>Summary Ratecard</t>
        </is>
      </c>
      <c r="W324" t="inlineStr">
        <is>
          <t>incl. solar</t>
        </is>
      </c>
      <c r="X324" t="inlineStr">
        <is>
          <t>OK</t>
        </is>
      </c>
      <c r="Y324" t="inlineStr">
        <is>
          <t>genset 100 kva | unit/day</t>
        </is>
      </c>
    </row>
    <row r="325">
      <c r="A325" t="n">
        <v>321</v>
      </c>
      <c r="B325" t="inlineStr">
        <is>
          <t>📊 SUMMARY</t>
        </is>
      </c>
      <c r="C325" t="n">
        <v>32</v>
      </c>
      <c r="D325" t="inlineStr">
        <is>
          <t>Summary Range</t>
        </is>
      </c>
      <c r="F325" t="inlineStr">
        <is>
          <t>SOUND &amp; LIGHTING</t>
        </is>
      </c>
      <c r="H325" t="inlineStr">
        <is>
          <t>Genset 60 KVA</t>
        </is>
      </c>
      <c r="J325" t="inlineStr">
        <is>
          <t>unit/day</t>
        </is>
      </c>
      <c r="N325">
        <f>IF(COUNT(L325:M325)=0,"",AVERAGE(L325:M325))</f>
        <v/>
      </c>
      <c r="O325" t="n">
        <v>3000000</v>
      </c>
      <c r="P325" t="n">
        <v>4000000</v>
      </c>
      <c r="Q325">
        <f>IF(COUNT(O325:P325)=0,"",AVERAGE(O325:P325))</f>
        <v/>
      </c>
      <c r="R325">
        <f>IF(Q325&lt;&gt;"",Q325,IF(N325&lt;&gt;"",ROUND(N325*(1+$B$2),0),""))</f>
        <v/>
      </c>
      <c r="S325">
        <f>IF(AND(N325&lt;&gt;"",Q325&lt;&gt;"",N325&lt;&gt;0),(Q325-N325)/N325,"")</f>
        <v/>
      </c>
      <c r="V325" t="inlineStr">
        <is>
          <t>Summary Ratecard</t>
        </is>
      </c>
      <c r="W325" t="inlineStr">
        <is>
          <t>incl. solar</t>
        </is>
      </c>
      <c r="X325" t="inlineStr">
        <is>
          <t>OK</t>
        </is>
      </c>
      <c r="Y325" t="inlineStr">
        <is>
          <t>genset 60 kva | unit/day</t>
        </is>
      </c>
    </row>
    <row r="326">
      <c r="A326" t="n">
        <v>322</v>
      </c>
      <c r="B326" t="inlineStr">
        <is>
          <t>📊 SUMMARY</t>
        </is>
      </c>
      <c r="C326" t="n">
        <v>30</v>
      </c>
      <c r="D326" t="inlineStr">
        <is>
          <t>Summary Range</t>
        </is>
      </c>
      <c r="F326" t="inlineStr">
        <is>
          <t>SOUND &amp; LIGHTING</t>
        </is>
      </c>
      <c r="H326" t="inlineStr">
        <is>
          <t>LED Screen P2.6 (per m2)</t>
        </is>
      </c>
      <c r="J326" t="inlineStr">
        <is>
          <t>m2/day</t>
        </is>
      </c>
      <c r="N326">
        <f>IF(COUNT(L326:M326)=0,"",AVERAGE(L326:M326))</f>
        <v/>
      </c>
      <c r="O326" t="n">
        <v>600000</v>
      </c>
      <c r="P326" t="n">
        <v>850000</v>
      </c>
      <c r="Q326">
        <f>IF(COUNT(O326:P326)=0,"",AVERAGE(O326:P326))</f>
        <v/>
      </c>
      <c r="R326">
        <f>IF(Q326&lt;&gt;"",Q326,IF(N326&lt;&gt;"",ROUND(N326*(1+$B$2),0),""))</f>
        <v/>
      </c>
      <c r="S326">
        <f>IF(AND(N326&lt;&gt;"",Q326&lt;&gt;"",N326&lt;&gt;0),(Q326-N326)/N326,"")</f>
        <v/>
      </c>
      <c r="V326" t="inlineStr">
        <is>
          <t>Summary Ratecard</t>
        </is>
      </c>
      <c r="X326" t="inlineStr">
        <is>
          <t>Potential duplicate x2</t>
        </is>
      </c>
      <c r="Y326" t="inlineStr">
        <is>
          <t>led screen p2.6 (per m2) | m2/day</t>
        </is>
      </c>
    </row>
    <row r="327">
      <c r="A327" t="n">
        <v>323</v>
      </c>
      <c r="B327" t="inlineStr">
        <is>
          <t>📊 SUMMARY</t>
        </is>
      </c>
      <c r="C327" t="n">
        <v>31</v>
      </c>
      <c r="D327" t="inlineStr">
        <is>
          <t>Summary Range</t>
        </is>
      </c>
      <c r="F327" t="inlineStr">
        <is>
          <t>SOUND &amp; LIGHTING</t>
        </is>
      </c>
      <c r="H327" t="inlineStr">
        <is>
          <t>Lighting System Lengkap (Indoor)</t>
        </is>
      </c>
      <c r="J327" t="inlineStr">
        <is>
          <t>package/day</t>
        </is>
      </c>
      <c r="N327">
        <f>IF(COUNT(L327:M327)=0,"",AVERAGE(L327:M327))</f>
        <v/>
      </c>
      <c r="O327" t="n">
        <v>7000000</v>
      </c>
      <c r="P327" t="n">
        <v>10000000</v>
      </c>
      <c r="Q327">
        <f>IF(COUNT(O327:P327)=0,"",AVERAGE(O327:P327))</f>
        <v/>
      </c>
      <c r="R327">
        <f>IF(Q327&lt;&gt;"",Q327,IF(N327&lt;&gt;"",ROUND(N327*(1+$B$2),0),""))</f>
        <v/>
      </c>
      <c r="S327">
        <f>IF(AND(N327&lt;&gt;"",Q327&lt;&gt;"",N327&lt;&gt;0),(Q327-N327)/N327,"")</f>
        <v/>
      </c>
      <c r="V327" t="inlineStr">
        <is>
          <t>Summary Ratecard</t>
        </is>
      </c>
      <c r="X327" t="inlineStr">
        <is>
          <t>Potential duplicate x2</t>
        </is>
      </c>
      <c r="Y327" t="inlineStr">
        <is>
          <t>lighting system lengkap (indoor) | package/day</t>
        </is>
      </c>
    </row>
    <row r="328">
      <c r="A328" t="n">
        <v>324</v>
      </c>
      <c r="B328" t="inlineStr">
        <is>
          <t>📊 SUMMARY</t>
        </is>
      </c>
      <c r="C328" t="n">
        <v>34</v>
      </c>
      <c r="D328" t="inlineStr">
        <is>
          <t>Summary Range</t>
        </is>
      </c>
      <c r="F328" t="inlineStr">
        <is>
          <t>SOUND &amp; LIGHTING</t>
        </is>
      </c>
      <c r="H328" t="inlineStr">
        <is>
          <t>Pyrotechnic / Fireworks</t>
        </is>
      </c>
      <c r="J328" t="inlineStr">
        <is>
          <t>titik/event</t>
        </is>
      </c>
      <c r="N328">
        <f>IF(COUNT(L328:M328)=0,"",AVERAGE(L328:M328))</f>
        <v/>
      </c>
      <c r="O328" t="n">
        <v>1000000</v>
      </c>
      <c r="P328" t="n">
        <v>1500000</v>
      </c>
      <c r="Q328">
        <f>IF(COUNT(O328:P328)=0,"",AVERAGE(O328:P328))</f>
        <v/>
      </c>
      <c r="R328">
        <f>IF(Q328&lt;&gt;"",Q328,IF(N328&lt;&gt;"",ROUND(N328*(1+$B$2),0),""))</f>
        <v/>
      </c>
      <c r="S328">
        <f>IF(AND(N328&lt;&gt;"",Q328&lt;&gt;"",N328&lt;&gt;0),(Q328-N328)/N328,"")</f>
        <v/>
      </c>
      <c r="V328" t="inlineStr">
        <is>
          <t>Summary Ratecard</t>
        </is>
      </c>
      <c r="X328" t="inlineStr">
        <is>
          <t>OK</t>
        </is>
      </c>
      <c r="Y328" t="inlineStr">
        <is>
          <t>pyrotechnic / fireworks | titik/event</t>
        </is>
      </c>
    </row>
    <row r="329">
      <c r="A329" t="n">
        <v>325</v>
      </c>
      <c r="B329" t="inlineStr">
        <is>
          <t>📊 SUMMARY</t>
        </is>
      </c>
      <c r="C329" t="n">
        <v>27</v>
      </c>
      <c r="D329" t="inlineStr">
        <is>
          <t>Summary Range</t>
        </is>
      </c>
      <c r="F329" t="inlineStr">
        <is>
          <t>SOUND &amp; LIGHTING</t>
        </is>
      </c>
      <c r="H329" t="inlineStr">
        <is>
          <t>Sound System 10.000W</t>
        </is>
      </c>
      <c r="J329" t="inlineStr">
        <is>
          <t>package/day</t>
        </is>
      </c>
      <c r="N329">
        <f>IF(COUNT(L329:M329)=0,"",AVERAGE(L329:M329))</f>
        <v/>
      </c>
      <c r="O329" t="n">
        <v>10000000</v>
      </c>
      <c r="P329" t="n">
        <v>12000000</v>
      </c>
      <c r="Q329">
        <f>IF(COUNT(O329:P329)=0,"",AVERAGE(O329:P329))</f>
        <v/>
      </c>
      <c r="R329">
        <f>IF(Q329&lt;&gt;"",Q329,IF(N329&lt;&gt;"",ROUND(N329*(1+$B$2),0),""))</f>
        <v/>
      </c>
      <c r="S329">
        <f>IF(AND(N329&lt;&gt;"",Q329&lt;&gt;"",N329&lt;&gt;0),(Q329-N329)/N329,"")</f>
        <v/>
      </c>
      <c r="V329" t="inlineStr">
        <is>
          <t>Summary Ratecard</t>
        </is>
      </c>
      <c r="W329" t="inlineStr">
        <is>
          <t>inc. band gear</t>
        </is>
      </c>
      <c r="X329" t="inlineStr">
        <is>
          <t>OK</t>
        </is>
      </c>
      <c r="Y329" t="inlineStr">
        <is>
          <t>sound system 10.000w | package/day</t>
        </is>
      </c>
    </row>
    <row r="330">
      <c r="A330" t="n">
        <v>326</v>
      </c>
      <c r="B330" t="inlineStr">
        <is>
          <t>📊 SUMMARY</t>
        </is>
      </c>
      <c r="C330" t="n">
        <v>28</v>
      </c>
      <c r="D330" t="inlineStr">
        <is>
          <t>Summary Range</t>
        </is>
      </c>
      <c r="F330" t="inlineStr">
        <is>
          <t>SOUND &amp; LIGHTING</t>
        </is>
      </c>
      <c r="H330" t="inlineStr">
        <is>
          <t>Sound System 20.000W</t>
        </is>
      </c>
      <c r="J330" t="inlineStr">
        <is>
          <t>package/day</t>
        </is>
      </c>
      <c r="N330">
        <f>IF(COUNT(L330:M330)=0,"",AVERAGE(L330:M330))</f>
        <v/>
      </c>
      <c r="O330" t="n">
        <v>20000000</v>
      </c>
      <c r="P330" t="n">
        <v>25000000</v>
      </c>
      <c r="Q330">
        <f>IF(COUNT(O330:P330)=0,"",AVERAGE(O330:P330))</f>
        <v/>
      </c>
      <c r="R330">
        <f>IF(Q330&lt;&gt;"",Q330,IF(N330&lt;&gt;"",ROUND(N330*(1+$B$2),0),""))</f>
        <v/>
      </c>
      <c r="S330">
        <f>IF(AND(N330&lt;&gt;"",Q330&lt;&gt;"",N330&lt;&gt;0),(Q330-N330)/N330,"")</f>
        <v/>
      </c>
      <c r="V330" t="inlineStr">
        <is>
          <t>Summary Ratecard</t>
        </is>
      </c>
      <c r="X330" t="inlineStr">
        <is>
          <t>OK</t>
        </is>
      </c>
      <c r="Y330" t="inlineStr">
        <is>
          <t>sound system 20.000w | package/day</t>
        </is>
      </c>
    </row>
    <row r="331">
      <c r="A331" t="n">
        <v>327</v>
      </c>
      <c r="B331" t="inlineStr">
        <is>
          <t>📊 SUMMARY</t>
        </is>
      </c>
      <c r="C331" t="n">
        <v>29</v>
      </c>
      <c r="D331" t="inlineStr">
        <is>
          <t>Summary Range</t>
        </is>
      </c>
      <c r="F331" t="inlineStr">
        <is>
          <t>SOUND &amp; LIGHTING</t>
        </is>
      </c>
      <c r="H331" t="inlineStr">
        <is>
          <t>Sound System 40.000W</t>
        </is>
      </c>
      <c r="J331" t="inlineStr">
        <is>
          <t>package/day</t>
        </is>
      </c>
      <c r="N331">
        <f>IF(COUNT(L331:M331)=0,"",AVERAGE(L331:M331))</f>
        <v/>
      </c>
      <c r="O331" t="n">
        <v>30000000</v>
      </c>
      <c r="P331" t="n">
        <v>40000000</v>
      </c>
      <c r="Q331">
        <f>IF(COUNT(O331:P331)=0,"",AVERAGE(O331:P331))</f>
        <v/>
      </c>
      <c r="R331">
        <f>IF(Q331&lt;&gt;"",Q331,IF(N331&lt;&gt;"",ROUND(N331*(1+$B$2),0),""))</f>
        <v/>
      </c>
      <c r="S331">
        <f>IF(AND(N331&lt;&gt;"",Q331&lt;&gt;"",N331&lt;&gt;0),(Q331-N331)/N331,"")</f>
        <v/>
      </c>
      <c r="V331" t="inlineStr">
        <is>
          <t>Summary Ratecard</t>
        </is>
      </c>
      <c r="X331" t="inlineStr">
        <is>
          <t>OK</t>
        </is>
      </c>
      <c r="Y331" t="inlineStr">
        <is>
          <t>sound system 40.000w | package/day</t>
        </is>
      </c>
    </row>
    <row r="332">
      <c r="A332" t="n">
        <v>328</v>
      </c>
      <c r="B332" t="inlineStr">
        <is>
          <t>📦 RATECARD DB</t>
        </is>
      </c>
      <c r="C332" t="n">
        <v>78</v>
      </c>
      <c r="D332" t="inlineStr">
        <is>
          <t>Master Ratecard</t>
        </is>
      </c>
      <c r="F332" t="inlineStr">
        <is>
          <t>SOUND LIGHTING</t>
        </is>
      </c>
      <c r="G332" t="inlineStr">
        <is>
          <t>Genset</t>
        </is>
      </c>
      <c r="H332" t="inlineStr">
        <is>
          <t>Genset 100 KVA (incl. solar)</t>
        </is>
      </c>
      <c r="J332" t="inlineStr">
        <is>
          <t>unit/day</t>
        </is>
      </c>
      <c r="L332" t="n">
        <v>4500000</v>
      </c>
      <c r="M332" t="n">
        <v>4500000</v>
      </c>
      <c r="N332">
        <f>IF(COUNT(L332:M332)=0,"",AVERAGE(L332:M332))</f>
        <v/>
      </c>
      <c r="O332" t="n">
        <v>6000000</v>
      </c>
      <c r="P332" t="n">
        <v>6000000</v>
      </c>
      <c r="Q332">
        <f>IF(COUNT(O332:P332)=0,"",AVERAGE(O332:P332))</f>
        <v/>
      </c>
      <c r="R332">
        <f>IF(Q332&lt;&gt;"",Q332,IF(N332&lt;&gt;"",ROUND(N332*(1+$B$2),0),""))</f>
        <v/>
      </c>
      <c r="S332">
        <f>IF(AND(N332&lt;&gt;"",Q332&lt;&gt;"",N332&lt;&gt;0),(Q332-N332)/N332,"")</f>
        <v/>
      </c>
      <c r="T332" t="inlineStr">
        <is>
          <t>2024</t>
        </is>
      </c>
      <c r="V332" t="inlineStr">
        <is>
          <t>Standard Quot 2024</t>
        </is>
      </c>
      <c r="X332" t="inlineStr">
        <is>
          <t>OK</t>
        </is>
      </c>
      <c r="Y332" t="inlineStr">
        <is>
          <t>genset 100 kva (incl. solar) | unit/day</t>
        </is>
      </c>
    </row>
    <row r="333">
      <c r="A333" t="n">
        <v>329</v>
      </c>
      <c r="B333" t="inlineStr">
        <is>
          <t>📦 RATECARD DB</t>
        </is>
      </c>
      <c r="C333" t="n">
        <v>79</v>
      </c>
      <c r="D333" t="inlineStr">
        <is>
          <t>Master Ratecard</t>
        </is>
      </c>
      <c r="F333" t="inlineStr">
        <is>
          <t>SOUND LIGHTING</t>
        </is>
      </c>
      <c r="G333" t="inlineStr">
        <is>
          <t>Genset</t>
        </is>
      </c>
      <c r="H333" t="inlineStr">
        <is>
          <t>Genset 150 KVA (incl. solar)</t>
        </is>
      </c>
      <c r="J333" t="inlineStr">
        <is>
          <t>unit/day</t>
        </is>
      </c>
      <c r="L333" t="n">
        <v>6000000</v>
      </c>
      <c r="M333" t="n">
        <v>6000000</v>
      </c>
      <c r="N333">
        <f>IF(COUNT(L333:M333)=0,"",AVERAGE(L333:M333))</f>
        <v/>
      </c>
      <c r="O333" t="n">
        <v>8000000</v>
      </c>
      <c r="P333" t="n">
        <v>8000000</v>
      </c>
      <c r="Q333">
        <f>IF(COUNT(O333:P333)=0,"",AVERAGE(O333:P333))</f>
        <v/>
      </c>
      <c r="R333">
        <f>IF(Q333&lt;&gt;"",Q333,IF(N333&lt;&gt;"",ROUND(N333*(1+$B$2),0),""))</f>
        <v/>
      </c>
      <c r="S333">
        <f>IF(AND(N333&lt;&gt;"",Q333&lt;&gt;"",N333&lt;&gt;0),(Q333-N333)/N333,"")</f>
        <v/>
      </c>
      <c r="T333" t="inlineStr">
        <is>
          <t>2024</t>
        </is>
      </c>
      <c r="V333" t="inlineStr">
        <is>
          <t>Standard Quot 2024</t>
        </is>
      </c>
      <c r="X333" t="inlineStr">
        <is>
          <t>OK</t>
        </is>
      </c>
      <c r="Y333" t="inlineStr">
        <is>
          <t>genset 150 kva (incl. solar) | unit/day</t>
        </is>
      </c>
    </row>
    <row r="334">
      <c r="A334" t="n">
        <v>330</v>
      </c>
      <c r="B334" t="inlineStr">
        <is>
          <t>📦 RATECARD DB</t>
        </is>
      </c>
      <c r="C334" t="n">
        <v>75</v>
      </c>
      <c r="D334" t="inlineStr">
        <is>
          <t>Master Ratecard</t>
        </is>
      </c>
      <c r="F334" t="inlineStr">
        <is>
          <t>SOUND LIGHTING</t>
        </is>
      </c>
      <c r="G334" t="inlineStr">
        <is>
          <t>Genset</t>
        </is>
      </c>
      <c r="H334" t="inlineStr">
        <is>
          <t>Genset 40 KVA (incl. solar)</t>
        </is>
      </c>
      <c r="J334" t="inlineStr">
        <is>
          <t>unit/day</t>
        </is>
      </c>
      <c r="L334" t="n">
        <v>1800000</v>
      </c>
      <c r="M334" t="n">
        <v>1800000</v>
      </c>
      <c r="N334">
        <f>IF(COUNT(L334:M334)=0,"",AVERAGE(L334:M334))</f>
        <v/>
      </c>
      <c r="O334" t="n">
        <v>2500000</v>
      </c>
      <c r="P334" t="n">
        <v>2500000</v>
      </c>
      <c r="Q334">
        <f>IF(COUNT(O334:P334)=0,"",AVERAGE(O334:P334))</f>
        <v/>
      </c>
      <c r="R334">
        <f>IF(Q334&lt;&gt;"",Q334,IF(N334&lt;&gt;"",ROUND(N334*(1+$B$2),0),""))</f>
        <v/>
      </c>
      <c r="S334">
        <f>IF(AND(N334&lt;&gt;"",Q334&lt;&gt;"",N334&lt;&gt;0),(Q334-N334)/N334,"")</f>
        <v/>
      </c>
      <c r="T334" t="inlineStr">
        <is>
          <t>2024</t>
        </is>
      </c>
      <c r="V334" t="inlineStr">
        <is>
          <t>Standard Quot 2024</t>
        </is>
      </c>
      <c r="X334" t="inlineStr">
        <is>
          <t>OK</t>
        </is>
      </c>
      <c r="Y334" t="inlineStr">
        <is>
          <t>genset 40 kva (incl. solar) | unit/day</t>
        </is>
      </c>
    </row>
    <row r="335">
      <c r="A335" t="n">
        <v>331</v>
      </c>
      <c r="B335" t="inlineStr">
        <is>
          <t>📦 RATECARD DB</t>
        </is>
      </c>
      <c r="C335" t="n">
        <v>76</v>
      </c>
      <c r="D335" t="inlineStr">
        <is>
          <t>Master Ratecard</t>
        </is>
      </c>
      <c r="F335" t="inlineStr">
        <is>
          <t>SOUND LIGHTING</t>
        </is>
      </c>
      <c r="G335" t="inlineStr">
        <is>
          <t>Genset</t>
        </is>
      </c>
      <c r="H335" t="inlineStr">
        <is>
          <t>Genset 60 KVA (incl. solar)</t>
        </is>
      </c>
      <c r="J335" t="inlineStr">
        <is>
          <t>unit/day</t>
        </is>
      </c>
      <c r="L335" t="n">
        <v>2500000</v>
      </c>
      <c r="M335" t="n">
        <v>2500000</v>
      </c>
      <c r="N335">
        <f>IF(COUNT(L335:M335)=0,"",AVERAGE(L335:M335))</f>
        <v/>
      </c>
      <c r="O335" t="n">
        <v>3500000</v>
      </c>
      <c r="P335" t="n">
        <v>3500000</v>
      </c>
      <c r="Q335">
        <f>IF(COUNT(O335:P335)=0,"",AVERAGE(O335:P335))</f>
        <v/>
      </c>
      <c r="R335">
        <f>IF(Q335&lt;&gt;"",Q335,IF(N335&lt;&gt;"",ROUND(N335*(1+$B$2),0),""))</f>
        <v/>
      </c>
      <c r="S335">
        <f>IF(AND(N335&lt;&gt;"",Q335&lt;&gt;"",N335&lt;&gt;0),(Q335-N335)/N335,"")</f>
        <v/>
      </c>
      <c r="T335" t="inlineStr">
        <is>
          <t>2025</t>
        </is>
      </c>
      <c r="V335" t="inlineStr">
        <is>
          <t>Multi event</t>
        </is>
      </c>
      <c r="X335" t="inlineStr">
        <is>
          <t>OK</t>
        </is>
      </c>
      <c r="Y335" t="inlineStr">
        <is>
          <t>genset 60 kva (incl. solar) | unit/day</t>
        </is>
      </c>
    </row>
    <row r="336">
      <c r="A336" t="n">
        <v>332</v>
      </c>
      <c r="B336" t="inlineStr">
        <is>
          <t>📦 RATECARD DB</t>
        </is>
      </c>
      <c r="C336" t="n">
        <v>77</v>
      </c>
      <c r="D336" t="inlineStr">
        <is>
          <t>Master Ratecard</t>
        </is>
      </c>
      <c r="F336" t="inlineStr">
        <is>
          <t>SOUND LIGHTING</t>
        </is>
      </c>
      <c r="G336" t="inlineStr">
        <is>
          <t>Genset</t>
        </is>
      </c>
      <c r="H336" t="inlineStr">
        <is>
          <t>Genset 80 KVA (incl. solar)</t>
        </is>
      </c>
      <c r="J336" t="inlineStr">
        <is>
          <t>unit/day</t>
        </is>
      </c>
      <c r="L336" t="n">
        <v>3200000</v>
      </c>
      <c r="M336" t="n">
        <v>3200000</v>
      </c>
      <c r="N336">
        <f>IF(COUNT(L336:M336)=0,"",AVERAGE(L336:M336))</f>
        <v/>
      </c>
      <c r="O336" t="n">
        <v>4500000</v>
      </c>
      <c r="P336" t="n">
        <v>4500000</v>
      </c>
      <c r="Q336">
        <f>IF(COUNT(O336:P336)=0,"",AVERAGE(O336:P336))</f>
        <v/>
      </c>
      <c r="R336">
        <f>IF(Q336&lt;&gt;"",Q336,IF(N336&lt;&gt;"",ROUND(N336*(1+$B$2),0),""))</f>
        <v/>
      </c>
      <c r="S336">
        <f>IF(AND(N336&lt;&gt;"",Q336&lt;&gt;"",N336&lt;&gt;0),(Q336-N336)/N336,"")</f>
        <v/>
      </c>
      <c r="T336" t="inlineStr">
        <is>
          <t>2025</t>
        </is>
      </c>
      <c r="V336" t="inlineStr">
        <is>
          <t>Multi event</t>
        </is>
      </c>
      <c r="X336" t="inlineStr">
        <is>
          <t>OK</t>
        </is>
      </c>
      <c r="Y336" t="inlineStr">
        <is>
          <t>genset 80 kva (incl. solar) | unit/day</t>
        </is>
      </c>
    </row>
    <row r="337">
      <c r="A337" t="n">
        <v>333</v>
      </c>
      <c r="B337" t="inlineStr">
        <is>
          <t>📦 RATECARD DB</t>
        </is>
      </c>
      <c r="C337" t="n">
        <v>68</v>
      </c>
      <c r="D337" t="inlineStr">
        <is>
          <t>Master Ratecard</t>
        </is>
      </c>
      <c r="F337" t="inlineStr">
        <is>
          <t>SOUND LIGHTING</t>
        </is>
      </c>
      <c r="G337" t="inlineStr">
        <is>
          <t>LED Screen</t>
        </is>
      </c>
      <c r="H337" t="inlineStr">
        <is>
          <t>LED Screen P2.6 (per m2)</t>
        </is>
      </c>
      <c r="I337" t="inlineStr">
        <is>
          <t>outdoor/indoor</t>
        </is>
      </c>
      <c r="J337" t="inlineStr">
        <is>
          <t>m2/day</t>
        </is>
      </c>
      <c r="L337" t="n">
        <v>500000</v>
      </c>
      <c r="M337" t="n">
        <v>500000</v>
      </c>
      <c r="N337">
        <f>IF(COUNT(L337:M337)=0,"",AVERAGE(L337:M337))</f>
        <v/>
      </c>
      <c r="O337" t="n">
        <v>650000</v>
      </c>
      <c r="P337" t="n">
        <v>650000</v>
      </c>
      <c r="Q337">
        <f>IF(COUNT(O337:P337)=0,"",AVERAGE(O337:P337))</f>
        <v/>
      </c>
      <c r="R337">
        <f>IF(Q337&lt;&gt;"",Q337,IF(N337&lt;&gt;"",ROUND(N337*(1+$B$2),0),""))</f>
        <v/>
      </c>
      <c r="S337">
        <f>IF(AND(N337&lt;&gt;"",Q337&lt;&gt;"",N337&lt;&gt;0),(Q337-N337)/N337,"")</f>
        <v/>
      </c>
      <c r="T337" t="inlineStr">
        <is>
          <t>2025</t>
        </is>
      </c>
      <c r="V337" t="inlineStr">
        <is>
          <t>Multi event</t>
        </is>
      </c>
      <c r="X337" t="inlineStr">
        <is>
          <t>Potential duplicate x2</t>
        </is>
      </c>
      <c r="Y337" t="inlineStr">
        <is>
          <t>led screen p2.6 (per m2) | m2/day</t>
        </is>
      </c>
    </row>
    <row r="338">
      <c r="A338" t="n">
        <v>334</v>
      </c>
      <c r="B338" t="inlineStr">
        <is>
          <t>📦 RATECARD DB</t>
        </is>
      </c>
      <c r="C338" t="n">
        <v>69</v>
      </c>
      <c r="D338" t="inlineStr">
        <is>
          <t>Master Ratecard</t>
        </is>
      </c>
      <c r="F338" t="inlineStr">
        <is>
          <t>SOUND LIGHTING</t>
        </is>
      </c>
      <c r="G338" t="inlineStr">
        <is>
          <t>LED Screen</t>
        </is>
      </c>
      <c r="H338" t="inlineStr">
        <is>
          <t>LED Screen P3/P4 2x3m (Indoor)</t>
        </is>
      </c>
      <c r="I338" t="inlineStr">
        <is>
          <t>incl. matrix &amp; processor</t>
        </is>
      </c>
      <c r="J338" t="inlineStr">
        <is>
          <t>unit/day</t>
        </is>
      </c>
      <c r="L338" t="n">
        <v>3000000</v>
      </c>
      <c r="M338" t="n">
        <v>3000000</v>
      </c>
      <c r="N338">
        <f>IF(COUNT(L338:M338)=0,"",AVERAGE(L338:M338))</f>
        <v/>
      </c>
      <c r="O338" t="n">
        <v>4500000</v>
      </c>
      <c r="P338" t="n">
        <v>4500000</v>
      </c>
      <c r="Q338">
        <f>IF(COUNT(O338:P338)=0,"",AVERAGE(O338:P338))</f>
        <v/>
      </c>
      <c r="R338">
        <f>IF(Q338&lt;&gt;"",Q338,IF(N338&lt;&gt;"",ROUND(N338*(1+$B$2),0),""))</f>
        <v/>
      </c>
      <c r="S338">
        <f>IF(AND(N338&lt;&gt;"",Q338&lt;&gt;"",N338&lt;&gt;0),(Q338-N338)/N338,"")</f>
        <v/>
      </c>
      <c r="T338" t="inlineStr">
        <is>
          <t>2024</t>
        </is>
      </c>
      <c r="V338" t="inlineStr">
        <is>
          <t>Standard Quot 2024</t>
        </is>
      </c>
      <c r="X338" t="inlineStr">
        <is>
          <t>OK</t>
        </is>
      </c>
      <c r="Y338" t="inlineStr">
        <is>
          <t>led screen p3/p4 2x3m (indoor) | unit/day</t>
        </is>
      </c>
    </row>
    <row r="339">
      <c r="A339" t="n">
        <v>335</v>
      </c>
      <c r="B339" t="inlineStr">
        <is>
          <t>📦 RATECARD DB</t>
        </is>
      </c>
      <c r="C339" t="n">
        <v>70</v>
      </c>
      <c r="D339" t="inlineStr">
        <is>
          <t>Master Ratecard</t>
        </is>
      </c>
      <c r="F339" t="inlineStr">
        <is>
          <t>SOUND LIGHTING</t>
        </is>
      </c>
      <c r="G339" t="inlineStr">
        <is>
          <t>LED Screen</t>
        </is>
      </c>
      <c r="H339" t="inlineStr">
        <is>
          <t>LED Screen P3/P4 4x6m (Indoor)</t>
        </is>
      </c>
      <c r="I339" t="inlineStr">
        <is>
          <t>incl. matrix &amp; processor</t>
        </is>
      </c>
      <c r="J339" t="inlineStr">
        <is>
          <t>unit/day</t>
        </is>
      </c>
      <c r="L339" t="n">
        <v>7000000</v>
      </c>
      <c r="M339" t="n">
        <v>7000000</v>
      </c>
      <c r="N339">
        <f>IF(COUNT(L339:M339)=0,"",AVERAGE(L339:M339))</f>
        <v/>
      </c>
      <c r="O339" t="n">
        <v>10000000</v>
      </c>
      <c r="P339" t="n">
        <v>10000000</v>
      </c>
      <c r="Q339">
        <f>IF(COUNT(O339:P339)=0,"",AVERAGE(O339:P339))</f>
        <v/>
      </c>
      <c r="R339">
        <f>IF(Q339&lt;&gt;"",Q339,IF(N339&lt;&gt;"",ROUND(N339*(1+$B$2),0),""))</f>
        <v/>
      </c>
      <c r="S339">
        <f>IF(AND(N339&lt;&gt;"",Q339&lt;&gt;"",N339&lt;&gt;0),(Q339-N339)/N339,"")</f>
        <v/>
      </c>
      <c r="T339" t="inlineStr">
        <is>
          <t>2024</t>
        </is>
      </c>
      <c r="V339" t="inlineStr">
        <is>
          <t>Standard Quot 2024</t>
        </is>
      </c>
      <c r="X339" t="inlineStr">
        <is>
          <t>OK</t>
        </is>
      </c>
      <c r="Y339" t="inlineStr">
        <is>
          <t>led screen p3/p4 4x6m (indoor) | unit/day</t>
        </is>
      </c>
    </row>
    <row r="340">
      <c r="A340" t="n">
        <v>336</v>
      </c>
      <c r="B340" t="inlineStr">
        <is>
          <t>📦 RATECARD DB</t>
        </is>
      </c>
      <c r="C340" t="n">
        <v>71</v>
      </c>
      <c r="D340" t="inlineStr">
        <is>
          <t>Master Ratecard</t>
        </is>
      </c>
      <c r="F340" t="inlineStr">
        <is>
          <t>SOUND LIGHTING</t>
        </is>
      </c>
      <c r="G340" t="inlineStr">
        <is>
          <t>LED Screen</t>
        </is>
      </c>
      <c r="H340" t="inlineStr">
        <is>
          <t>LED Screen P6/P7 4x6m (Outdoor)</t>
        </is>
      </c>
      <c r="I340" t="inlineStr">
        <is>
          <t>incl. matrix &amp; processor</t>
        </is>
      </c>
      <c r="J340" t="inlineStr">
        <is>
          <t>unit/day</t>
        </is>
      </c>
      <c r="L340" t="n">
        <v>8000000</v>
      </c>
      <c r="M340" t="n">
        <v>8000000</v>
      </c>
      <c r="N340">
        <f>IF(COUNT(L340:M340)=0,"",AVERAGE(L340:M340))</f>
        <v/>
      </c>
      <c r="O340" t="n">
        <v>11000000</v>
      </c>
      <c r="P340" t="n">
        <v>11000000</v>
      </c>
      <c r="Q340">
        <f>IF(COUNT(O340:P340)=0,"",AVERAGE(O340:P340))</f>
        <v/>
      </c>
      <c r="R340">
        <f>IF(Q340&lt;&gt;"",Q340,IF(N340&lt;&gt;"",ROUND(N340*(1+$B$2),0),""))</f>
        <v/>
      </c>
      <c r="S340">
        <f>IF(AND(N340&lt;&gt;"",Q340&lt;&gt;"",N340&lt;&gt;0),(Q340-N340)/N340,"")</f>
        <v/>
      </c>
      <c r="T340" t="inlineStr">
        <is>
          <t>2024</t>
        </is>
      </c>
      <c r="V340" t="inlineStr">
        <is>
          <t>Standard Quot 2024</t>
        </is>
      </c>
      <c r="X340" t="inlineStr">
        <is>
          <t>OK</t>
        </is>
      </c>
      <c r="Y340" t="inlineStr">
        <is>
          <t>led screen p6/p7 4x6m (outdoor) | unit/day</t>
        </is>
      </c>
    </row>
    <row r="341">
      <c r="A341" t="n">
        <v>337</v>
      </c>
      <c r="B341" t="inlineStr">
        <is>
          <t>📦 RATECARD DB</t>
        </is>
      </c>
      <c r="C341" t="n">
        <v>61</v>
      </c>
      <c r="D341" t="inlineStr">
        <is>
          <t>Master Ratecard</t>
        </is>
      </c>
      <c r="F341" t="inlineStr">
        <is>
          <t>SOUND LIGHTING</t>
        </is>
      </c>
      <c r="G341" t="inlineStr">
        <is>
          <t>Lighting</t>
        </is>
      </c>
      <c r="H341" t="inlineStr">
        <is>
          <t>Follow Spot 1500W</t>
        </is>
      </c>
      <c r="J341" t="inlineStr">
        <is>
          <t>unit/day</t>
        </is>
      </c>
      <c r="L341" t="n">
        <v>600000</v>
      </c>
      <c r="M341" t="n">
        <v>600000</v>
      </c>
      <c r="N341">
        <f>IF(COUNT(L341:M341)=0,"",AVERAGE(L341:M341))</f>
        <v/>
      </c>
      <c r="O341" t="n">
        <v>850000</v>
      </c>
      <c r="P341" t="n">
        <v>850000</v>
      </c>
      <c r="Q341">
        <f>IF(COUNT(O341:P341)=0,"",AVERAGE(O341:P341))</f>
        <v/>
      </c>
      <c r="R341">
        <f>IF(Q341&lt;&gt;"",Q341,IF(N341&lt;&gt;"",ROUND(N341*(1+$B$2),0),""))</f>
        <v/>
      </c>
      <c r="S341">
        <f>IF(AND(N341&lt;&gt;"",Q341&lt;&gt;"",N341&lt;&gt;0),(Q341-N341)/N341,"")</f>
        <v/>
      </c>
      <c r="T341" t="inlineStr">
        <is>
          <t>2024</t>
        </is>
      </c>
      <c r="V341" t="inlineStr">
        <is>
          <t>Standard Quot 2024</t>
        </is>
      </c>
      <c r="X341" t="inlineStr">
        <is>
          <t>OK</t>
        </is>
      </c>
      <c r="Y341" t="inlineStr">
        <is>
          <t>follow spot 1500w | unit/day</t>
        </is>
      </c>
    </row>
    <row r="342">
      <c r="A342" t="n">
        <v>338</v>
      </c>
      <c r="B342" t="inlineStr">
        <is>
          <t>📦 RATECARD DB</t>
        </is>
      </c>
      <c r="C342" t="n">
        <v>62</v>
      </c>
      <c r="D342" t="inlineStr">
        <is>
          <t>Master Ratecard</t>
        </is>
      </c>
      <c r="F342" t="inlineStr">
        <is>
          <t>SOUND LIGHTING</t>
        </is>
      </c>
      <c r="G342" t="inlineStr">
        <is>
          <t>Lighting</t>
        </is>
      </c>
      <c r="H342" t="inlineStr">
        <is>
          <t>Follow Spot 2500W (HMI)</t>
        </is>
      </c>
      <c r="J342" t="inlineStr">
        <is>
          <t>unit/day</t>
        </is>
      </c>
      <c r="L342" t="n">
        <v>900000</v>
      </c>
      <c r="M342" t="n">
        <v>900000</v>
      </c>
      <c r="N342">
        <f>IF(COUNT(L342:M342)=0,"",AVERAGE(L342:M342))</f>
        <v/>
      </c>
      <c r="O342" t="n">
        <v>1250000</v>
      </c>
      <c r="P342" t="n">
        <v>1250000</v>
      </c>
      <c r="Q342">
        <f>IF(COUNT(O342:P342)=0,"",AVERAGE(O342:P342))</f>
        <v/>
      </c>
      <c r="R342">
        <f>IF(Q342&lt;&gt;"",Q342,IF(N342&lt;&gt;"",ROUND(N342*(1+$B$2),0),""))</f>
        <v/>
      </c>
      <c r="S342">
        <f>IF(AND(N342&lt;&gt;"",Q342&lt;&gt;"",N342&lt;&gt;0),(Q342-N342)/N342,"")</f>
        <v/>
      </c>
      <c r="T342" t="inlineStr">
        <is>
          <t>2024</t>
        </is>
      </c>
      <c r="V342" t="inlineStr">
        <is>
          <t>Standard Quot 2024</t>
        </is>
      </c>
      <c r="X342" t="inlineStr">
        <is>
          <t>OK</t>
        </is>
      </c>
      <c r="Y342" t="inlineStr">
        <is>
          <t>follow spot 2500w (hmi) | unit/day</t>
        </is>
      </c>
    </row>
    <row r="343">
      <c r="A343" t="n">
        <v>339</v>
      </c>
      <c r="B343" t="inlineStr">
        <is>
          <t>📦 RATECARD DB</t>
        </is>
      </c>
      <c r="C343" t="n">
        <v>63</v>
      </c>
      <c r="D343" t="inlineStr">
        <is>
          <t>Master Ratecard</t>
        </is>
      </c>
      <c r="F343" t="inlineStr">
        <is>
          <t>SOUND LIGHTING</t>
        </is>
      </c>
      <c r="G343" t="inlineStr">
        <is>
          <t>Lighting</t>
        </is>
      </c>
      <c r="H343" t="inlineStr">
        <is>
          <t>Freshnell 2KVA</t>
        </is>
      </c>
      <c r="J343" t="inlineStr">
        <is>
          <t>unit/day</t>
        </is>
      </c>
      <c r="L343" t="n">
        <v>300000</v>
      </c>
      <c r="M343" t="n">
        <v>300000</v>
      </c>
      <c r="N343">
        <f>IF(COUNT(L343:M343)=0,"",AVERAGE(L343:M343))</f>
        <v/>
      </c>
      <c r="O343" t="n">
        <v>400000</v>
      </c>
      <c r="P343" t="n">
        <v>400000</v>
      </c>
      <c r="Q343">
        <f>IF(COUNT(O343:P343)=0,"",AVERAGE(O343:P343))</f>
        <v/>
      </c>
      <c r="R343">
        <f>IF(Q343&lt;&gt;"",Q343,IF(N343&lt;&gt;"",ROUND(N343*(1+$B$2),0),""))</f>
        <v/>
      </c>
      <c r="S343">
        <f>IF(AND(N343&lt;&gt;"",Q343&lt;&gt;"",N343&lt;&gt;0),(Q343-N343)/N343,"")</f>
        <v/>
      </c>
      <c r="T343" t="inlineStr">
        <is>
          <t>2025</t>
        </is>
      </c>
      <c r="V343" t="inlineStr">
        <is>
          <t>Multi event</t>
        </is>
      </c>
      <c r="X343" t="inlineStr">
        <is>
          <t>OK</t>
        </is>
      </c>
      <c r="Y343" t="inlineStr">
        <is>
          <t>freshnell 2kva | unit/day</t>
        </is>
      </c>
    </row>
    <row r="344">
      <c r="A344" t="n">
        <v>340</v>
      </c>
      <c r="B344" t="inlineStr">
        <is>
          <t>📦 RATECARD DB</t>
        </is>
      </c>
      <c r="C344" t="n">
        <v>66</v>
      </c>
      <c r="D344" t="inlineStr">
        <is>
          <t>Master Ratecard</t>
        </is>
      </c>
      <c r="F344" t="inlineStr">
        <is>
          <t>SOUND LIGHTING</t>
        </is>
      </c>
      <c r="G344" t="inlineStr">
        <is>
          <t>Lighting</t>
        </is>
      </c>
      <c r="H344" t="inlineStr">
        <is>
          <t>HPIT Penerangan Area (1000W)</t>
        </is>
      </c>
      <c r="I344" t="inlineStr">
        <is>
          <t>tanpa tower</t>
        </is>
      </c>
      <c r="J344" t="inlineStr">
        <is>
          <t>unit/day</t>
        </is>
      </c>
      <c r="L344" t="n">
        <v>300000</v>
      </c>
      <c r="M344" t="n">
        <v>300000</v>
      </c>
      <c r="N344">
        <f>IF(COUNT(L344:M344)=0,"",AVERAGE(L344:M344))</f>
        <v/>
      </c>
      <c r="O344" t="n">
        <v>400000</v>
      </c>
      <c r="P344" t="n">
        <v>400000</v>
      </c>
      <c r="Q344">
        <f>IF(COUNT(O344:P344)=0,"",AVERAGE(O344:P344))</f>
        <v/>
      </c>
      <c r="R344">
        <f>IF(Q344&lt;&gt;"",Q344,IF(N344&lt;&gt;"",ROUND(N344*(1+$B$2),0),""))</f>
        <v/>
      </c>
      <c r="S344">
        <f>IF(AND(N344&lt;&gt;"",Q344&lt;&gt;"",N344&lt;&gt;0),(Q344-N344)/N344,"")</f>
        <v/>
      </c>
      <c r="T344" t="inlineStr">
        <is>
          <t>2025</t>
        </is>
      </c>
      <c r="V344" t="inlineStr">
        <is>
          <t>Multi event</t>
        </is>
      </c>
      <c r="X344" t="inlineStr">
        <is>
          <t>OK</t>
        </is>
      </c>
      <c r="Y344" t="inlineStr">
        <is>
          <t>hpit penerangan area (1000w) | unit/day</t>
        </is>
      </c>
    </row>
    <row r="345">
      <c r="A345" t="n">
        <v>341</v>
      </c>
      <c r="B345" t="inlineStr">
        <is>
          <t>📦 RATECARD DB</t>
        </is>
      </c>
      <c r="C345" t="n">
        <v>65</v>
      </c>
      <c r="D345" t="inlineStr">
        <is>
          <t>Master Ratecard</t>
        </is>
      </c>
      <c r="F345" t="inlineStr">
        <is>
          <t>SOUND LIGHTING</t>
        </is>
      </c>
      <c r="G345" t="inlineStr">
        <is>
          <t>Lighting</t>
        </is>
      </c>
      <c r="H345" t="inlineStr">
        <is>
          <t>Lighting System Lengkap (Indoor)</t>
        </is>
      </c>
      <c r="I345" t="inlineStr">
        <is>
          <t>beam, parled, freshnell</t>
        </is>
      </c>
      <c r="J345" t="inlineStr">
        <is>
          <t>package/day</t>
        </is>
      </c>
      <c r="L345" t="n">
        <v>6000000</v>
      </c>
      <c r="M345" t="n">
        <v>6000000</v>
      </c>
      <c r="N345">
        <f>IF(COUNT(L345:M345)=0,"",AVERAGE(L345:M345))</f>
        <v/>
      </c>
      <c r="O345" t="n">
        <v>8500000</v>
      </c>
      <c r="P345" t="n">
        <v>8500000</v>
      </c>
      <c r="Q345">
        <f>IF(COUNT(O345:P345)=0,"",AVERAGE(O345:P345))</f>
        <v/>
      </c>
      <c r="R345">
        <f>IF(Q345&lt;&gt;"",Q345,IF(N345&lt;&gt;"",ROUND(N345*(1+$B$2),0),""))</f>
        <v/>
      </c>
      <c r="S345">
        <f>IF(AND(N345&lt;&gt;"",Q345&lt;&gt;"",N345&lt;&gt;0),(Q345-N345)/N345,"")</f>
        <v/>
      </c>
      <c r="T345" t="inlineStr">
        <is>
          <t>2025</t>
        </is>
      </c>
      <c r="V345" t="inlineStr">
        <is>
          <t>Multi event</t>
        </is>
      </c>
      <c r="X345" t="inlineStr">
        <is>
          <t>Potential duplicate x2</t>
        </is>
      </c>
      <c r="Y345" t="inlineStr">
        <is>
          <t>lighting system lengkap (indoor) | package/day</t>
        </is>
      </c>
    </row>
    <row r="346">
      <c r="A346" t="n">
        <v>342</v>
      </c>
      <c r="B346" t="inlineStr">
        <is>
          <t>📦 RATECARD DB</t>
        </is>
      </c>
      <c r="C346" t="n">
        <v>59</v>
      </c>
      <c r="D346" t="inlineStr">
        <is>
          <t>Master Ratecard</t>
        </is>
      </c>
      <c r="F346" t="inlineStr">
        <is>
          <t>SOUND LIGHTING</t>
        </is>
      </c>
      <c r="G346" t="inlineStr">
        <is>
          <t>Lighting</t>
        </is>
      </c>
      <c r="H346" t="inlineStr">
        <is>
          <t>Moving Head Beam 300</t>
        </is>
      </c>
      <c r="J346" t="inlineStr">
        <is>
          <t>unit/day</t>
        </is>
      </c>
      <c r="L346" t="n">
        <v>500000</v>
      </c>
      <c r="M346" t="n">
        <v>500000</v>
      </c>
      <c r="N346">
        <f>IF(COUNT(L346:M346)=0,"",AVERAGE(L346:M346))</f>
        <v/>
      </c>
      <c r="O346" t="n">
        <v>750000</v>
      </c>
      <c r="P346" t="n">
        <v>750000</v>
      </c>
      <c r="Q346">
        <f>IF(COUNT(O346:P346)=0,"",AVERAGE(O346:P346))</f>
        <v/>
      </c>
      <c r="R346">
        <f>IF(Q346&lt;&gt;"",Q346,IF(N346&lt;&gt;"",ROUND(N346*(1+$B$2),0),""))</f>
        <v/>
      </c>
      <c r="S346">
        <f>IF(AND(N346&lt;&gt;"",Q346&lt;&gt;"",N346&lt;&gt;0),(Q346-N346)/N346,"")</f>
        <v/>
      </c>
      <c r="T346" t="inlineStr">
        <is>
          <t>2025</t>
        </is>
      </c>
      <c r="V346" t="inlineStr">
        <is>
          <t>Multi event</t>
        </is>
      </c>
      <c r="X346" t="inlineStr">
        <is>
          <t>OK</t>
        </is>
      </c>
      <c r="Y346" t="inlineStr">
        <is>
          <t>moving head beam 300 | unit/day</t>
        </is>
      </c>
    </row>
    <row r="347">
      <c r="A347" t="n">
        <v>343</v>
      </c>
      <c r="B347" t="inlineStr">
        <is>
          <t>📦 RATECARD DB</t>
        </is>
      </c>
      <c r="C347" t="n">
        <v>60</v>
      </c>
      <c r="D347" t="inlineStr">
        <is>
          <t>Master Ratecard</t>
        </is>
      </c>
      <c r="F347" t="inlineStr">
        <is>
          <t>SOUND LIGHTING</t>
        </is>
      </c>
      <c r="G347" t="inlineStr">
        <is>
          <t>Lighting</t>
        </is>
      </c>
      <c r="H347" t="inlineStr">
        <is>
          <t>Moving Head Wash 575W</t>
        </is>
      </c>
      <c r="J347" t="inlineStr">
        <is>
          <t>unit/day</t>
        </is>
      </c>
      <c r="L347" t="n">
        <v>450000</v>
      </c>
      <c r="M347" t="n">
        <v>450000</v>
      </c>
      <c r="N347">
        <f>IF(COUNT(L347:M347)=0,"",AVERAGE(L347:M347))</f>
        <v/>
      </c>
      <c r="O347" t="n">
        <v>650000</v>
      </c>
      <c r="P347" t="n">
        <v>650000</v>
      </c>
      <c r="Q347">
        <f>IF(COUNT(O347:P347)=0,"",AVERAGE(O347:P347))</f>
        <v/>
      </c>
      <c r="R347">
        <f>IF(Q347&lt;&gt;"",Q347,IF(N347&lt;&gt;"",ROUND(N347*(1+$B$2),0),""))</f>
        <v/>
      </c>
      <c r="S347">
        <f>IF(AND(N347&lt;&gt;"",Q347&lt;&gt;"",N347&lt;&gt;0),(Q347-N347)/N347,"")</f>
        <v/>
      </c>
      <c r="T347" t="inlineStr">
        <is>
          <t>2024</t>
        </is>
      </c>
      <c r="V347" t="inlineStr">
        <is>
          <t>Standard Quot 2024</t>
        </is>
      </c>
      <c r="X347" t="inlineStr">
        <is>
          <t>OK</t>
        </is>
      </c>
      <c r="Y347" t="inlineStr">
        <is>
          <t>moving head wash 575w | unit/day</t>
        </is>
      </c>
    </row>
    <row r="348">
      <c r="A348" t="n">
        <v>344</v>
      </c>
      <c r="B348" t="inlineStr">
        <is>
          <t>📦 RATECARD DB</t>
        </is>
      </c>
      <c r="C348" t="n">
        <v>58</v>
      </c>
      <c r="D348" t="inlineStr">
        <is>
          <t>Master Ratecard</t>
        </is>
      </c>
      <c r="F348" t="inlineStr">
        <is>
          <t>SOUND LIGHTING</t>
        </is>
      </c>
      <c r="G348" t="inlineStr">
        <is>
          <t>Lighting</t>
        </is>
      </c>
      <c r="H348" t="inlineStr">
        <is>
          <t>Par LED (54x3W RGBW)</t>
        </is>
      </c>
      <c r="J348" t="inlineStr">
        <is>
          <t>unit/day</t>
        </is>
      </c>
      <c r="L348" t="n">
        <v>100000</v>
      </c>
      <c r="M348" t="n">
        <v>100000</v>
      </c>
      <c r="N348">
        <f>IF(COUNT(L348:M348)=0,"",AVERAGE(L348:M348))</f>
        <v/>
      </c>
      <c r="O348" t="n">
        <v>150000</v>
      </c>
      <c r="P348" t="n">
        <v>150000</v>
      </c>
      <c r="Q348">
        <f>IF(COUNT(O348:P348)=0,"",AVERAGE(O348:P348))</f>
        <v/>
      </c>
      <c r="R348">
        <f>IF(Q348&lt;&gt;"",Q348,IF(N348&lt;&gt;"",ROUND(N348*(1+$B$2),0),""))</f>
        <v/>
      </c>
      <c r="S348">
        <f>IF(AND(N348&lt;&gt;"",Q348&lt;&gt;"",N348&lt;&gt;0),(Q348-N348)/N348,"")</f>
        <v/>
      </c>
      <c r="T348" t="inlineStr">
        <is>
          <t>2025</t>
        </is>
      </c>
      <c r="V348" t="inlineStr">
        <is>
          <t>Multi event</t>
        </is>
      </c>
      <c r="X348" t="inlineStr">
        <is>
          <t>OK</t>
        </is>
      </c>
      <c r="Y348" t="inlineStr">
        <is>
          <t>par led (54x3w rgbw) | unit/day</t>
        </is>
      </c>
    </row>
    <row r="349">
      <c r="A349" t="n">
        <v>345</v>
      </c>
      <c r="B349" t="inlineStr">
        <is>
          <t>📦 RATECARD DB</t>
        </is>
      </c>
      <c r="C349" t="n">
        <v>64</v>
      </c>
      <c r="D349" t="inlineStr">
        <is>
          <t>Master Ratecard</t>
        </is>
      </c>
      <c r="F349" t="inlineStr">
        <is>
          <t>SOUND LIGHTING</t>
        </is>
      </c>
      <c r="G349" t="inlineStr">
        <is>
          <t>Lighting</t>
        </is>
      </c>
      <c r="H349" t="inlineStr">
        <is>
          <t>Stromi RGBW</t>
        </is>
      </c>
      <c r="I349" t="inlineStr">
        <is>
          <t>20 unit package</t>
        </is>
      </c>
      <c r="J349" t="inlineStr">
        <is>
          <t>package/day</t>
        </is>
      </c>
      <c r="L349" t="n">
        <v>5500000</v>
      </c>
      <c r="M349" t="n">
        <v>5500000</v>
      </c>
      <c r="N349">
        <f>IF(COUNT(L349:M349)=0,"",AVERAGE(L349:M349))</f>
        <v/>
      </c>
      <c r="O349" t="n">
        <v>7500000</v>
      </c>
      <c r="P349" t="n">
        <v>7500000</v>
      </c>
      <c r="Q349">
        <f>IF(COUNT(O349:P349)=0,"",AVERAGE(O349:P349))</f>
        <v/>
      </c>
      <c r="R349">
        <f>IF(Q349&lt;&gt;"",Q349,IF(N349&lt;&gt;"",ROUND(N349*(1+$B$2),0),""))</f>
        <v/>
      </c>
      <c r="S349">
        <f>IF(AND(N349&lt;&gt;"",Q349&lt;&gt;"",N349&lt;&gt;0),(Q349-N349)/N349,"")</f>
        <v/>
      </c>
      <c r="T349" t="inlineStr">
        <is>
          <t>2025</t>
        </is>
      </c>
      <c r="V349" t="inlineStr">
        <is>
          <t>Heppiii Skate Day</t>
        </is>
      </c>
      <c r="X349" t="inlineStr">
        <is>
          <t>OK</t>
        </is>
      </c>
      <c r="Y349" t="inlineStr">
        <is>
          <t>stromi rgbw | package/day</t>
        </is>
      </c>
    </row>
    <row r="350">
      <c r="A350" t="n">
        <v>346</v>
      </c>
      <c r="B350" t="inlineStr">
        <is>
          <t>📦 RATECARD DB</t>
        </is>
      </c>
      <c r="C350" t="n">
        <v>67</v>
      </c>
      <c r="D350" t="inlineStr">
        <is>
          <t>Master Ratecard</t>
        </is>
      </c>
      <c r="F350" t="inlineStr">
        <is>
          <t>SOUND LIGHTING</t>
        </is>
      </c>
      <c r="G350" t="inlineStr">
        <is>
          <t>Lighting</t>
        </is>
      </c>
      <c r="H350" t="inlineStr">
        <is>
          <t>Tower Lampu 4 Lampu (@1000W)</t>
        </is>
      </c>
      <c r="J350" t="inlineStr">
        <is>
          <t>package/day</t>
        </is>
      </c>
      <c r="L350" t="n">
        <v>900000</v>
      </c>
      <c r="M350" t="n">
        <v>900000</v>
      </c>
      <c r="N350">
        <f>IF(COUNT(L350:M350)=0,"",AVERAGE(L350:M350))</f>
        <v/>
      </c>
      <c r="O350" t="n">
        <v>1200000</v>
      </c>
      <c r="P350" t="n">
        <v>1200000</v>
      </c>
      <c r="Q350">
        <f>IF(COUNT(O350:P350)=0,"",AVERAGE(O350:P350))</f>
        <v/>
      </c>
      <c r="R350">
        <f>IF(Q350&lt;&gt;"",Q350,IF(N350&lt;&gt;"",ROUND(N350*(1+$B$2),0),""))</f>
        <v/>
      </c>
      <c r="S350">
        <f>IF(AND(N350&lt;&gt;"",Q350&lt;&gt;"",N350&lt;&gt;0),(Q350-N350)/N350,"")</f>
        <v/>
      </c>
      <c r="T350" t="inlineStr">
        <is>
          <t>2024</t>
        </is>
      </c>
      <c r="V350" t="inlineStr">
        <is>
          <t>Standard Quot 2024</t>
        </is>
      </c>
      <c r="X350" t="inlineStr">
        <is>
          <t>OK</t>
        </is>
      </c>
      <c r="Y350" t="inlineStr">
        <is>
          <t>tower lampu 4 lampu (@1000w) | package/day</t>
        </is>
      </c>
    </row>
    <row r="351">
      <c r="A351" t="n">
        <v>347</v>
      </c>
      <c r="B351" t="inlineStr">
        <is>
          <t>📦 RATECARD DB</t>
        </is>
      </c>
      <c r="C351" t="n">
        <v>87</v>
      </c>
      <c r="D351" t="inlineStr">
        <is>
          <t>Master Ratecard</t>
        </is>
      </c>
      <c r="F351" t="inlineStr">
        <is>
          <t>SOUND LIGHTING</t>
        </is>
      </c>
      <c r="G351" t="inlineStr">
        <is>
          <t>Multimedia</t>
        </is>
      </c>
      <c r="H351" t="inlineStr">
        <is>
          <t>Switcher + Monitor (Edirol V8)</t>
        </is>
      </c>
      <c r="J351" t="inlineStr">
        <is>
          <t>package/day</t>
        </is>
      </c>
      <c r="L351" t="n">
        <v>1000000</v>
      </c>
      <c r="M351" t="n">
        <v>1000000</v>
      </c>
      <c r="N351">
        <f>IF(COUNT(L351:M351)=0,"",AVERAGE(L351:M351))</f>
        <v/>
      </c>
      <c r="O351" t="n">
        <v>1500000</v>
      </c>
      <c r="P351" t="n">
        <v>1500000</v>
      </c>
      <c r="Q351">
        <f>IF(COUNT(O351:P351)=0,"",AVERAGE(O351:P351))</f>
        <v/>
      </c>
      <c r="R351">
        <f>IF(Q351&lt;&gt;"",Q351,IF(N351&lt;&gt;"",ROUND(N351*(1+$B$2),0),""))</f>
        <v/>
      </c>
      <c r="S351">
        <f>IF(AND(N351&lt;&gt;"",Q351&lt;&gt;"",N351&lt;&gt;0),(Q351-N351)/N351,"")</f>
        <v/>
      </c>
      <c r="T351" t="inlineStr">
        <is>
          <t>2024</t>
        </is>
      </c>
      <c r="V351" t="inlineStr">
        <is>
          <t>Standard Quot 2024</t>
        </is>
      </c>
      <c r="X351" t="inlineStr">
        <is>
          <t>OK</t>
        </is>
      </c>
      <c r="Y351" t="inlineStr">
        <is>
          <t>switcher + monitor (edirol v8) | package/day</t>
        </is>
      </c>
    </row>
    <row r="352">
      <c r="A352" t="n">
        <v>348</v>
      </c>
      <c r="B352" t="inlineStr">
        <is>
          <t>📦 RATECARD DB</t>
        </is>
      </c>
      <c r="C352" t="n">
        <v>88</v>
      </c>
      <c r="D352" t="inlineStr">
        <is>
          <t>Master Ratecard</t>
        </is>
      </c>
      <c r="F352" t="inlineStr">
        <is>
          <t>SOUND LIGHTING</t>
        </is>
      </c>
      <c r="G352" t="inlineStr">
        <is>
          <t>Multimedia</t>
        </is>
      </c>
      <c r="H352" t="inlineStr">
        <is>
          <t>Video Camera + Tripod</t>
        </is>
      </c>
      <c r="I352" t="inlineStr">
        <is>
          <t>DV Cam</t>
        </is>
      </c>
      <c r="J352" t="inlineStr">
        <is>
          <t>unit/day</t>
        </is>
      </c>
      <c r="L352" t="n">
        <v>800000</v>
      </c>
      <c r="M352" t="n">
        <v>800000</v>
      </c>
      <c r="N352">
        <f>IF(COUNT(L352:M352)=0,"",AVERAGE(L352:M352))</f>
        <v/>
      </c>
      <c r="O352" t="n">
        <v>1200000</v>
      </c>
      <c r="P352" t="n">
        <v>1200000</v>
      </c>
      <c r="Q352">
        <f>IF(COUNT(O352:P352)=0,"",AVERAGE(O352:P352))</f>
        <v/>
      </c>
      <c r="R352">
        <f>IF(Q352&lt;&gt;"",Q352,IF(N352&lt;&gt;"",ROUND(N352*(1+$B$2),0),""))</f>
        <v/>
      </c>
      <c r="S352">
        <f>IF(AND(N352&lt;&gt;"",Q352&lt;&gt;"",N352&lt;&gt;0),(Q352-N352)/N352,"")</f>
        <v/>
      </c>
      <c r="T352" t="inlineStr">
        <is>
          <t>2024</t>
        </is>
      </c>
      <c r="V352" t="inlineStr">
        <is>
          <t>Standard Quot 2024</t>
        </is>
      </c>
      <c r="X352" t="inlineStr">
        <is>
          <t>OK</t>
        </is>
      </c>
      <c r="Y352" t="inlineStr">
        <is>
          <t>video camera + tripod | unit/day</t>
        </is>
      </c>
    </row>
    <row r="353">
      <c r="A353" t="n">
        <v>349</v>
      </c>
      <c r="B353" t="inlineStr">
        <is>
          <t>📦 RATECARD DB</t>
        </is>
      </c>
      <c r="C353" t="n">
        <v>73</v>
      </c>
      <c r="D353" t="inlineStr">
        <is>
          <t>Master Ratecard</t>
        </is>
      </c>
      <c r="F353" t="inlineStr">
        <is>
          <t>SOUND LIGHTING</t>
        </is>
      </c>
      <c r="G353" t="inlineStr">
        <is>
          <t>Projector</t>
        </is>
      </c>
      <c r="H353" t="inlineStr">
        <is>
          <t>Projector 10.000 Lumens</t>
        </is>
      </c>
      <c r="J353" t="inlineStr">
        <is>
          <t>unit/day</t>
        </is>
      </c>
      <c r="L353" t="n">
        <v>2500000</v>
      </c>
      <c r="M353" t="n">
        <v>2500000</v>
      </c>
      <c r="N353">
        <f>IF(COUNT(L353:M353)=0,"",AVERAGE(L353:M353))</f>
        <v/>
      </c>
      <c r="O353" t="n">
        <v>3500000</v>
      </c>
      <c r="P353" t="n">
        <v>3500000</v>
      </c>
      <c r="Q353">
        <f>IF(COUNT(O353:P353)=0,"",AVERAGE(O353:P353))</f>
        <v/>
      </c>
      <c r="R353">
        <f>IF(Q353&lt;&gt;"",Q353,IF(N353&lt;&gt;"",ROUND(N353*(1+$B$2),0),""))</f>
        <v/>
      </c>
      <c r="S353">
        <f>IF(AND(N353&lt;&gt;"",Q353&lt;&gt;"",N353&lt;&gt;0),(Q353-N353)/N353,"")</f>
        <v/>
      </c>
      <c r="T353" t="inlineStr">
        <is>
          <t>2024</t>
        </is>
      </c>
      <c r="V353" t="inlineStr">
        <is>
          <t>Standard Quot 2024</t>
        </is>
      </c>
      <c r="X353" t="inlineStr">
        <is>
          <t>OK</t>
        </is>
      </c>
      <c r="Y353" t="inlineStr">
        <is>
          <t>projector 10.000 lumens | unit/day</t>
        </is>
      </c>
    </row>
    <row r="354">
      <c r="A354" t="n">
        <v>350</v>
      </c>
      <c r="B354" t="inlineStr">
        <is>
          <t>📦 RATECARD DB</t>
        </is>
      </c>
      <c r="C354" t="n">
        <v>74</v>
      </c>
      <c r="D354" t="inlineStr">
        <is>
          <t>Master Ratecard</t>
        </is>
      </c>
      <c r="F354" t="inlineStr">
        <is>
          <t>SOUND LIGHTING</t>
        </is>
      </c>
      <c r="G354" t="inlineStr">
        <is>
          <t>Projector</t>
        </is>
      </c>
      <c r="H354" t="inlineStr">
        <is>
          <t>Projector 15.000 Lumens</t>
        </is>
      </c>
      <c r="J354" t="inlineStr">
        <is>
          <t>unit/day</t>
        </is>
      </c>
      <c r="L354" t="n">
        <v>4000000</v>
      </c>
      <c r="M354" t="n">
        <v>4000000</v>
      </c>
      <c r="N354">
        <f>IF(COUNT(L354:M354)=0,"",AVERAGE(L354:M354))</f>
        <v/>
      </c>
      <c r="O354" t="n">
        <v>5500000</v>
      </c>
      <c r="P354" t="n">
        <v>5500000</v>
      </c>
      <c r="Q354">
        <f>IF(COUNT(O354:P354)=0,"",AVERAGE(O354:P354))</f>
        <v/>
      </c>
      <c r="R354">
        <f>IF(Q354&lt;&gt;"",Q354,IF(N354&lt;&gt;"",ROUND(N354*(1+$B$2),0),""))</f>
        <v/>
      </c>
      <c r="S354">
        <f>IF(AND(N354&lt;&gt;"",Q354&lt;&gt;"",N354&lt;&gt;0),(Q354-N354)/N354,"")</f>
        <v/>
      </c>
      <c r="T354" t="inlineStr">
        <is>
          <t>2024</t>
        </is>
      </c>
      <c r="V354" t="inlineStr">
        <is>
          <t>Standard Quot 2024</t>
        </is>
      </c>
      <c r="X354" t="inlineStr">
        <is>
          <t>OK</t>
        </is>
      </c>
      <c r="Y354" t="inlineStr">
        <is>
          <t>projector 15.000 lumens | unit/day</t>
        </is>
      </c>
    </row>
    <row r="355">
      <c r="A355" t="n">
        <v>351</v>
      </c>
      <c r="B355" t="inlineStr">
        <is>
          <t>📦 RATECARD DB</t>
        </is>
      </c>
      <c r="C355" t="n">
        <v>72</v>
      </c>
      <c r="D355" t="inlineStr">
        <is>
          <t>Master Ratecard</t>
        </is>
      </c>
      <c r="F355" t="inlineStr">
        <is>
          <t>SOUND LIGHTING</t>
        </is>
      </c>
      <c r="G355" t="inlineStr">
        <is>
          <t>Projector</t>
        </is>
      </c>
      <c r="H355" t="inlineStr">
        <is>
          <t>Projector 7.000 Lumens</t>
        </is>
      </c>
      <c r="J355" t="inlineStr">
        <is>
          <t>unit/day</t>
        </is>
      </c>
      <c r="L355" t="n">
        <v>1500000</v>
      </c>
      <c r="M355" t="n">
        <v>1500000</v>
      </c>
      <c r="N355">
        <f>IF(COUNT(L355:M355)=0,"",AVERAGE(L355:M355))</f>
        <v/>
      </c>
      <c r="O355" t="n">
        <v>2200000</v>
      </c>
      <c r="P355" t="n">
        <v>2200000</v>
      </c>
      <c r="Q355">
        <f>IF(COUNT(O355:P355)=0,"",AVERAGE(O355:P355))</f>
        <v/>
      </c>
      <c r="R355">
        <f>IF(Q355&lt;&gt;"",Q355,IF(N355&lt;&gt;"",ROUND(N355*(1+$B$2),0),""))</f>
        <v/>
      </c>
      <c r="S355">
        <f>IF(AND(N355&lt;&gt;"",Q355&lt;&gt;"",N355&lt;&gt;0),(Q355-N355)/N355,"")</f>
        <v/>
      </c>
      <c r="T355" t="inlineStr">
        <is>
          <t>2024</t>
        </is>
      </c>
      <c r="V355" t="inlineStr">
        <is>
          <t>Standard Quot 2024</t>
        </is>
      </c>
      <c r="X355" t="inlineStr">
        <is>
          <t>OK</t>
        </is>
      </c>
      <c r="Y355" t="inlineStr">
        <is>
          <t>projector 7.000 lumens | unit/day</t>
        </is>
      </c>
    </row>
    <row r="356">
      <c r="A356" t="n">
        <v>352</v>
      </c>
      <c r="B356" t="inlineStr">
        <is>
          <t>📦 RATECARD DB</t>
        </is>
      </c>
      <c r="C356" t="n">
        <v>86</v>
      </c>
      <c r="D356" t="inlineStr">
        <is>
          <t>Master Ratecard</t>
        </is>
      </c>
      <c r="F356" t="inlineStr">
        <is>
          <t>SOUND LIGHTING</t>
        </is>
      </c>
      <c r="G356" t="inlineStr">
        <is>
          <t>Rigging</t>
        </is>
      </c>
      <c r="H356" t="inlineStr">
        <is>
          <t>Rigging Sound (per side 9x3m)</t>
        </is>
      </c>
      <c r="J356" t="inlineStr">
        <is>
          <t>side/day</t>
        </is>
      </c>
      <c r="L356" t="n">
        <v>1500000</v>
      </c>
      <c r="M356" t="n">
        <v>1500000</v>
      </c>
      <c r="N356">
        <f>IF(COUNT(L356:M356)=0,"",AVERAGE(L356:M356))</f>
        <v/>
      </c>
      <c r="O356" t="n">
        <v>2200000</v>
      </c>
      <c r="P356" t="n">
        <v>2200000</v>
      </c>
      <c r="Q356">
        <f>IF(COUNT(O356:P356)=0,"",AVERAGE(O356:P356))</f>
        <v/>
      </c>
      <c r="R356">
        <f>IF(Q356&lt;&gt;"",Q356,IF(N356&lt;&gt;"",ROUND(N356*(1+$B$2),0),""))</f>
        <v/>
      </c>
      <c r="S356">
        <f>IF(AND(N356&lt;&gt;"",Q356&lt;&gt;"",N356&lt;&gt;0),(Q356-N356)/N356,"")</f>
        <v/>
      </c>
      <c r="T356" t="inlineStr">
        <is>
          <t>2024</t>
        </is>
      </c>
      <c r="V356" t="inlineStr">
        <is>
          <t>Standard Quot 2024</t>
        </is>
      </c>
      <c r="X356" t="inlineStr">
        <is>
          <t>OK</t>
        </is>
      </c>
      <c r="Y356" t="inlineStr">
        <is>
          <t>rigging sound (per side 9x3m) | side/day</t>
        </is>
      </c>
    </row>
    <row r="357">
      <c r="A357" t="n">
        <v>353</v>
      </c>
      <c r="B357" t="inlineStr">
        <is>
          <t>📦 RATECARD DB</t>
        </is>
      </c>
      <c r="C357" t="n">
        <v>85</v>
      </c>
      <c r="D357" t="inlineStr">
        <is>
          <t>Master Ratecard</t>
        </is>
      </c>
      <c r="F357" t="inlineStr">
        <is>
          <t>SOUND LIGHTING</t>
        </is>
      </c>
      <c r="G357" t="inlineStr">
        <is>
          <t>Rigging</t>
        </is>
      </c>
      <c r="H357" t="inlineStr">
        <is>
          <t>Truss LED 8m</t>
        </is>
      </c>
      <c r="J357" t="inlineStr">
        <is>
          <t>meter/day</t>
        </is>
      </c>
      <c r="L357" t="n">
        <v>600000</v>
      </c>
      <c r="M357" t="n">
        <v>600000</v>
      </c>
      <c r="N357">
        <f>IF(COUNT(L357:M357)=0,"",AVERAGE(L357:M357))</f>
        <v/>
      </c>
      <c r="O357" t="n">
        <v>850000</v>
      </c>
      <c r="P357" t="n">
        <v>850000</v>
      </c>
      <c r="Q357">
        <f>IF(COUNT(O357:P357)=0,"",AVERAGE(O357:P357))</f>
        <v/>
      </c>
      <c r="R357">
        <f>IF(Q357&lt;&gt;"",Q357,IF(N357&lt;&gt;"",ROUND(N357*(1+$B$2),0),""))</f>
        <v/>
      </c>
      <c r="S357">
        <f>IF(AND(N357&lt;&gt;"",Q357&lt;&gt;"",N357&lt;&gt;0),(Q357-N357)/N357,"")</f>
        <v/>
      </c>
      <c r="T357" t="inlineStr">
        <is>
          <t>2025</t>
        </is>
      </c>
      <c r="V357" t="inlineStr">
        <is>
          <t>Disney OCBC</t>
        </is>
      </c>
      <c r="X357" t="inlineStr">
        <is>
          <t>OK</t>
        </is>
      </c>
      <c r="Y357" t="inlineStr">
        <is>
          <t>truss led 8m | meter/day</t>
        </is>
      </c>
    </row>
    <row r="358">
      <c r="A358" t="n">
        <v>354</v>
      </c>
      <c r="B358" t="inlineStr">
        <is>
          <t>📦 RATECARD DB</t>
        </is>
      </c>
      <c r="C358" t="n">
        <v>57</v>
      </c>
      <c r="D358" t="inlineStr">
        <is>
          <t>Master Ratecard</t>
        </is>
      </c>
      <c r="F358" t="inlineStr">
        <is>
          <t>SOUND LIGHTING</t>
        </is>
      </c>
      <c r="G358" t="inlineStr">
        <is>
          <t>Sound</t>
        </is>
      </c>
      <c r="H358" t="inlineStr">
        <is>
          <t>Delegate Mic</t>
        </is>
      </c>
      <c r="J358" t="inlineStr">
        <is>
          <t>unit/day</t>
        </is>
      </c>
      <c r="L358" t="n">
        <v>200000</v>
      </c>
      <c r="M358" t="n">
        <v>200000</v>
      </c>
      <c r="N358">
        <f>IF(COUNT(L358:M358)=0,"",AVERAGE(L358:M358))</f>
        <v/>
      </c>
      <c r="O358" t="n">
        <v>300000</v>
      </c>
      <c r="P358" t="n">
        <v>300000</v>
      </c>
      <c r="Q358">
        <f>IF(COUNT(O358:P358)=0,"",AVERAGE(O358:P358))</f>
        <v/>
      </c>
      <c r="R358">
        <f>IF(Q358&lt;&gt;"",Q358,IF(N358&lt;&gt;"",ROUND(N358*(1+$B$2),0),""))</f>
        <v/>
      </c>
      <c r="S358">
        <f>IF(AND(N358&lt;&gt;"",Q358&lt;&gt;"",N358&lt;&gt;0),(Q358-N358)/N358,"")</f>
        <v/>
      </c>
      <c r="T358" t="inlineStr">
        <is>
          <t>2025</t>
        </is>
      </c>
      <c r="V358" t="inlineStr">
        <is>
          <t>PSI Kongres</t>
        </is>
      </c>
      <c r="X358" t="inlineStr">
        <is>
          <t>OK</t>
        </is>
      </c>
      <c r="Y358" t="inlineStr">
        <is>
          <t>delegate mic | unit/day</t>
        </is>
      </c>
    </row>
    <row r="359">
      <c r="A359" t="n">
        <v>355</v>
      </c>
      <c r="B359" t="inlineStr">
        <is>
          <t>📦 RATECARD DB</t>
        </is>
      </c>
      <c r="C359" t="n">
        <v>56</v>
      </c>
      <c r="D359" t="inlineStr">
        <is>
          <t>Master Ratecard</t>
        </is>
      </c>
      <c r="F359" t="inlineStr">
        <is>
          <t>SOUND LIGHTING</t>
        </is>
      </c>
      <c r="G359" t="inlineStr">
        <is>
          <t>Sound</t>
        </is>
      </c>
      <c r="H359" t="inlineStr">
        <is>
          <t>Goose Mic</t>
        </is>
      </c>
      <c r="J359" t="inlineStr">
        <is>
          <t>unit/day</t>
        </is>
      </c>
      <c r="L359" t="n">
        <v>600000</v>
      </c>
      <c r="M359" t="n">
        <v>600000</v>
      </c>
      <c r="N359">
        <f>IF(COUNT(L359:M359)=0,"",AVERAGE(L359:M359))</f>
        <v/>
      </c>
      <c r="O359" t="n">
        <v>750000</v>
      </c>
      <c r="P359" t="n">
        <v>750000</v>
      </c>
      <c r="Q359">
        <f>IF(COUNT(O359:P359)=0,"",AVERAGE(O359:P359))</f>
        <v/>
      </c>
      <c r="R359">
        <f>IF(Q359&lt;&gt;"",Q359,IF(N359&lt;&gt;"",ROUND(N359*(1+$B$2),0),""))</f>
        <v/>
      </c>
      <c r="S359">
        <f>IF(AND(N359&lt;&gt;"",Q359&lt;&gt;"",N359&lt;&gt;0),(Q359-N359)/N359,"")</f>
        <v/>
      </c>
      <c r="T359" t="inlineStr">
        <is>
          <t>2025</t>
        </is>
      </c>
      <c r="V359" t="inlineStr">
        <is>
          <t>PSI Kongres</t>
        </is>
      </c>
      <c r="X359" t="inlineStr">
        <is>
          <t>OK</t>
        </is>
      </c>
      <c r="Y359" t="inlineStr">
        <is>
          <t>goose mic | unit/day</t>
        </is>
      </c>
    </row>
    <row r="360">
      <c r="A360" t="n">
        <v>356</v>
      </c>
      <c r="B360" t="inlineStr">
        <is>
          <t>📦 RATECARD DB</t>
        </is>
      </c>
      <c r="C360" t="n">
        <v>55</v>
      </c>
      <c r="D360" t="inlineStr">
        <is>
          <t>Master Ratecard</t>
        </is>
      </c>
      <c r="F360" t="inlineStr">
        <is>
          <t>SOUND LIGHTING</t>
        </is>
      </c>
      <c r="G360" t="inlineStr">
        <is>
          <t>Sound</t>
        </is>
      </c>
      <c r="H360" t="inlineStr">
        <is>
          <t>IEM G4</t>
        </is>
      </c>
      <c r="J360" t="inlineStr">
        <is>
          <t>unit/day</t>
        </is>
      </c>
      <c r="L360" t="n">
        <v>1500000</v>
      </c>
      <c r="M360" t="n">
        <v>1500000</v>
      </c>
      <c r="N360">
        <f>IF(COUNT(L360:M360)=0,"",AVERAGE(L360:M360))</f>
        <v/>
      </c>
      <c r="O360" t="n">
        <v>2000000</v>
      </c>
      <c r="P360" t="n">
        <v>2000000</v>
      </c>
      <c r="Q360">
        <f>IF(COUNT(O360:P360)=0,"",AVERAGE(O360:P360))</f>
        <v/>
      </c>
      <c r="R360">
        <f>IF(Q360&lt;&gt;"",Q360,IF(N360&lt;&gt;"",ROUND(N360*(1+$B$2),0),""))</f>
        <v/>
      </c>
      <c r="S360">
        <f>IF(AND(N360&lt;&gt;"",Q360&lt;&gt;"",N360&lt;&gt;0),(Q360-N360)/N360,"")</f>
        <v/>
      </c>
      <c r="T360" t="inlineStr">
        <is>
          <t>2025</t>
        </is>
      </c>
      <c r="V360" t="inlineStr">
        <is>
          <t>Disney OCBC</t>
        </is>
      </c>
      <c r="X360" t="inlineStr">
        <is>
          <t>OK</t>
        </is>
      </c>
      <c r="Y360" t="inlineStr">
        <is>
          <t>iem g4 | unit/day</t>
        </is>
      </c>
    </row>
    <row r="361">
      <c r="A361" t="n">
        <v>357</v>
      </c>
      <c r="B361" t="inlineStr">
        <is>
          <t>📦 RATECARD DB</t>
        </is>
      </c>
      <c r="C361" t="n">
        <v>54</v>
      </c>
      <c r="D361" t="inlineStr">
        <is>
          <t>Master Ratecard</t>
        </is>
      </c>
      <c r="F361" t="inlineStr">
        <is>
          <t>SOUND LIGHTING</t>
        </is>
      </c>
      <c r="G361" t="inlineStr">
        <is>
          <t>Sound</t>
        </is>
      </c>
      <c r="H361" t="inlineStr">
        <is>
          <t>Mic Wireless (Shure/Sennheiser)</t>
        </is>
      </c>
      <c r="J361" t="inlineStr">
        <is>
          <t>unit/day</t>
        </is>
      </c>
      <c r="L361" t="n">
        <v>1500000</v>
      </c>
      <c r="M361" t="n">
        <v>1500000</v>
      </c>
      <c r="N361">
        <f>IF(COUNT(L361:M361)=0,"",AVERAGE(L361:M361))</f>
        <v/>
      </c>
      <c r="O361" t="n">
        <v>2000000</v>
      </c>
      <c r="P361" t="n">
        <v>2000000</v>
      </c>
      <c r="Q361">
        <f>IF(COUNT(O361:P361)=0,"",AVERAGE(O361:P361))</f>
        <v/>
      </c>
      <c r="R361">
        <f>IF(Q361&lt;&gt;"",Q361,IF(N361&lt;&gt;"",ROUND(N361*(1+$B$2),0),""))</f>
        <v/>
      </c>
      <c r="S361">
        <f>IF(AND(N361&lt;&gt;"",Q361&lt;&gt;"",N361&lt;&gt;0),(Q361-N361)/N361,"")</f>
        <v/>
      </c>
      <c r="T361" t="inlineStr">
        <is>
          <t>2025</t>
        </is>
      </c>
      <c r="V361" t="inlineStr">
        <is>
          <t>Disney OCBC</t>
        </is>
      </c>
      <c r="X361" t="inlineStr">
        <is>
          <t>OK</t>
        </is>
      </c>
      <c r="Y361" t="inlineStr">
        <is>
          <t>mic wireless (shure/sennheiser) | unit/day</t>
        </is>
      </c>
    </row>
    <row r="362">
      <c r="A362" t="n">
        <v>358</v>
      </c>
      <c r="B362" t="inlineStr">
        <is>
          <t>📦 RATECARD DB</t>
        </is>
      </c>
      <c r="C362" t="n">
        <v>53</v>
      </c>
      <c r="D362" t="inlineStr">
        <is>
          <t>Master Ratecard</t>
        </is>
      </c>
      <c r="F362" t="inlineStr">
        <is>
          <t>SOUND LIGHTING</t>
        </is>
      </c>
      <c r="G362" t="inlineStr">
        <is>
          <t>Sound</t>
        </is>
      </c>
      <c r="H362" t="inlineStr">
        <is>
          <t>Mini Sound System 2.000 Watt</t>
        </is>
      </c>
      <c r="I362" t="inlineStr">
        <is>
          <t>standing</t>
        </is>
      </c>
      <c r="J362" t="inlineStr">
        <is>
          <t>package/day</t>
        </is>
      </c>
      <c r="L362" t="n">
        <v>1500000</v>
      </c>
      <c r="M362" t="n">
        <v>1500000</v>
      </c>
      <c r="N362">
        <f>IF(COUNT(L362:M362)=0,"",AVERAGE(L362:M362))</f>
        <v/>
      </c>
      <c r="O362" t="n">
        <v>2200000</v>
      </c>
      <c r="P362" t="n">
        <v>2200000</v>
      </c>
      <c r="Q362">
        <f>IF(COUNT(O362:P362)=0,"",AVERAGE(O362:P362))</f>
        <v/>
      </c>
      <c r="R362">
        <f>IF(Q362&lt;&gt;"",Q362,IF(N362&lt;&gt;"",ROUND(N362*(1+$B$2),0),""))</f>
        <v/>
      </c>
      <c r="S362">
        <f>IF(AND(N362&lt;&gt;"",Q362&lt;&gt;"",N362&lt;&gt;0),(Q362-N362)/N362,"")</f>
        <v/>
      </c>
      <c r="T362" t="inlineStr">
        <is>
          <t>2024</t>
        </is>
      </c>
      <c r="V362" t="inlineStr">
        <is>
          <t>Standard Quot 2024</t>
        </is>
      </c>
      <c r="X362" t="inlineStr">
        <is>
          <t>OK</t>
        </is>
      </c>
      <c r="Y362" t="inlineStr">
        <is>
          <t>mini sound system 2.000 watt | package/day</t>
        </is>
      </c>
    </row>
    <row r="363">
      <c r="A363" t="n">
        <v>359</v>
      </c>
      <c r="B363" t="inlineStr">
        <is>
          <t>📦 RATECARD DB</t>
        </is>
      </c>
      <c r="C363" t="n">
        <v>52</v>
      </c>
      <c r="D363" t="inlineStr">
        <is>
          <t>Master Ratecard</t>
        </is>
      </c>
      <c r="F363" t="inlineStr">
        <is>
          <t>SOUND LIGHTING</t>
        </is>
      </c>
      <c r="G363" t="inlineStr">
        <is>
          <t>Sound</t>
        </is>
      </c>
      <c r="H363" t="inlineStr">
        <is>
          <t>Sound Delay 5.000 Watt</t>
        </is>
      </c>
      <c r="I363" t="inlineStr">
        <is>
          <t>standing</t>
        </is>
      </c>
      <c r="J363" t="inlineStr">
        <is>
          <t>package/day</t>
        </is>
      </c>
      <c r="L363" t="n">
        <v>2200000</v>
      </c>
      <c r="M363" t="n">
        <v>2200000</v>
      </c>
      <c r="N363">
        <f>IF(COUNT(L363:M363)=0,"",AVERAGE(L363:M363))</f>
        <v/>
      </c>
      <c r="O363" t="n">
        <v>3000000</v>
      </c>
      <c r="P363" t="n">
        <v>3000000</v>
      </c>
      <c r="Q363">
        <f>IF(COUNT(O363:P363)=0,"",AVERAGE(O363:P363))</f>
        <v/>
      </c>
      <c r="R363">
        <f>IF(Q363&lt;&gt;"",Q363,IF(N363&lt;&gt;"",ROUND(N363*(1+$B$2),0),""))</f>
        <v/>
      </c>
      <c r="S363">
        <f>IF(AND(N363&lt;&gt;"",Q363&lt;&gt;"",N363&lt;&gt;0),(Q363-N363)/N363,"")</f>
        <v/>
      </c>
      <c r="T363" t="inlineStr">
        <is>
          <t>2025</t>
        </is>
      </c>
      <c r="V363" t="inlineStr">
        <is>
          <t>Heppiii Skate Day</t>
        </is>
      </c>
      <c r="X363" t="inlineStr">
        <is>
          <t>OK</t>
        </is>
      </c>
      <c r="Y363" t="inlineStr">
        <is>
          <t>sound delay 5.000 watt | package/day</t>
        </is>
      </c>
    </row>
    <row r="364">
      <c r="A364" t="n">
        <v>360</v>
      </c>
      <c r="B364" t="inlineStr">
        <is>
          <t>📦 RATECARD DB</t>
        </is>
      </c>
      <c r="C364" t="n">
        <v>48</v>
      </c>
      <c r="D364" t="inlineStr">
        <is>
          <t>Master Ratecard</t>
        </is>
      </c>
      <c r="F364" t="inlineStr">
        <is>
          <t>SOUND LIGHTING</t>
        </is>
      </c>
      <c r="G364" t="inlineStr">
        <is>
          <t>Sound</t>
        </is>
      </c>
      <c r="H364" t="inlineStr">
        <is>
          <t>Sound System 10.000 Watt (Line Array)</t>
        </is>
      </c>
      <c r="I364" t="inlineStr">
        <is>
          <t>inc. band gear</t>
        </is>
      </c>
      <c r="J364" t="inlineStr">
        <is>
          <t>package/day</t>
        </is>
      </c>
      <c r="L364" t="n">
        <v>8000000</v>
      </c>
      <c r="M364" t="n">
        <v>8000000</v>
      </c>
      <c r="N364">
        <f>IF(COUNT(L364:M364)=0,"",AVERAGE(L364:M364))</f>
        <v/>
      </c>
      <c r="O364" t="n">
        <v>12000000</v>
      </c>
      <c r="P364" t="n">
        <v>12000000</v>
      </c>
      <c r="Q364">
        <f>IF(COUNT(O364:P364)=0,"",AVERAGE(O364:P364))</f>
        <v/>
      </c>
      <c r="R364">
        <f>IF(Q364&lt;&gt;"",Q364,IF(N364&lt;&gt;"",ROUND(N364*(1+$B$2),0),""))</f>
        <v/>
      </c>
      <c r="S364">
        <f>IF(AND(N364&lt;&gt;"",Q364&lt;&gt;"",N364&lt;&gt;0),(Q364-N364)/N364,"")</f>
        <v/>
      </c>
      <c r="T364" t="inlineStr">
        <is>
          <t>2025</t>
        </is>
      </c>
      <c r="V364" t="inlineStr">
        <is>
          <t>Multi event</t>
        </is>
      </c>
      <c r="X364" t="inlineStr">
        <is>
          <t>OK</t>
        </is>
      </c>
      <c r="Y364" t="inlineStr">
        <is>
          <t>sound system 10.000 watt (line array) | package/day</t>
        </is>
      </c>
    </row>
    <row r="365">
      <c r="A365" t="n">
        <v>361</v>
      </c>
      <c r="B365" t="inlineStr">
        <is>
          <t>📦 RATECARD DB</t>
        </is>
      </c>
      <c r="C365" t="n">
        <v>49</v>
      </c>
      <c r="D365" t="inlineStr">
        <is>
          <t>Master Ratecard</t>
        </is>
      </c>
      <c r="F365" t="inlineStr">
        <is>
          <t>SOUND LIGHTING</t>
        </is>
      </c>
      <c r="G365" t="inlineStr">
        <is>
          <t>Sound</t>
        </is>
      </c>
      <c r="H365" t="inlineStr">
        <is>
          <t>Sound System 20.000 Watt</t>
        </is>
      </c>
      <c r="I365" t="inlineStr">
        <is>
          <t>line array</t>
        </is>
      </c>
      <c r="J365" t="inlineStr">
        <is>
          <t>package/day</t>
        </is>
      </c>
      <c r="L365" t="n">
        <v>15000000</v>
      </c>
      <c r="M365" t="n">
        <v>15000000</v>
      </c>
      <c r="N365">
        <f>IF(COUNT(L365:M365)=0,"",AVERAGE(L365:M365))</f>
        <v/>
      </c>
      <c r="O365" t="n">
        <v>22000000</v>
      </c>
      <c r="P365" t="n">
        <v>22000000</v>
      </c>
      <c r="Q365">
        <f>IF(COUNT(O365:P365)=0,"",AVERAGE(O365:P365))</f>
        <v/>
      </c>
      <c r="R365">
        <f>IF(Q365&lt;&gt;"",Q365,IF(N365&lt;&gt;"",ROUND(N365*(1+$B$2),0),""))</f>
        <v/>
      </c>
      <c r="S365">
        <f>IF(AND(N365&lt;&gt;"",Q365&lt;&gt;"",N365&lt;&gt;0),(Q365-N365)/N365,"")</f>
        <v/>
      </c>
      <c r="T365" t="inlineStr">
        <is>
          <t>2024</t>
        </is>
      </c>
      <c r="V365" t="inlineStr">
        <is>
          <t>Standard Quot 2024</t>
        </is>
      </c>
      <c r="X365" t="inlineStr">
        <is>
          <t>OK</t>
        </is>
      </c>
      <c r="Y365" t="inlineStr">
        <is>
          <t>sound system 20.000 watt | package/day</t>
        </is>
      </c>
    </row>
    <row r="366">
      <c r="A366" t="n">
        <v>362</v>
      </c>
      <c r="B366" t="inlineStr">
        <is>
          <t>📦 RATECARD DB</t>
        </is>
      </c>
      <c r="C366" t="n">
        <v>50</v>
      </c>
      <c r="D366" t="inlineStr">
        <is>
          <t>Master Ratecard</t>
        </is>
      </c>
      <c r="F366" t="inlineStr">
        <is>
          <t>SOUND LIGHTING</t>
        </is>
      </c>
      <c r="G366" t="inlineStr">
        <is>
          <t>Sound</t>
        </is>
      </c>
      <c r="H366" t="inlineStr">
        <is>
          <t>Sound System 40.000 Watt</t>
        </is>
      </c>
      <c r="I366" t="inlineStr">
        <is>
          <t>line array</t>
        </is>
      </c>
      <c r="J366" t="inlineStr">
        <is>
          <t>package/day</t>
        </is>
      </c>
      <c r="L366" t="n">
        <v>25000000</v>
      </c>
      <c r="M366" t="n">
        <v>25000000</v>
      </c>
      <c r="N366">
        <f>IF(COUNT(L366:M366)=0,"",AVERAGE(L366:M366))</f>
        <v/>
      </c>
      <c r="O366" t="n">
        <v>35000000</v>
      </c>
      <c r="P366" t="n">
        <v>35000000</v>
      </c>
      <c r="Q366">
        <f>IF(COUNT(O366:P366)=0,"",AVERAGE(O366:P366))</f>
        <v/>
      </c>
      <c r="R366">
        <f>IF(Q366&lt;&gt;"",Q366,IF(N366&lt;&gt;"",ROUND(N366*(1+$B$2),0),""))</f>
        <v/>
      </c>
      <c r="S366">
        <f>IF(AND(N366&lt;&gt;"",Q366&lt;&gt;"",N366&lt;&gt;0),(Q366-N366)/N366,"")</f>
        <v/>
      </c>
      <c r="T366" t="inlineStr">
        <is>
          <t>2024</t>
        </is>
      </c>
      <c r="V366" t="inlineStr">
        <is>
          <t>Standard Quot 2024</t>
        </is>
      </c>
      <c r="X366" t="inlineStr">
        <is>
          <t>OK</t>
        </is>
      </c>
      <c r="Y366" t="inlineStr">
        <is>
          <t>sound system 40.000 watt | package/day</t>
        </is>
      </c>
    </row>
    <row r="367">
      <c r="A367" t="n">
        <v>363</v>
      </c>
      <c r="B367" t="inlineStr">
        <is>
          <t>📦 RATECARD DB</t>
        </is>
      </c>
      <c r="C367" t="n">
        <v>47</v>
      </c>
      <c r="D367" t="inlineStr">
        <is>
          <t>Master Ratecard</t>
        </is>
      </c>
      <c r="F367" t="inlineStr">
        <is>
          <t>SOUND LIGHTING</t>
        </is>
      </c>
      <c r="G367" t="inlineStr">
        <is>
          <t>Sound</t>
        </is>
      </c>
      <c r="H367" t="inlineStr">
        <is>
          <t>Sound System 5.000 Watt (Groundstack)</t>
        </is>
      </c>
      <c r="I367" t="inlineStr">
        <is>
          <t>inc. band gear</t>
        </is>
      </c>
      <c r="J367" t="inlineStr">
        <is>
          <t>package/day</t>
        </is>
      </c>
      <c r="L367" t="n">
        <v>5000000</v>
      </c>
      <c r="M367" t="n">
        <v>5000000</v>
      </c>
      <c r="N367">
        <f>IF(COUNT(L367:M367)=0,"",AVERAGE(L367:M367))</f>
        <v/>
      </c>
      <c r="O367" t="n">
        <v>7500000</v>
      </c>
      <c r="P367" t="n">
        <v>7500000</v>
      </c>
      <c r="Q367">
        <f>IF(COUNT(O367:P367)=0,"",AVERAGE(O367:P367))</f>
        <v/>
      </c>
      <c r="R367">
        <f>IF(Q367&lt;&gt;"",Q367,IF(N367&lt;&gt;"",ROUND(N367*(1+$B$2),0),""))</f>
        <v/>
      </c>
      <c r="S367">
        <f>IF(AND(N367&lt;&gt;"",Q367&lt;&gt;"",N367&lt;&gt;0),(Q367-N367)/N367,"")</f>
        <v/>
      </c>
      <c r="T367" t="inlineStr">
        <is>
          <t>2024</t>
        </is>
      </c>
      <c r="V367" t="inlineStr">
        <is>
          <t>Standard Quot 2024</t>
        </is>
      </c>
      <c r="X367" t="inlineStr">
        <is>
          <t>OK</t>
        </is>
      </c>
      <c r="Y367" t="inlineStr">
        <is>
          <t>sound system 5.000 watt (groundstack) | package/day</t>
        </is>
      </c>
    </row>
    <row r="368">
      <c r="A368" t="n">
        <v>364</v>
      </c>
      <c r="B368" t="inlineStr">
        <is>
          <t>📦 RATECARD DB</t>
        </is>
      </c>
      <c r="C368" t="n">
        <v>51</v>
      </c>
      <c r="D368" t="inlineStr">
        <is>
          <t>Master Ratecard</t>
        </is>
      </c>
      <c r="F368" t="inlineStr">
        <is>
          <t>SOUND LIGHTING</t>
        </is>
      </c>
      <c r="G368" t="inlineStr">
        <is>
          <t>Sound</t>
        </is>
      </c>
      <c r="H368" t="inlineStr">
        <is>
          <t>Sound System 60.000 Watt (Orchestra Spec)</t>
        </is>
      </c>
      <c r="I368" t="inlineStr">
        <is>
          <t>line array</t>
        </is>
      </c>
      <c r="J368" t="inlineStr">
        <is>
          <t>package/day</t>
        </is>
      </c>
      <c r="L368" t="n">
        <v>65000000</v>
      </c>
      <c r="M368" t="n">
        <v>65000000</v>
      </c>
      <c r="N368">
        <f>IF(COUNT(L368:M368)=0,"",AVERAGE(L368:M368))</f>
        <v/>
      </c>
      <c r="O368" t="n">
        <v>84500000</v>
      </c>
      <c r="P368" t="n">
        <v>84500000</v>
      </c>
      <c r="Q368">
        <f>IF(COUNT(O368:P368)=0,"",AVERAGE(O368:P368))</f>
        <v/>
      </c>
      <c r="R368">
        <f>IF(Q368&lt;&gt;"",Q368,IF(N368&lt;&gt;"",ROUND(N368*(1+$B$2),0),""))</f>
        <v/>
      </c>
      <c r="S368">
        <f>IF(AND(N368&lt;&gt;"",Q368&lt;&gt;"",N368&lt;&gt;0),(Q368-N368)/N368,"")</f>
        <v/>
      </c>
      <c r="T368" t="inlineStr">
        <is>
          <t>2025</t>
        </is>
      </c>
      <c r="V368" t="inlineStr">
        <is>
          <t>Disney Concert OCBC</t>
        </is>
      </c>
      <c r="X368" t="inlineStr">
        <is>
          <t>OK</t>
        </is>
      </c>
      <c r="Y368" t="inlineStr">
        <is>
          <t>sound system 60.000 watt (orchestra spec) | package/day</t>
        </is>
      </c>
    </row>
    <row r="369">
      <c r="A369" t="n">
        <v>365</v>
      </c>
      <c r="B369" t="inlineStr">
        <is>
          <t>📦 RATECARD DB</t>
        </is>
      </c>
      <c r="C369" t="n">
        <v>83</v>
      </c>
      <c r="D369" t="inlineStr">
        <is>
          <t>Master Ratecard</t>
        </is>
      </c>
      <c r="F369" t="inlineStr">
        <is>
          <t>SOUND LIGHTING</t>
        </is>
      </c>
      <c r="G369" t="inlineStr">
        <is>
          <t>Special FX</t>
        </is>
      </c>
      <c r="H369" t="inlineStr">
        <is>
          <t>Balloon Drop</t>
        </is>
      </c>
      <c r="I369" t="inlineStr">
        <is>
          <t>per unit</t>
        </is>
      </c>
      <c r="J369" t="inlineStr">
        <is>
          <t>unit/event</t>
        </is>
      </c>
      <c r="L369" t="n">
        <v>2000000</v>
      </c>
      <c r="M369" t="n">
        <v>2000000</v>
      </c>
      <c r="N369">
        <f>IF(COUNT(L369:M369)=0,"",AVERAGE(L369:M369))</f>
        <v/>
      </c>
      <c r="O369" t="n">
        <v>3500000</v>
      </c>
      <c r="P369" t="n">
        <v>3500000</v>
      </c>
      <c r="Q369">
        <f>IF(COUNT(O369:P369)=0,"",AVERAGE(O369:P369))</f>
        <v/>
      </c>
      <c r="R369">
        <f>IF(Q369&lt;&gt;"",Q369,IF(N369&lt;&gt;"",ROUND(N369*(1+$B$2),0),""))</f>
        <v/>
      </c>
      <c r="S369">
        <f>IF(AND(N369&lt;&gt;"",Q369&lt;&gt;"",N369&lt;&gt;0),(Q369-N369)/N369,"")</f>
        <v/>
      </c>
      <c r="T369" t="inlineStr">
        <is>
          <t>2025</t>
        </is>
      </c>
      <c r="V369" t="inlineStr">
        <is>
          <t>Disney OCBC</t>
        </is>
      </c>
      <c r="X369" t="inlineStr">
        <is>
          <t>OK</t>
        </is>
      </c>
      <c r="Y369" t="inlineStr">
        <is>
          <t>balloon drop | unit/event</t>
        </is>
      </c>
    </row>
    <row r="370">
      <c r="A370" t="n">
        <v>366</v>
      </c>
      <c r="B370" t="inlineStr">
        <is>
          <t>📦 RATECARD DB</t>
        </is>
      </c>
      <c r="C370" t="n">
        <v>80</v>
      </c>
      <c r="D370" t="inlineStr">
        <is>
          <t>Master Ratecard</t>
        </is>
      </c>
      <c r="F370" t="inlineStr">
        <is>
          <t>SOUND LIGHTING</t>
        </is>
      </c>
      <c r="G370" t="inlineStr">
        <is>
          <t>Special FX</t>
        </is>
      </c>
      <c r="H370" t="inlineStr">
        <is>
          <t>CO2 Blast (incl. tabung)</t>
        </is>
      </c>
      <c r="J370" t="inlineStr">
        <is>
          <t>unit/event</t>
        </is>
      </c>
      <c r="L370" t="n">
        <v>800000</v>
      </c>
      <c r="M370" t="n">
        <v>800000</v>
      </c>
      <c r="N370">
        <f>IF(COUNT(L370:M370)=0,"",AVERAGE(L370:M370))</f>
        <v/>
      </c>
      <c r="O370" t="n">
        <v>1200000</v>
      </c>
      <c r="P370" t="n">
        <v>1200000</v>
      </c>
      <c r="Q370">
        <f>IF(COUNT(O370:P370)=0,"",AVERAGE(O370:P370))</f>
        <v/>
      </c>
      <c r="R370">
        <f>IF(Q370&lt;&gt;"",Q370,IF(N370&lt;&gt;"",ROUND(N370*(1+$B$2),0),""))</f>
        <v/>
      </c>
      <c r="S370">
        <f>IF(AND(N370&lt;&gt;"",Q370&lt;&gt;"",N370&lt;&gt;0),(Q370-N370)/N370,"")</f>
        <v/>
      </c>
      <c r="T370" t="inlineStr">
        <is>
          <t>2024</t>
        </is>
      </c>
      <c r="V370" t="inlineStr">
        <is>
          <t>Standard Quot 2024</t>
        </is>
      </c>
      <c r="X370" t="inlineStr">
        <is>
          <t>OK</t>
        </is>
      </c>
      <c r="Y370" t="inlineStr">
        <is>
          <t>co2 blast (incl. tabung) | unit/event</t>
        </is>
      </c>
    </row>
    <row r="371">
      <c r="A371" t="n">
        <v>367</v>
      </c>
      <c r="B371" t="inlineStr">
        <is>
          <t>📦 RATECARD DB</t>
        </is>
      </c>
      <c r="C371" t="n">
        <v>82</v>
      </c>
      <c r="D371" t="inlineStr">
        <is>
          <t>Master Ratecard</t>
        </is>
      </c>
      <c r="F371" t="inlineStr">
        <is>
          <t>SOUND LIGHTING</t>
        </is>
      </c>
      <c r="G371" t="inlineStr">
        <is>
          <t>Special FX</t>
        </is>
      </c>
      <c r="H371" t="inlineStr">
        <is>
          <t>Konfeti Canon Giant</t>
        </is>
      </c>
      <c r="J371" t="inlineStr">
        <is>
          <t>unit/event</t>
        </is>
      </c>
      <c r="L371" t="n">
        <v>1500000</v>
      </c>
      <c r="M371" t="n">
        <v>1500000</v>
      </c>
      <c r="N371">
        <f>IF(COUNT(L371:M371)=0,"",AVERAGE(L371:M371))</f>
        <v/>
      </c>
      <c r="O371" t="n">
        <v>2200000</v>
      </c>
      <c r="P371" t="n">
        <v>2200000</v>
      </c>
      <c r="Q371">
        <f>IF(COUNT(O371:P371)=0,"",AVERAGE(O371:P371))</f>
        <v/>
      </c>
      <c r="R371">
        <f>IF(Q371&lt;&gt;"",Q371,IF(N371&lt;&gt;"",ROUND(N371*(1+$B$2),0),""))</f>
        <v/>
      </c>
      <c r="S371">
        <f>IF(AND(N371&lt;&gt;"",Q371&lt;&gt;"",N371&lt;&gt;0),(Q371-N371)/N371,"")</f>
        <v/>
      </c>
      <c r="T371" t="inlineStr">
        <is>
          <t>2024</t>
        </is>
      </c>
      <c r="V371" t="inlineStr">
        <is>
          <t>Standard Quot 2024</t>
        </is>
      </c>
      <c r="X371" t="inlineStr">
        <is>
          <t>OK</t>
        </is>
      </c>
      <c r="Y371" t="inlineStr">
        <is>
          <t>konfeti canon giant | unit/event</t>
        </is>
      </c>
    </row>
    <row r="372">
      <c r="A372" t="n">
        <v>368</v>
      </c>
      <c r="B372" t="inlineStr">
        <is>
          <t>📦 RATECARD DB</t>
        </is>
      </c>
      <c r="C372" t="n">
        <v>84</v>
      </c>
      <c r="D372" t="inlineStr">
        <is>
          <t>Master Ratecard</t>
        </is>
      </c>
      <c r="F372" t="inlineStr">
        <is>
          <t>SOUND LIGHTING</t>
        </is>
      </c>
      <c r="G372" t="inlineStr">
        <is>
          <t>Special FX</t>
        </is>
      </c>
      <c r="H372" t="inlineStr">
        <is>
          <t>Laser System</t>
        </is>
      </c>
      <c r="I372" t="inlineStr">
        <is>
          <t>paket</t>
        </is>
      </c>
      <c r="J372" t="inlineStr">
        <is>
          <t>package/day</t>
        </is>
      </c>
      <c r="L372" t="n">
        <v>30000000</v>
      </c>
      <c r="M372" t="n">
        <v>30000000</v>
      </c>
      <c r="N372">
        <f>IF(COUNT(L372:M372)=0,"",AVERAGE(L372:M372))</f>
        <v/>
      </c>
      <c r="O372" t="n">
        <v>50000000</v>
      </c>
      <c r="P372" t="n">
        <v>50000000</v>
      </c>
      <c r="Q372">
        <f>IF(COUNT(O372:P372)=0,"",AVERAGE(O372:P372))</f>
        <v/>
      </c>
      <c r="R372">
        <f>IF(Q372&lt;&gt;"",Q372,IF(N372&lt;&gt;"",ROUND(N372*(1+$B$2),0),""))</f>
        <v/>
      </c>
      <c r="S372">
        <f>IF(AND(N372&lt;&gt;"",Q372&lt;&gt;"",N372&lt;&gt;0),(Q372-N372)/N372,"")</f>
        <v/>
      </c>
      <c r="T372" t="inlineStr">
        <is>
          <t>2025</t>
        </is>
      </c>
      <c r="V372" t="inlineStr">
        <is>
          <t>Disney Concert OCBC</t>
        </is>
      </c>
      <c r="X372" t="inlineStr">
        <is>
          <t>OK</t>
        </is>
      </c>
      <c r="Y372" t="inlineStr">
        <is>
          <t>laser system | package/day</t>
        </is>
      </c>
    </row>
    <row r="373">
      <c r="A373" t="n">
        <v>369</v>
      </c>
      <c r="B373" t="inlineStr">
        <is>
          <t>📦 RATECARD DB</t>
        </is>
      </c>
      <c r="C373" t="n">
        <v>81</v>
      </c>
      <c r="D373" t="inlineStr">
        <is>
          <t>Master Ratecard</t>
        </is>
      </c>
      <c r="F373" t="inlineStr">
        <is>
          <t>SOUND LIGHTING</t>
        </is>
      </c>
      <c r="G373" t="inlineStr">
        <is>
          <t>Special FX</t>
        </is>
      </c>
      <c r="H373" t="inlineStr">
        <is>
          <t>Pyrotechnic Standard</t>
        </is>
      </c>
      <c r="I373" t="inlineStr">
        <is>
          <t>per titik</t>
        </is>
      </c>
      <c r="J373" t="inlineStr">
        <is>
          <t>unit/event</t>
        </is>
      </c>
      <c r="L373" t="n">
        <v>1000000</v>
      </c>
      <c r="M373" t="n">
        <v>1000000</v>
      </c>
      <c r="N373">
        <f>IF(COUNT(L373:M373)=0,"",AVERAGE(L373:M373))</f>
        <v/>
      </c>
      <c r="O373" t="n">
        <v>1500000</v>
      </c>
      <c r="P373" t="n">
        <v>1500000</v>
      </c>
      <c r="Q373">
        <f>IF(COUNT(O373:P373)=0,"",AVERAGE(O373:P373))</f>
        <v/>
      </c>
      <c r="R373">
        <f>IF(Q373&lt;&gt;"",Q373,IF(N373&lt;&gt;"",ROUND(N373*(1+$B$2),0),""))</f>
        <v/>
      </c>
      <c r="S373">
        <f>IF(AND(N373&lt;&gt;"",Q373&lt;&gt;"",N373&lt;&gt;0),(Q373-N373)/N373,"")</f>
        <v/>
      </c>
      <c r="T373" t="inlineStr">
        <is>
          <t>2025</t>
        </is>
      </c>
      <c r="V373" t="inlineStr">
        <is>
          <t>Multi event</t>
        </is>
      </c>
      <c r="X373" t="inlineStr">
        <is>
          <t>OK</t>
        </is>
      </c>
      <c r="Y373" t="inlineStr">
        <is>
          <t>pyrotechnic standard | unit/event</t>
        </is>
      </c>
    </row>
    <row r="374">
      <c r="A374" t="n">
        <v>370</v>
      </c>
      <c r="B374" t="inlineStr">
        <is>
          <t>🕌 MUI EVENT DATA</t>
        </is>
      </c>
      <c r="C374" t="n">
        <v>137</v>
      </c>
      <c r="D374" t="inlineStr">
        <is>
          <t>MUI Real Cost</t>
        </is>
      </c>
      <c r="E374" t="inlineStr">
        <is>
          <t>TOTAL REAL COST</t>
        </is>
      </c>
      <c r="F374" t="inlineStr">
        <is>
          <t>SUMMARY</t>
        </is>
      </c>
      <c r="H374" t="inlineStr">
        <is>
          <t>ADDITIONAL (Permintaan MUI + Addcost)</t>
        </is>
      </c>
      <c r="I374" t="inlineStr">
        <is>
          <t>paid by EO, reimburse MUI</t>
        </is>
      </c>
      <c r="J374" t="inlineStr">
        <is>
          <t>event</t>
        </is>
      </c>
      <c r="K374" t="inlineStr">
        <is>
          <t>1</t>
        </is>
      </c>
      <c r="L374" t="n">
        <v>482629100</v>
      </c>
      <c r="M374" t="n">
        <v>482629100</v>
      </c>
      <c r="N374">
        <f>IF(COUNT(L374:M374)=0,"",AVERAGE(L374:M374))</f>
        <v/>
      </c>
      <c r="Q374">
        <f>IF(COUNT(O374:P374)=0,"",AVERAGE(O374:P374))</f>
        <v/>
      </c>
      <c r="R374">
        <f>IF(Q374&lt;&gt;"",Q374,IF(N374&lt;&gt;"",ROUND(N374*(1+$B$2),0),""))</f>
        <v/>
      </c>
      <c r="S374">
        <f>IF(AND(N374&lt;&gt;"",Q374&lt;&gt;"",N374&lt;&gt;0),(Q374-N374)/N374,"")</f>
        <v/>
      </c>
      <c r="T374" t="inlineStr">
        <is>
          <t>2026</t>
        </is>
      </c>
      <c r="U374" t="inlineStr">
        <is>
          <t>MUI Istiqlal 2026</t>
        </is>
      </c>
      <c r="V374" t="inlineStr">
        <is>
          <t>Real-CE MUI</t>
        </is>
      </c>
      <c r="X374" t="inlineStr">
        <is>
          <t>OK</t>
        </is>
      </c>
      <c r="Y374" t="inlineStr">
        <is>
          <t>additional (permintaan mui + addcost) | event</t>
        </is>
      </c>
    </row>
    <row r="375">
      <c r="A375" t="n">
        <v>371</v>
      </c>
      <c r="B375" t="inlineStr">
        <is>
          <t>🕌 MUI EVENT DATA</t>
        </is>
      </c>
      <c r="C375" t="n">
        <v>138</v>
      </c>
      <c r="D375" t="inlineStr">
        <is>
          <t>MUI Real Cost</t>
        </is>
      </c>
      <c r="E375" t="inlineStr">
        <is>
          <t>TOTAL REAL COST</t>
        </is>
      </c>
      <c r="F375" t="inlineStr">
        <is>
          <t>SUMMARY</t>
        </is>
      </c>
      <c r="H375" t="inlineStr">
        <is>
          <t>GRAND TOTAL REAL COST MUI</t>
        </is>
      </c>
      <c r="I375" t="inlineStr">
        <is>
          <t>production + addcost</t>
        </is>
      </c>
      <c r="J375" t="inlineStr">
        <is>
          <t>event</t>
        </is>
      </c>
      <c r="K375" t="inlineStr">
        <is>
          <t>1</t>
        </is>
      </c>
      <c r="L375" t="n">
        <v>2273113600</v>
      </c>
      <c r="M375" t="n">
        <v>2273113600</v>
      </c>
      <c r="N375">
        <f>IF(COUNT(L375:M375)=0,"",AVERAGE(L375:M375))</f>
        <v/>
      </c>
      <c r="Q375">
        <f>IF(COUNT(O375:P375)=0,"",AVERAGE(O375:P375))</f>
        <v/>
      </c>
      <c r="R375">
        <f>IF(Q375&lt;&gt;"",Q375,IF(N375&lt;&gt;"",ROUND(N375*(1+$B$2),0),""))</f>
        <v/>
      </c>
      <c r="S375">
        <f>IF(AND(N375&lt;&gt;"",Q375&lt;&gt;"",N375&lt;&gt;0),(Q375-N375)/N375,"")</f>
        <v/>
      </c>
      <c r="T375" t="inlineStr">
        <is>
          <t>2026</t>
        </is>
      </c>
      <c r="U375" t="inlineStr">
        <is>
          <t>MUI Istiqlal 2026</t>
        </is>
      </c>
      <c r="V375" t="inlineStr">
        <is>
          <t>Total HPP aktual</t>
        </is>
      </c>
      <c r="X375" t="inlineStr">
        <is>
          <t>OK</t>
        </is>
      </c>
      <c r="Y375" t="inlineStr">
        <is>
          <t>grand total real cost mui | event</t>
        </is>
      </c>
    </row>
    <row r="376">
      <c r="A376" t="n">
        <v>372</v>
      </c>
      <c r="B376" t="inlineStr">
        <is>
          <t>🕌 MUI EVENT DATA</t>
        </is>
      </c>
      <c r="C376" t="n">
        <v>136</v>
      </c>
      <c r="D376" t="inlineStr">
        <is>
          <t>MUI Real Cost</t>
        </is>
      </c>
      <c r="E376" t="inlineStr">
        <is>
          <t>TOTAL REAL COST</t>
        </is>
      </c>
      <c r="F376" t="inlineStr">
        <is>
          <t>SUMMARY</t>
        </is>
      </c>
      <c r="H376" t="inlineStr">
        <is>
          <t>TOTAL COST PRODUCTION</t>
        </is>
      </c>
      <c r="I376" t="inlineStr">
        <is>
          <t>Real-CE total</t>
        </is>
      </c>
      <c r="J376" t="inlineStr">
        <is>
          <t>event</t>
        </is>
      </c>
      <c r="K376" t="inlineStr">
        <is>
          <t>1</t>
        </is>
      </c>
      <c r="L376" t="n">
        <v>1790484500</v>
      </c>
      <c r="M376" t="n">
        <v>1790484500</v>
      </c>
      <c r="N376">
        <f>IF(COUNT(L376:M376)=0,"",AVERAGE(L376:M376))</f>
        <v/>
      </c>
      <c r="Q376">
        <f>IF(COUNT(O376:P376)=0,"",AVERAGE(O376:P376))</f>
        <v/>
      </c>
      <c r="R376">
        <f>IF(Q376&lt;&gt;"",Q376,IF(N376&lt;&gt;"",ROUND(N376*(1+$B$2),0),""))</f>
        <v/>
      </c>
      <c r="S376">
        <f>IF(AND(N376&lt;&gt;"",Q376&lt;&gt;"",N376&lt;&gt;0),(Q376-N376)/N376,"")</f>
        <v/>
      </c>
      <c r="T376" t="inlineStr">
        <is>
          <t>2026</t>
        </is>
      </c>
      <c r="U376" t="inlineStr">
        <is>
          <t>MUI Istiqlal 2026</t>
        </is>
      </c>
      <c r="V376" t="inlineStr">
        <is>
          <t>Real-CE MUI (by EO)</t>
        </is>
      </c>
      <c r="X376" t="inlineStr">
        <is>
          <t>OK</t>
        </is>
      </c>
      <c r="Y376" t="inlineStr">
        <is>
          <t>total cost production | event</t>
        </is>
      </c>
    </row>
    <row r="377">
      <c r="A377" t="n">
        <v>373</v>
      </c>
      <c r="B377" t="inlineStr">
        <is>
          <t>🕌 MUI EVENT DATA</t>
        </is>
      </c>
      <c r="C377" t="n">
        <v>139</v>
      </c>
      <c r="D377" t="inlineStr">
        <is>
          <t>MUI Real Cost</t>
        </is>
      </c>
      <c r="E377" t="inlineStr">
        <is>
          <t>MUI/JBBS</t>
        </is>
      </c>
      <c r="F377" t="inlineStr">
        <is>
          <t>SUMMARY</t>
        </is>
      </c>
      <c r="H377" t="inlineStr">
        <is>
          <t>TOTAL NILAI QUOTATION KE MUI</t>
        </is>
      </c>
      <c r="J377" t="inlineStr">
        <is>
          <t>event</t>
        </is>
      </c>
      <c r="K377" t="inlineStr">
        <is>
          <t>1</t>
        </is>
      </c>
      <c r="L377" t="n">
        <v>2500000000</v>
      </c>
      <c r="M377" t="n">
        <v>2500000000</v>
      </c>
      <c r="N377">
        <f>IF(COUNT(L377:M377)=0,"",AVERAGE(L377:M377))</f>
        <v/>
      </c>
      <c r="Q377">
        <f>IF(COUNT(O377:P377)=0,"",AVERAGE(O377:P377))</f>
        <v/>
      </c>
      <c r="R377">
        <f>IF(Q377&lt;&gt;"",Q377,IF(N377&lt;&gt;"",ROUND(N377*(1+$B$2),0),""))</f>
        <v/>
      </c>
      <c r="S377">
        <f>IF(AND(N377&lt;&gt;"",Q377&lt;&gt;"",N377&lt;&gt;0),(Q377-N377)/N377,"")</f>
        <v/>
      </c>
      <c r="T377" t="inlineStr">
        <is>
          <t>2026</t>
        </is>
      </c>
      <c r="U377" t="inlineStr">
        <is>
          <t>MUI Istiqlal 2026</t>
        </is>
      </c>
      <c r="V377" t="inlineStr">
        <is>
          <t>RAB MUI; Juara share 70% = 1,75M</t>
        </is>
      </c>
      <c r="X377" t="inlineStr">
        <is>
          <t>OK</t>
        </is>
      </c>
      <c r="Y377" t="inlineStr">
        <is>
          <t>total nilai quotation ke mui | event</t>
        </is>
      </c>
    </row>
    <row r="378">
      <c r="A378" t="n">
        <v>374</v>
      </c>
      <c r="B378" t="inlineStr">
        <is>
          <t>💰 HPP VENDOR</t>
        </is>
      </c>
      <c r="C378" t="n">
        <v>30</v>
      </c>
      <c r="D378" t="inlineStr">
        <is>
          <t>Vendor HPP</t>
        </is>
      </c>
      <c r="E378" t="inlineStr">
        <is>
          <t>PT Raja Adhipramana Semesta (RAS)</t>
        </is>
      </c>
      <c r="F378" t="inlineStr">
        <is>
          <t>Security</t>
        </is>
      </c>
      <c r="H378" t="inlineStr">
        <is>
          <t>Akomodasi Team Security</t>
        </is>
      </c>
      <c r="I378" t="inlineStr">
        <is>
          <t>per room</t>
        </is>
      </c>
      <c r="J378" t="inlineStr">
        <is>
          <t>room/night</t>
        </is>
      </c>
      <c r="K378" t="inlineStr">
        <is>
          <t>1</t>
        </is>
      </c>
      <c r="L378" t="n">
        <v>750000</v>
      </c>
      <c r="M378" t="n">
        <v>750000</v>
      </c>
      <c r="N378">
        <f>IF(COUNT(L378:M378)=0,"",AVERAGE(L378:M378))</f>
        <v/>
      </c>
      <c r="Q378">
        <f>IF(COUNT(O378:P378)=0,"",AVERAGE(O378:P378))</f>
        <v/>
      </c>
      <c r="R378">
        <f>IF(Q378&lt;&gt;"",Q378,IF(N378&lt;&gt;"",ROUND(N378*(1+$B$2),0),""))</f>
        <v/>
      </c>
      <c r="S378">
        <f>IF(AND(N378&lt;&gt;"",Q378&lt;&gt;"",N378&lt;&gt;0),(Q378-N378)/N378,"")</f>
        <v/>
      </c>
      <c r="T378" t="inlineStr">
        <is>
          <t>2024</t>
        </is>
      </c>
      <c r="U378" t="inlineStr">
        <is>
          <t>Multi Event Juara Jan 2024</t>
        </is>
      </c>
      <c r="V378" t="inlineStr">
        <is>
          <t>HPP Vendor</t>
        </is>
      </c>
      <c r="X378" t="inlineStr">
        <is>
          <t>OK</t>
        </is>
      </c>
      <c r="Y378" t="inlineStr">
        <is>
          <t>akomodasi team security | room/night</t>
        </is>
      </c>
    </row>
    <row r="379">
      <c r="A379" t="n">
        <v>375</v>
      </c>
      <c r="B379" t="inlineStr">
        <is>
          <t>💰 HPP VENDOR</t>
        </is>
      </c>
      <c r="C379" t="n">
        <v>28</v>
      </c>
      <c r="D379" t="inlineStr">
        <is>
          <t>Vendor HPP</t>
        </is>
      </c>
      <c r="E379" t="inlineStr">
        <is>
          <t>PT Raja Adhipramana Semesta (RAS)</t>
        </is>
      </c>
      <c r="F379" t="inlineStr">
        <is>
          <t>Security</t>
        </is>
      </c>
      <c r="H379" t="inlineStr">
        <is>
          <t>Ambulance</t>
        </is>
      </c>
      <c r="I379" t="inlineStr">
        <is>
          <t>standby</t>
        </is>
      </c>
      <c r="J379" t="inlineStr">
        <is>
          <t>unit</t>
        </is>
      </c>
      <c r="K379" t="inlineStr">
        <is>
          <t>1</t>
        </is>
      </c>
      <c r="L379" t="n">
        <v>1500000</v>
      </c>
      <c r="M379" t="n">
        <v>1500000</v>
      </c>
      <c r="N379">
        <f>IF(COUNT(L379:M379)=0,"",AVERAGE(L379:M379))</f>
        <v/>
      </c>
      <c r="Q379">
        <f>IF(COUNT(O379:P379)=0,"",AVERAGE(O379:P379))</f>
        <v/>
      </c>
      <c r="R379">
        <f>IF(Q379&lt;&gt;"",Q379,IF(N379&lt;&gt;"",ROUND(N379*(1+$B$2),0),""))</f>
        <v/>
      </c>
      <c r="S379">
        <f>IF(AND(N379&lt;&gt;"",Q379&lt;&gt;"",N379&lt;&gt;0),(Q379-N379)/N379,"")</f>
        <v/>
      </c>
      <c r="T379" t="inlineStr">
        <is>
          <t>2024</t>
        </is>
      </c>
      <c r="U379" t="inlineStr">
        <is>
          <t>Multi Event Juara Jan 2024</t>
        </is>
      </c>
      <c r="V379" t="inlineStr">
        <is>
          <t>HPP Vendor</t>
        </is>
      </c>
      <c r="X379" t="inlineStr">
        <is>
          <t>OK</t>
        </is>
      </c>
      <c r="Y379" t="inlineStr">
        <is>
          <t>ambulance | unit</t>
        </is>
      </c>
    </row>
    <row r="380">
      <c r="A380" t="n">
        <v>376</v>
      </c>
      <c r="B380" t="inlineStr">
        <is>
          <t>🕌 MUI EVENT DATA</t>
        </is>
      </c>
      <c r="C380" t="n">
        <v>140</v>
      </c>
      <c r="D380" t="inlineStr">
        <is>
          <t>MUI Real Cost</t>
        </is>
      </c>
      <c r="E380" t="inlineStr">
        <is>
          <t>CAKRAYUDHA</t>
        </is>
      </c>
      <c r="F380" t="inlineStr">
        <is>
          <t>Security</t>
        </is>
      </c>
      <c r="H380" t="inlineStr">
        <is>
          <t>DP Security &amp; Internal Guard (CAKRAYUDHA)</t>
        </is>
      </c>
      <c r="J380" t="inlineStr">
        <is>
          <t>pckg</t>
        </is>
      </c>
      <c r="K380" t="inlineStr">
        <is>
          <t>1</t>
        </is>
      </c>
      <c r="L380" t="n">
        <v>72500000</v>
      </c>
      <c r="M380" t="n">
        <v>72500000</v>
      </c>
      <c r="N380">
        <f>IF(COUNT(L380:M380)=0,"",AVERAGE(L380:M380))</f>
        <v/>
      </c>
      <c r="Q380">
        <f>IF(COUNT(O380:P380)=0,"",AVERAGE(O380:P380))</f>
        <v/>
      </c>
      <c r="R380">
        <f>IF(Q380&lt;&gt;"",Q380,IF(N380&lt;&gt;"",ROUND(N380*(1+$B$2),0),""))</f>
        <v/>
      </c>
      <c r="S380">
        <f>IF(AND(N380&lt;&gt;"",Q380&lt;&gt;"",N380&lt;&gt;0),(Q380-N380)/N380,"")</f>
        <v/>
      </c>
      <c r="T380" t="inlineStr">
        <is>
          <t>2026</t>
        </is>
      </c>
      <c r="U380" t="inlineStr">
        <is>
          <t>MUI Istiqlal 2026</t>
        </is>
      </c>
      <c r="V380" t="inlineStr">
        <is>
          <t>RFP MUI.xlsx bank mutation</t>
        </is>
      </c>
      <c r="X380" t="inlineStr">
        <is>
          <t>OK</t>
        </is>
      </c>
      <c r="Y380" t="inlineStr">
        <is>
          <t>dp security &amp; internal guard (cakrayudha) | pckg</t>
        </is>
      </c>
    </row>
    <row r="381">
      <c r="A381" t="n">
        <v>377</v>
      </c>
      <c r="B381" t="inlineStr">
        <is>
          <t>💰 HPP VENDOR</t>
        </is>
      </c>
      <c r="C381" t="n">
        <v>26</v>
      </c>
      <c r="D381" t="inlineStr">
        <is>
          <t>Vendor HPP</t>
        </is>
      </c>
      <c r="E381" t="inlineStr">
        <is>
          <t>PT Raja Adhipramana Semesta (RAS)</t>
        </is>
      </c>
      <c r="F381" t="inlineStr">
        <is>
          <t>Security</t>
        </is>
      </c>
      <c r="H381" t="inlineStr">
        <is>
          <t>Internal Guard / Body Guard</t>
        </is>
      </c>
      <c r="I381" t="inlineStr">
        <is>
          <t>non ormas</t>
        </is>
      </c>
      <c r="J381" t="inlineStr">
        <is>
          <t>person/day</t>
        </is>
      </c>
      <c r="K381" t="inlineStr">
        <is>
          <t>1</t>
        </is>
      </c>
      <c r="L381" t="n">
        <v>400000</v>
      </c>
      <c r="M381" t="n">
        <v>400000</v>
      </c>
      <c r="N381">
        <f>IF(COUNT(L381:M381)=0,"",AVERAGE(L381:M381))</f>
        <v/>
      </c>
      <c r="Q381">
        <f>IF(COUNT(O381:P381)=0,"",AVERAGE(O381:P381))</f>
        <v/>
      </c>
      <c r="R381">
        <f>IF(Q381&lt;&gt;"",Q381,IF(N381&lt;&gt;"",ROUND(N381*(1+$B$2),0),""))</f>
        <v/>
      </c>
      <c r="S381">
        <f>IF(AND(N381&lt;&gt;"",Q381&lt;&gt;"",N381&lt;&gt;0),(Q381-N381)/N381,"")</f>
        <v/>
      </c>
      <c r="T381" t="inlineStr">
        <is>
          <t>2024</t>
        </is>
      </c>
      <c r="U381" t="inlineStr">
        <is>
          <t>Multi Event Juara Jan 2024</t>
        </is>
      </c>
      <c r="V381" t="inlineStr">
        <is>
          <t>HPP Vendor</t>
        </is>
      </c>
      <c r="W381" t="inlineStr">
        <is>
          <t>INV 029/030/031</t>
        </is>
      </c>
      <c r="X381" t="inlineStr">
        <is>
          <t>OK</t>
        </is>
      </c>
      <c r="Y381" t="inlineStr">
        <is>
          <t>internal guard / body guard | person/day</t>
        </is>
      </c>
    </row>
    <row r="382">
      <c r="A382" t="n">
        <v>378</v>
      </c>
      <c r="B382" t="inlineStr">
        <is>
          <t>💰 HPP VENDOR</t>
        </is>
      </c>
      <c r="C382" t="n">
        <v>32</v>
      </c>
      <c r="D382" t="inlineStr">
        <is>
          <t>Vendor HPP</t>
        </is>
      </c>
      <c r="E382" t="inlineStr">
        <is>
          <t>PT Raja Adhipramana Semesta (RAS)</t>
        </is>
      </c>
      <c r="F382" t="inlineStr">
        <is>
          <t>Security</t>
        </is>
      </c>
      <c r="H382" t="inlineStr">
        <is>
          <t>Management Fee</t>
        </is>
      </c>
      <c r="I382" t="inlineStr">
        <is>
          <t>10% dari sub total</t>
        </is>
      </c>
      <c r="J382" t="inlineStr">
        <is>
          <t>%</t>
        </is>
      </c>
      <c r="K382" t="inlineStr">
        <is>
          <t>10</t>
        </is>
      </c>
      <c r="L382" t="n">
        <v>0</v>
      </c>
      <c r="M382" t="n">
        <v>0</v>
      </c>
      <c r="N382">
        <f>IF(COUNT(L382:M382)=0,"",AVERAGE(L382:M382))</f>
        <v/>
      </c>
      <c r="Q382">
        <f>IF(COUNT(O382:P382)=0,"",AVERAGE(O382:P382))</f>
        <v/>
      </c>
      <c r="R382">
        <f>IF(Q382&lt;&gt;"",Q382,IF(N382&lt;&gt;"",ROUND(N382*(1+$B$2),0),""))</f>
        <v/>
      </c>
      <c r="S382">
        <f>IF(AND(N382&lt;&gt;"",Q382&lt;&gt;"",N382&lt;&gt;0),(Q382-N382)/N382,"")</f>
        <v/>
      </c>
      <c r="T382" t="inlineStr">
        <is>
          <t>2024</t>
        </is>
      </c>
      <c r="U382" t="inlineStr">
        <is>
          <t>Standard fee RAS</t>
        </is>
      </c>
      <c r="V382" t="inlineStr">
        <is>
          <t>HPP Vendor</t>
        </is>
      </c>
      <c r="W382" t="inlineStr">
        <is>
          <t>markup 10%</t>
        </is>
      </c>
      <c r="X382" t="inlineStr">
        <is>
          <t>Zero HPP - review</t>
        </is>
      </c>
      <c r="Y382" t="inlineStr">
        <is>
          <t>management fee | %</t>
        </is>
      </c>
    </row>
    <row r="383">
      <c r="A383" t="n">
        <v>379</v>
      </c>
      <c r="B383" t="inlineStr">
        <is>
          <t>💰 HPP VENDOR</t>
        </is>
      </c>
      <c r="C383" t="n">
        <v>31</v>
      </c>
      <c r="D383" t="inlineStr">
        <is>
          <t>Vendor HPP</t>
        </is>
      </c>
      <c r="E383" t="inlineStr">
        <is>
          <t>PT Raja Adhipramana Semesta (RAS)</t>
        </is>
      </c>
      <c r="F383" t="inlineStr">
        <is>
          <t>Security</t>
        </is>
      </c>
      <c r="H383" t="inlineStr">
        <is>
          <t>Mobil Damkar + Team</t>
        </is>
      </c>
      <c r="I383" t="inlineStr">
        <is>
          <t>emergency call</t>
        </is>
      </c>
      <c r="J383" t="inlineStr">
        <is>
          <t>unit</t>
        </is>
      </c>
      <c r="K383" t="inlineStr">
        <is>
          <t>1</t>
        </is>
      </c>
      <c r="L383" t="n">
        <v>3000000</v>
      </c>
      <c r="M383" t="n">
        <v>3000000</v>
      </c>
      <c r="N383">
        <f>IF(COUNT(L383:M383)=0,"",AVERAGE(L383:M383))</f>
        <v/>
      </c>
      <c r="Q383">
        <f>IF(COUNT(O383:P383)=0,"",AVERAGE(O383:P383))</f>
        <v/>
      </c>
      <c r="R383">
        <f>IF(Q383&lt;&gt;"",Q383,IF(N383&lt;&gt;"",ROUND(N383*(1+$B$2),0),""))</f>
        <v/>
      </c>
      <c r="S383">
        <f>IF(AND(N383&lt;&gt;"",Q383&lt;&gt;"",N383&lt;&gt;0),(Q383-N383)/N383,"")</f>
        <v/>
      </c>
      <c r="T383" t="inlineStr">
        <is>
          <t>2024</t>
        </is>
      </c>
      <c r="U383" t="inlineStr">
        <is>
          <t>Multi Event Juara Jan 2024</t>
        </is>
      </c>
      <c r="V383" t="inlineStr">
        <is>
          <t>HPP Vendor</t>
        </is>
      </c>
      <c r="X383" t="inlineStr">
        <is>
          <t>OK</t>
        </is>
      </c>
      <c r="Y383" t="inlineStr">
        <is>
          <t>mobil damkar + team | unit</t>
        </is>
      </c>
    </row>
    <row r="384">
      <c r="A384" t="n">
        <v>380</v>
      </c>
      <c r="B384" t="inlineStr">
        <is>
          <t>🕌 MUI EVENT DATA</t>
        </is>
      </c>
      <c r="C384" t="n">
        <v>46</v>
      </c>
      <c r="D384" t="inlineStr">
        <is>
          <t>MUI Real Cost</t>
        </is>
      </c>
      <c r="E384" t="inlineStr">
        <is>
          <t>MUI/EO</t>
        </is>
      </c>
      <c r="F384" t="inlineStr">
        <is>
          <t>Security</t>
        </is>
      </c>
      <c r="H384" t="inlineStr">
        <is>
          <t>Scanner Carribe (registrasi)</t>
        </is>
      </c>
      <c r="I384" t="inlineStr">
        <is>
          <t>per unit per hari</t>
        </is>
      </c>
      <c r="J384" t="inlineStr">
        <is>
          <t>unit/day</t>
        </is>
      </c>
      <c r="K384" t="inlineStr">
        <is>
          <t>1</t>
        </is>
      </c>
      <c r="L384" t="n">
        <v>250000</v>
      </c>
      <c r="M384" t="n">
        <v>250000</v>
      </c>
      <c r="N384">
        <f>IF(COUNT(L384:M384)=0,"",AVERAGE(L384:M384))</f>
        <v/>
      </c>
      <c r="Q384">
        <f>IF(COUNT(O384:P384)=0,"",AVERAGE(O384:P384))</f>
        <v/>
      </c>
      <c r="R384">
        <f>IF(Q384&lt;&gt;"",Q384,IF(N384&lt;&gt;"",ROUND(N384*(1+$B$2),0),""))</f>
        <v/>
      </c>
      <c r="S384">
        <f>IF(AND(N384&lt;&gt;"",Q384&lt;&gt;"",N384&lt;&gt;0),(Q384-N384)/N384,"")</f>
        <v/>
      </c>
      <c r="T384" t="inlineStr">
        <is>
          <t>2026</t>
        </is>
      </c>
      <c r="U384" t="inlineStr">
        <is>
          <t>MUI Istiqlal 2026</t>
        </is>
      </c>
      <c r="V384" t="inlineStr">
        <is>
          <t>Real-CE MUI</t>
        </is>
      </c>
      <c r="X384" t="inlineStr">
        <is>
          <t>OK</t>
        </is>
      </c>
      <c r="Y384" t="inlineStr">
        <is>
          <t>scanner carribe (registrasi) | unit/day</t>
        </is>
      </c>
    </row>
    <row r="385">
      <c r="A385" t="n">
        <v>381</v>
      </c>
      <c r="B385" t="inlineStr">
        <is>
          <t>🕌 MUI EVENT DATA</t>
        </is>
      </c>
      <c r="C385" t="n">
        <v>44</v>
      </c>
      <c r="D385" t="inlineStr">
        <is>
          <t>MUI Real Cost</t>
        </is>
      </c>
      <c r="E385" t="inlineStr">
        <is>
          <t>MUI/EO</t>
        </is>
      </c>
      <c r="F385" t="inlineStr">
        <is>
          <t>Security</t>
        </is>
      </c>
      <c r="H385" t="inlineStr">
        <is>
          <t>Secdoor</t>
        </is>
      </c>
      <c r="I385" t="inlineStr">
        <is>
          <t>per unit per hari</t>
        </is>
      </c>
      <c r="J385" t="inlineStr">
        <is>
          <t>unit/day</t>
        </is>
      </c>
      <c r="K385" t="inlineStr">
        <is>
          <t>1</t>
        </is>
      </c>
      <c r="L385" t="n">
        <v>1500000</v>
      </c>
      <c r="M385" t="n">
        <v>1500000</v>
      </c>
      <c r="N385">
        <f>IF(COUNT(L385:M385)=0,"",AVERAGE(L385:M385))</f>
        <v/>
      </c>
      <c r="Q385">
        <f>IF(COUNT(O385:P385)=0,"",AVERAGE(O385:P385))</f>
        <v/>
      </c>
      <c r="R385">
        <f>IF(Q385&lt;&gt;"",Q385,IF(N385&lt;&gt;"",ROUND(N385*(1+$B$2),0),""))</f>
        <v/>
      </c>
      <c r="S385">
        <f>IF(AND(N385&lt;&gt;"",Q385&lt;&gt;"",N385&lt;&gt;0),(Q385-N385)/N385,"")</f>
        <v/>
      </c>
      <c r="T385" t="inlineStr">
        <is>
          <t>2026</t>
        </is>
      </c>
      <c r="U385" t="inlineStr">
        <is>
          <t>MUI Istiqlal 2026</t>
        </is>
      </c>
      <c r="V385" t="inlineStr">
        <is>
          <t>Real-CE MUI</t>
        </is>
      </c>
      <c r="X385" t="inlineStr">
        <is>
          <t>OK</t>
        </is>
      </c>
      <c r="Y385" t="inlineStr">
        <is>
          <t>secdoor | unit/day</t>
        </is>
      </c>
    </row>
    <row r="386">
      <c r="A386" t="n">
        <v>382</v>
      </c>
      <c r="B386" t="inlineStr">
        <is>
          <t>💰 HPP VENDOR</t>
        </is>
      </c>
      <c r="C386" t="n">
        <v>29</v>
      </c>
      <c r="D386" t="inlineStr">
        <is>
          <t>Vendor HPP</t>
        </is>
      </c>
      <c r="E386" t="inlineStr">
        <is>
          <t>PT Raja Adhipramana Semesta (RAS)</t>
        </is>
      </c>
      <c r="F386" t="inlineStr">
        <is>
          <t>Security</t>
        </is>
      </c>
      <c r="H386" t="inlineStr">
        <is>
          <t>Social Mapping</t>
        </is>
      </c>
      <c r="J386" t="inlineStr">
        <is>
          <t>paket</t>
        </is>
      </c>
      <c r="K386" t="inlineStr">
        <is>
          <t>1</t>
        </is>
      </c>
      <c r="L386" t="n">
        <v>700000</v>
      </c>
      <c r="M386" t="n">
        <v>700000</v>
      </c>
      <c r="N386">
        <f>IF(COUNT(L386:M386)=0,"",AVERAGE(L386:M386))</f>
        <v/>
      </c>
      <c r="Q386">
        <f>IF(COUNT(O386:P386)=0,"",AVERAGE(O386:P386))</f>
        <v/>
      </c>
      <c r="R386">
        <f>IF(Q386&lt;&gt;"",Q386,IF(N386&lt;&gt;"",ROUND(N386*(1+$B$2),0),""))</f>
        <v/>
      </c>
      <c r="S386">
        <f>IF(AND(N386&lt;&gt;"",Q386&lt;&gt;"",N386&lt;&gt;0),(Q386-N386)/N386,"")</f>
        <v/>
      </c>
      <c r="T386" t="inlineStr">
        <is>
          <t>2024</t>
        </is>
      </c>
      <c r="U386" t="inlineStr">
        <is>
          <t>Multi Event Juara Jan 2024</t>
        </is>
      </c>
      <c r="V386" t="inlineStr">
        <is>
          <t>HPP Vendor</t>
        </is>
      </c>
      <c r="X386" t="inlineStr">
        <is>
          <t>OK</t>
        </is>
      </c>
      <c r="Y386" t="inlineStr">
        <is>
          <t>social mapping | paket</t>
        </is>
      </c>
    </row>
    <row r="387">
      <c r="A387" t="n">
        <v>383</v>
      </c>
      <c r="B387" t="inlineStr">
        <is>
          <t>💰 HPP VENDOR</t>
        </is>
      </c>
      <c r="C387" t="n">
        <v>27</v>
      </c>
      <c r="D387" t="inlineStr">
        <is>
          <t>Vendor HPP</t>
        </is>
      </c>
      <c r="E387" t="inlineStr">
        <is>
          <t>PT Raja Adhipramana Semesta (RAS)</t>
        </is>
      </c>
      <c r="F387" t="inlineStr">
        <is>
          <t>Security</t>
        </is>
      </c>
      <c r="H387" t="inlineStr">
        <is>
          <t>Transport Personil Security</t>
        </is>
      </c>
      <c r="I387" t="inlineStr">
        <is>
          <t>per kendaraan</t>
        </is>
      </c>
      <c r="J387" t="inlineStr">
        <is>
          <t>unit</t>
        </is>
      </c>
      <c r="K387" t="inlineStr">
        <is>
          <t>1</t>
        </is>
      </c>
      <c r="L387" t="n">
        <v>750000</v>
      </c>
      <c r="M387" t="n">
        <v>750000</v>
      </c>
      <c r="N387">
        <f>IF(COUNT(L387:M387)=0,"",AVERAGE(L387:M387))</f>
        <v/>
      </c>
      <c r="Q387">
        <f>IF(COUNT(O387:P387)=0,"",AVERAGE(O387:P387))</f>
        <v/>
      </c>
      <c r="R387">
        <f>IF(Q387&lt;&gt;"",Q387,IF(N387&lt;&gt;"",ROUND(N387*(1+$B$2),0),""))</f>
        <v/>
      </c>
      <c r="S387">
        <f>IF(AND(N387&lt;&gt;"",Q387&lt;&gt;"",N387&lt;&gt;0),(Q387-N387)/N387,"")</f>
        <v/>
      </c>
      <c r="T387" t="inlineStr">
        <is>
          <t>2024</t>
        </is>
      </c>
      <c r="U387" t="inlineStr">
        <is>
          <t>Multi Event Juara Jan 2024</t>
        </is>
      </c>
      <c r="V387" t="inlineStr">
        <is>
          <t>HPP Vendor</t>
        </is>
      </c>
      <c r="X387" t="inlineStr">
        <is>
          <t>OK</t>
        </is>
      </c>
      <c r="Y387" t="inlineStr">
        <is>
          <t>transport personil security | unit</t>
        </is>
      </c>
    </row>
    <row r="388">
      <c r="A388" t="n">
        <v>384</v>
      </c>
      <c r="B388" t="inlineStr">
        <is>
          <t>🕌 MUI EVENT DATA</t>
        </is>
      </c>
      <c r="C388" t="n">
        <v>45</v>
      </c>
      <c r="D388" t="inlineStr">
        <is>
          <t>MUI Real Cost</t>
        </is>
      </c>
      <c r="E388" t="inlineStr">
        <is>
          <t>MUI/EO</t>
        </is>
      </c>
      <c r="F388" t="inlineStr">
        <is>
          <t>Security</t>
        </is>
      </c>
      <c r="H388" t="inlineStr">
        <is>
          <t>X-Ray Machine</t>
        </is>
      </c>
      <c r="I388" t="inlineStr">
        <is>
          <t>per unit per hari</t>
        </is>
      </c>
      <c r="J388" t="inlineStr">
        <is>
          <t>unit/day</t>
        </is>
      </c>
      <c r="K388" t="inlineStr">
        <is>
          <t>1</t>
        </is>
      </c>
      <c r="L388" t="n">
        <v>5500000</v>
      </c>
      <c r="M388" t="n">
        <v>5500000</v>
      </c>
      <c r="N388">
        <f>IF(COUNT(L388:M388)=0,"",AVERAGE(L388:M388))</f>
        <v/>
      </c>
      <c r="Q388">
        <f>IF(COUNT(O388:P388)=0,"",AVERAGE(O388:P388))</f>
        <v/>
      </c>
      <c r="R388">
        <f>IF(Q388&lt;&gt;"",Q388,IF(N388&lt;&gt;"",ROUND(N388*(1+$B$2),0),""))</f>
        <v/>
      </c>
      <c r="S388">
        <f>IF(AND(N388&lt;&gt;"",Q388&lt;&gt;"",N388&lt;&gt;0),(Q388-N388)/N388,"")</f>
        <v/>
      </c>
      <c r="T388" t="inlineStr">
        <is>
          <t>2026</t>
        </is>
      </c>
      <c r="U388" t="inlineStr">
        <is>
          <t>MUI Istiqlal 2026</t>
        </is>
      </c>
      <c r="V388" t="inlineStr">
        <is>
          <t>Real-CE MUI</t>
        </is>
      </c>
      <c r="X388" t="inlineStr">
        <is>
          <t>OK</t>
        </is>
      </c>
      <c r="Y388" t="inlineStr">
        <is>
          <t>x-ray machine | unit/day</t>
        </is>
      </c>
    </row>
    <row r="389">
      <c r="A389" t="n">
        <v>385</v>
      </c>
      <c r="B389" t="inlineStr">
        <is>
          <t>💰 HPP VENDOR</t>
        </is>
      </c>
      <c r="C389" t="n">
        <v>34</v>
      </c>
      <c r="D389" t="inlineStr">
        <is>
          <t>Vendor HPP</t>
        </is>
      </c>
      <c r="E389" t="inlineStr">
        <is>
          <t>Bray Management</t>
        </is>
      </c>
      <c r="F389" t="inlineStr">
        <is>
          <t>Show Management</t>
        </is>
      </c>
      <c r="H389" t="inlineStr">
        <is>
          <t>Hollyland C1 Pro</t>
        </is>
      </c>
      <c r="I389" t="inlineStr">
        <is>
          <t>per hari</t>
        </is>
      </c>
      <c r="J389" t="inlineStr">
        <is>
          <t>unit/day</t>
        </is>
      </c>
      <c r="K389" t="inlineStr">
        <is>
          <t>1</t>
        </is>
      </c>
      <c r="L389" t="n">
        <v>200000</v>
      </c>
      <c r="M389" t="n">
        <v>200000</v>
      </c>
      <c r="N389">
        <f>IF(COUNT(L389:M389)=0,"",AVERAGE(L389:M389))</f>
        <v/>
      </c>
      <c r="Q389">
        <f>IF(COUNT(O389:P389)=0,"",AVERAGE(O389:P389))</f>
        <v/>
      </c>
      <c r="R389">
        <f>IF(Q389&lt;&gt;"",Q389,IF(N389&lt;&gt;"",ROUND(N389*(1+$B$2),0),""))</f>
        <v/>
      </c>
      <c r="S389">
        <f>IF(AND(N389&lt;&gt;"",Q389&lt;&gt;"",N389&lt;&gt;0),(Q389-N389)/N389,"")</f>
        <v/>
      </c>
      <c r="T389" t="inlineStr">
        <is>
          <t>2025</t>
        </is>
      </c>
      <c r="U389" t="inlineStr">
        <is>
          <t>Kongres Nasional PSI 2025</t>
        </is>
      </c>
      <c r="V389" t="inlineStr">
        <is>
          <t>HPP Vendor</t>
        </is>
      </c>
      <c r="W389" t="inlineStr">
        <is>
          <t>intercom wireless</t>
        </is>
      </c>
      <c r="X389" t="inlineStr">
        <is>
          <t>OK</t>
        </is>
      </c>
      <c r="Y389" t="inlineStr">
        <is>
          <t>hollyland c1 pro | unit/day</t>
        </is>
      </c>
    </row>
    <row r="390">
      <c r="A390" t="n">
        <v>386</v>
      </c>
      <c r="B390" t="inlineStr">
        <is>
          <t>💰 HPP VENDOR</t>
        </is>
      </c>
      <c r="C390" t="n">
        <v>33</v>
      </c>
      <c r="D390" t="inlineStr">
        <is>
          <t>Vendor HPP</t>
        </is>
      </c>
      <c r="E390" t="inlineStr">
        <is>
          <t>Bray Management</t>
        </is>
      </c>
      <c r="F390" t="inlineStr">
        <is>
          <t>Show Management</t>
        </is>
      </c>
      <c r="H390" t="inlineStr">
        <is>
          <t>Paket Show Management Full</t>
        </is>
      </c>
      <c r="I390" t="inlineStr">
        <is>
          <t>Show Director+Comm+Stage Mgr+VJ LED+Stage Crew</t>
        </is>
      </c>
      <c r="J390" t="inlineStr">
        <is>
          <t>pckg</t>
        </is>
      </c>
      <c r="K390" t="inlineStr">
        <is>
          <t>1</t>
        </is>
      </c>
      <c r="L390" t="n">
        <v>41400000</v>
      </c>
      <c r="M390" t="n">
        <v>41400000</v>
      </c>
      <c r="N390">
        <f>IF(COUNT(L390:M390)=0,"",AVERAGE(L390:M390))</f>
        <v/>
      </c>
      <c r="Q390">
        <f>IF(COUNT(O390:P390)=0,"",AVERAGE(O390:P390))</f>
        <v/>
      </c>
      <c r="R390">
        <f>IF(Q390&lt;&gt;"",Q390,IF(N390&lt;&gt;"",ROUND(N390*(1+$B$2),0),""))</f>
        <v/>
      </c>
      <c r="S390">
        <f>IF(AND(N390&lt;&gt;"",Q390&lt;&gt;"",N390&lt;&gt;0),(Q390-N390)/N390,"")</f>
        <v/>
      </c>
      <c r="T390" t="inlineStr">
        <is>
          <t>2025</t>
        </is>
      </c>
      <c r="U390" t="inlineStr">
        <is>
          <t>Kongres Nasional PSI 2025</t>
        </is>
      </c>
      <c r="V390" t="inlineStr">
        <is>
          <t>HPP Vendor</t>
        </is>
      </c>
      <c r="W390" t="inlineStr">
        <is>
          <t>INV 21/06/BRM-PSI/2025</t>
        </is>
      </c>
      <c r="X390" t="inlineStr">
        <is>
          <t>OK</t>
        </is>
      </c>
      <c r="Y390" t="inlineStr">
        <is>
          <t>paket show management full | pckg</t>
        </is>
      </c>
    </row>
    <row r="391">
      <c r="A391" t="n">
        <v>387</v>
      </c>
      <c r="B391" t="inlineStr">
        <is>
          <t>🕌 MUI EVENT DATA</t>
        </is>
      </c>
      <c r="C391" t="n">
        <v>28</v>
      </c>
      <c r="D391" t="inlineStr">
        <is>
          <t>MUI Real Cost</t>
        </is>
      </c>
      <c r="E391" t="inlineStr">
        <is>
          <t>MUI/EO</t>
        </is>
      </c>
      <c r="F391" t="inlineStr">
        <is>
          <t>Sound</t>
        </is>
      </c>
      <c r="H391" t="inlineStr">
        <is>
          <t>Sound System 15.000W Indoor</t>
        </is>
      </c>
      <c r="I391" t="inlineStr">
        <is>
          <t>incl. riders artis</t>
        </is>
      </c>
      <c r="J391" t="inlineStr">
        <is>
          <t>pckg/day</t>
        </is>
      </c>
      <c r="K391" t="inlineStr">
        <is>
          <t>1</t>
        </is>
      </c>
      <c r="L391" t="n">
        <v>17500000</v>
      </c>
      <c r="M391" t="n">
        <v>17500000</v>
      </c>
      <c r="N391">
        <f>IF(COUNT(L391:M391)=0,"",AVERAGE(L391:M391))</f>
        <v/>
      </c>
      <c r="Q391">
        <f>IF(COUNT(O391:P391)=0,"",AVERAGE(O391:P391))</f>
        <v/>
      </c>
      <c r="R391">
        <f>IF(Q391&lt;&gt;"",Q391,IF(N391&lt;&gt;"",ROUND(N391*(1+$B$2),0),""))</f>
        <v/>
      </c>
      <c r="S391">
        <f>IF(AND(N391&lt;&gt;"",Q391&lt;&gt;"",N391&lt;&gt;0),(Q391-N391)/N391,"")</f>
        <v/>
      </c>
      <c r="T391" t="inlineStr">
        <is>
          <t>2026</t>
        </is>
      </c>
      <c r="U391" t="inlineStr">
        <is>
          <t>MUI Istiqlal 2026</t>
        </is>
      </c>
      <c r="V391" t="inlineStr">
        <is>
          <t>Real-CE MUI</t>
        </is>
      </c>
      <c r="X391" t="inlineStr">
        <is>
          <t>OK</t>
        </is>
      </c>
      <c r="Y391" t="inlineStr">
        <is>
          <t>sound system 15.000w indoor | pckg/day</t>
        </is>
      </c>
    </row>
    <row r="392">
      <c r="A392" t="n">
        <v>388</v>
      </c>
      <c r="B392" t="inlineStr">
        <is>
          <t>🕌 MUI EVENT DATA</t>
        </is>
      </c>
      <c r="C392" t="n">
        <v>29</v>
      </c>
      <c r="D392" t="inlineStr">
        <is>
          <t>MUI Real Cost</t>
        </is>
      </c>
      <c r="E392" t="inlineStr">
        <is>
          <t>MUI/EO</t>
        </is>
      </c>
      <c r="F392" t="inlineStr">
        <is>
          <t>Sound</t>
        </is>
      </c>
      <c r="H392" t="inlineStr">
        <is>
          <t>Sound System 5.000W Outdoor</t>
        </is>
      </c>
      <c r="I392" t="inlineStr">
        <is>
          <t>ground stack, relay</t>
        </is>
      </c>
      <c r="J392" t="inlineStr">
        <is>
          <t>pckg/day</t>
        </is>
      </c>
      <c r="K392" t="inlineStr">
        <is>
          <t>1</t>
        </is>
      </c>
      <c r="L392" t="n">
        <v>6000000</v>
      </c>
      <c r="M392" t="n">
        <v>6000000</v>
      </c>
      <c r="N392">
        <f>IF(COUNT(L392:M392)=0,"",AVERAGE(L392:M392))</f>
        <v/>
      </c>
      <c r="Q392">
        <f>IF(COUNT(O392:P392)=0,"",AVERAGE(O392:P392))</f>
        <v/>
      </c>
      <c r="R392">
        <f>IF(Q392&lt;&gt;"",Q392,IF(N392&lt;&gt;"",ROUND(N392*(1+$B$2),0),""))</f>
        <v/>
      </c>
      <c r="S392">
        <f>IF(AND(N392&lt;&gt;"",Q392&lt;&gt;"",N392&lt;&gt;0),(Q392-N392)/N392,"")</f>
        <v/>
      </c>
      <c r="T392" t="inlineStr">
        <is>
          <t>2026</t>
        </is>
      </c>
      <c r="U392" t="inlineStr">
        <is>
          <t>MUI Istiqlal 2026</t>
        </is>
      </c>
      <c r="V392" t="inlineStr">
        <is>
          <t>per area outdoor</t>
        </is>
      </c>
      <c r="X392" t="inlineStr">
        <is>
          <t>OK</t>
        </is>
      </c>
      <c r="Y392" t="inlineStr">
        <is>
          <t>sound system 5.000w outdoor | pckg/day</t>
        </is>
      </c>
    </row>
    <row r="393">
      <c r="A393" t="n">
        <v>389</v>
      </c>
      <c r="B393" t="inlineStr">
        <is>
          <t>📋 PO &amp; RFP DATA</t>
        </is>
      </c>
      <c r="C393" t="n">
        <v>10</v>
      </c>
      <c r="D393" t="inlineStr">
        <is>
          <t>PO/RFP HPP</t>
        </is>
      </c>
      <c r="E393" t="inlineStr">
        <is>
          <t>SWL</t>
        </is>
      </c>
      <c r="F393" t="inlineStr">
        <is>
          <t>Sound</t>
        </is>
      </c>
      <c r="H393" t="inlineStr">
        <is>
          <t>Sound System 60.000 watt</t>
        </is>
      </c>
      <c r="I393" t="inlineStr">
        <is>
          <t>incl. manpower, orchestra setup, chain hoist</t>
        </is>
      </c>
      <c r="J393" t="inlineStr">
        <is>
          <t>pckg</t>
        </is>
      </c>
      <c r="K393" t="inlineStr">
        <is>
          <t>1</t>
        </is>
      </c>
      <c r="L393" t="n">
        <v>0</v>
      </c>
      <c r="M393" t="n">
        <v>0</v>
      </c>
      <c r="N393">
        <f>IF(COUNT(L393:M393)=0,"",AVERAGE(L393:M393))</f>
        <v/>
      </c>
      <c r="Q393">
        <f>IF(COUNT(O393:P393)=0,"",AVERAGE(O393:P393))</f>
        <v/>
      </c>
      <c r="R393">
        <f>IF(Q393&lt;&gt;"",Q393,IF(N393&lt;&gt;"",ROUND(N393*(1+$B$2),0),""))</f>
        <v/>
      </c>
      <c r="S393">
        <f>IF(AND(N393&lt;&gt;"",Q393&lt;&gt;"",N393&lt;&gt;0),(Q393-N393)/N393,"")</f>
        <v/>
      </c>
      <c r="T393" t="inlineStr">
        <is>
          <t>2025</t>
        </is>
      </c>
      <c r="U393" t="inlineStr">
        <is>
          <t>OCBC Disney Orchestra</t>
        </is>
      </c>
      <c r="V393" t="inlineStr">
        <is>
          <t>Termasuk dalam paket SWL</t>
        </is>
      </c>
      <c r="X393" t="inlineStr">
        <is>
          <t>Zero HPP - included/package</t>
        </is>
      </c>
      <c r="Y393" t="inlineStr">
        <is>
          <t>sound system 60.000 watt | pckg</t>
        </is>
      </c>
    </row>
    <row r="394">
      <c r="A394" t="n">
        <v>390</v>
      </c>
      <c r="B394" t="inlineStr">
        <is>
          <t>📋 PO &amp; RFP DATA</t>
        </is>
      </c>
      <c r="C394" t="n">
        <v>68</v>
      </c>
      <c r="D394" t="inlineStr">
        <is>
          <t>PO/RFP HPP</t>
        </is>
      </c>
      <c r="E394" t="inlineStr">
        <is>
          <t>PT Multi Visual Kreasindo</t>
        </is>
      </c>
      <c r="F394" t="inlineStr">
        <is>
          <t>Sound &amp; Lighting</t>
        </is>
      </c>
      <c r="H394" t="inlineStr">
        <is>
          <t>Lighting System</t>
        </is>
      </c>
      <c r="I394" t="inlineStr">
        <is>
          <t>LED 8 unit + Freshnell 2 + Tripod 2</t>
        </is>
      </c>
      <c r="J394" t="inlineStr">
        <is>
          <t>pckg</t>
        </is>
      </c>
      <c r="K394" t="inlineStr">
        <is>
          <t>1</t>
        </is>
      </c>
      <c r="L394" t="n">
        <v>3500000</v>
      </c>
      <c r="M394" t="n">
        <v>3500000</v>
      </c>
      <c r="N394">
        <f>IF(COUNT(L394:M394)=0,"",AVERAGE(L394:M394))</f>
        <v/>
      </c>
      <c r="Q394">
        <f>IF(COUNT(O394:P394)=0,"",AVERAGE(O394:P394))</f>
        <v/>
      </c>
      <c r="R394">
        <f>IF(Q394&lt;&gt;"",Q394,IF(N394&lt;&gt;"",ROUND(N394*(1+$B$2),0),""))</f>
        <v/>
      </c>
      <c r="S394">
        <f>IF(AND(N394&lt;&gt;"",Q394&lt;&gt;"",N394&lt;&gt;0),(Q394-N394)/N394,"")</f>
        <v/>
      </c>
      <c r="T394" t="inlineStr">
        <is>
          <t>2026</t>
        </is>
      </c>
      <c r="U394" t="inlineStr">
        <is>
          <t>PGN Safari Ramadan Bogor</t>
        </is>
      </c>
      <c r="X394" t="inlineStr">
        <is>
          <t>OK</t>
        </is>
      </c>
      <c r="Y394" t="inlineStr">
        <is>
          <t>lighting system | pckg</t>
        </is>
      </c>
    </row>
    <row r="395">
      <c r="A395" t="n">
        <v>391</v>
      </c>
      <c r="B395" t="inlineStr">
        <is>
          <t>📋 PO &amp; RFP DATA</t>
        </is>
      </c>
      <c r="C395" t="n">
        <v>67</v>
      </c>
      <c r="D395" t="inlineStr">
        <is>
          <t>PO/RFP HPP</t>
        </is>
      </c>
      <c r="E395" t="inlineStr">
        <is>
          <t>PT Multi Visual Kreasindo</t>
        </is>
      </c>
      <c r="F395" t="inlineStr">
        <is>
          <t>Sound &amp; Lighting</t>
        </is>
      </c>
      <c r="H395" t="inlineStr">
        <is>
          <t>Sound System 5000 Watt</t>
        </is>
      </c>
      <c r="I395" t="inlineStr">
        <is>
          <t>PA 212, monitor, mic wireless, condenser, mixer FOH</t>
        </is>
      </c>
      <c r="J395" t="inlineStr">
        <is>
          <t>pckg</t>
        </is>
      </c>
      <c r="K395" t="inlineStr">
        <is>
          <t>1</t>
        </is>
      </c>
      <c r="L395" t="n">
        <v>4000000</v>
      </c>
      <c r="M395" t="n">
        <v>4000000</v>
      </c>
      <c r="N395">
        <f>IF(COUNT(L395:M395)=0,"",AVERAGE(L395:M395))</f>
        <v/>
      </c>
      <c r="Q395">
        <f>IF(COUNT(O395:P395)=0,"",AVERAGE(O395:P395))</f>
        <v/>
      </c>
      <c r="R395">
        <f>IF(Q395&lt;&gt;"",Q395,IF(N395&lt;&gt;"",ROUND(N395*(1+$B$2),0),""))</f>
        <v/>
      </c>
      <c r="S395">
        <f>IF(AND(N395&lt;&gt;"",Q395&lt;&gt;"",N395&lt;&gt;0),(Q395-N395)/N395,"")</f>
        <v/>
      </c>
      <c r="T395" t="inlineStr">
        <is>
          <t>2026</t>
        </is>
      </c>
      <c r="U395" t="inlineStr">
        <is>
          <t>PGN Safari Ramadan Bogor</t>
        </is>
      </c>
      <c r="X395" t="inlineStr">
        <is>
          <t>OK</t>
        </is>
      </c>
      <c r="Y395" t="inlineStr">
        <is>
          <t>sound system 5000 watt | pckg</t>
        </is>
      </c>
    </row>
    <row r="396">
      <c r="A396" t="n">
        <v>392</v>
      </c>
      <c r="B396" t="inlineStr">
        <is>
          <t>🕌 MUI EVENT DATA</t>
        </is>
      </c>
      <c r="C396" t="n">
        <v>17</v>
      </c>
      <c r="D396" t="inlineStr">
        <is>
          <t>MUI Real Cost</t>
        </is>
      </c>
      <c r="E396" t="inlineStr">
        <is>
          <t>MUI/EO</t>
        </is>
      </c>
      <c r="F396" t="inlineStr">
        <is>
          <t>Stage</t>
        </is>
      </c>
      <c r="H396" t="inlineStr">
        <is>
          <t>Main Stage Indoor LT.1</t>
        </is>
      </c>
      <c r="I396" t="inlineStr">
        <is>
          <t>dim.610x1952 h.40cm</t>
        </is>
      </c>
      <c r="J396" t="inlineStr">
        <is>
          <t>pckg</t>
        </is>
      </c>
      <c r="K396" t="inlineStr">
        <is>
          <t>1</t>
        </is>
      </c>
      <c r="L396" t="n">
        <v>140000000</v>
      </c>
      <c r="M396" t="n">
        <v>140000000</v>
      </c>
      <c r="N396">
        <f>IF(COUNT(L396:M396)=0,"",AVERAGE(L396:M396))</f>
        <v/>
      </c>
      <c r="Q396">
        <f>IF(COUNT(O396:P396)=0,"",AVERAGE(O396:P396))</f>
        <v/>
      </c>
      <c r="R396">
        <f>IF(Q396&lt;&gt;"",Q396,IF(N396&lt;&gt;"",ROUND(N396*(1+$B$2),0),""))</f>
        <v/>
      </c>
      <c r="S396">
        <f>IF(AND(N396&lt;&gt;"",Q396&lt;&gt;"",N396&lt;&gt;0),(Q396-N396)/N396,"")</f>
        <v/>
      </c>
      <c r="T396" t="inlineStr">
        <is>
          <t>2026</t>
        </is>
      </c>
      <c r="U396" t="inlineStr">
        <is>
          <t>MUI Istiqlal 2026</t>
        </is>
      </c>
      <c r="V396" t="inlineStr">
        <is>
          <t>Real-CE MUI; HPP aktual</t>
        </is>
      </c>
      <c r="X396" t="inlineStr">
        <is>
          <t>OK</t>
        </is>
      </c>
      <c r="Y396" t="inlineStr">
        <is>
          <t>main stage indoor lt.1 | pckg</t>
        </is>
      </c>
    </row>
    <row r="397">
      <c r="A397" t="n">
        <v>393</v>
      </c>
      <c r="B397" t="inlineStr">
        <is>
          <t>📋 PO &amp; RFP DATA</t>
        </is>
      </c>
      <c r="C397" t="n">
        <v>35</v>
      </c>
      <c r="D397" t="inlineStr">
        <is>
          <t>PO/RFP HPP</t>
        </is>
      </c>
      <c r="E397" t="inlineStr">
        <is>
          <t>Kobindo Production</t>
        </is>
      </c>
      <c r="F397" t="inlineStr">
        <is>
          <t>Stage / Produksi</t>
        </is>
      </c>
      <c r="H397" t="inlineStr">
        <is>
          <t>Band Stage</t>
        </is>
      </c>
      <c r="I397" t="inlineStr">
        <is>
          <t>366x366x10cm, multiplek fin melaminto</t>
        </is>
      </c>
      <c r="J397" t="inlineStr">
        <is>
          <t>set</t>
        </is>
      </c>
      <c r="K397" t="inlineStr">
        <is>
          <t>1</t>
        </is>
      </c>
      <c r="L397" t="n">
        <v>5500000</v>
      </c>
      <c r="M397" t="n">
        <v>5500000</v>
      </c>
      <c r="N397">
        <f>IF(COUNT(L397:M397)=0,"",AVERAGE(L397:M397))</f>
        <v/>
      </c>
      <c r="Q397">
        <f>IF(COUNT(O397:P397)=0,"",AVERAGE(O397:P397))</f>
        <v/>
      </c>
      <c r="R397">
        <f>IF(Q397&lt;&gt;"",Q397,IF(N397&lt;&gt;"",ROUND(N397*(1+$B$2),0),""))</f>
        <v/>
      </c>
      <c r="S397">
        <f>IF(AND(N397&lt;&gt;"",Q397&lt;&gt;"",N397&lt;&gt;0),(Q397-N397)/N397,"")</f>
        <v/>
      </c>
      <c r="T397" t="inlineStr">
        <is>
          <t>2026</t>
        </is>
      </c>
      <c r="U397" t="inlineStr">
        <is>
          <t>GAPEMPI Mandarin Oriental</t>
        </is>
      </c>
      <c r="X397" t="inlineStr">
        <is>
          <t>OK</t>
        </is>
      </c>
      <c r="Y397" t="inlineStr">
        <is>
          <t>band stage | set</t>
        </is>
      </c>
    </row>
    <row r="398">
      <c r="A398" t="n">
        <v>394</v>
      </c>
      <c r="B398" t="inlineStr">
        <is>
          <t>📋 PO &amp; RFP DATA</t>
        </is>
      </c>
      <c r="C398" t="n">
        <v>5</v>
      </c>
      <c r="D398" t="inlineStr">
        <is>
          <t>PO/RFP HPP</t>
        </is>
      </c>
      <c r="E398" t="inlineStr">
        <is>
          <t>Vertical Limit</t>
        </is>
      </c>
      <c r="F398" t="inlineStr">
        <is>
          <t>Stage / Produksi</t>
        </is>
      </c>
      <c r="H398" t="inlineStr">
        <is>
          <t>Black Curtain</t>
        </is>
      </c>
      <c r="I398" t="inlineStr">
        <is>
          <t>dim.10x20m</t>
        </is>
      </c>
      <c r="J398" t="inlineStr">
        <is>
          <t>pckg</t>
        </is>
      </c>
      <c r="K398" t="inlineStr">
        <is>
          <t>1</t>
        </is>
      </c>
      <c r="L398" t="n">
        <v>16500000</v>
      </c>
      <c r="M398" t="n">
        <v>16500000</v>
      </c>
      <c r="N398">
        <f>IF(COUNT(L398:M398)=0,"",AVERAGE(L398:M398))</f>
        <v/>
      </c>
      <c r="Q398">
        <f>IF(COUNT(O398:P398)=0,"",AVERAGE(O398:P398))</f>
        <v/>
      </c>
      <c r="R398">
        <f>IF(Q398&lt;&gt;"",Q398,IF(N398&lt;&gt;"",ROUND(N398*(1+$B$2),0),""))</f>
        <v/>
      </c>
      <c r="S398">
        <f>IF(AND(N398&lt;&gt;"",Q398&lt;&gt;"",N398&lt;&gt;0),(Q398-N398)/N398,"")</f>
        <v/>
      </c>
      <c r="T398" t="inlineStr">
        <is>
          <t>2025</t>
        </is>
      </c>
      <c r="U398" t="inlineStr">
        <is>
          <t>OCBC Disney Orchestra</t>
        </is>
      </c>
      <c r="V398" t="inlineStr">
        <is>
          <t>PO 50/JBBS/OCBC/VI/2025</t>
        </is>
      </c>
      <c r="X398" t="inlineStr">
        <is>
          <t>OK</t>
        </is>
      </c>
      <c r="Y398" t="inlineStr">
        <is>
          <t>black curtain | pckg</t>
        </is>
      </c>
    </row>
    <row r="399">
      <c r="A399" t="n">
        <v>395</v>
      </c>
      <c r="B399" t="inlineStr">
        <is>
          <t>📋 PO &amp; RFP DATA</t>
        </is>
      </c>
      <c r="C399" t="n">
        <v>66</v>
      </c>
      <c r="D399" t="inlineStr">
        <is>
          <t>PO/RFP HPP</t>
        </is>
      </c>
      <c r="E399" t="inlineStr">
        <is>
          <t>PT Multi Visual Kreasindo</t>
        </is>
      </c>
      <c r="F399" t="inlineStr">
        <is>
          <t>Stage / Produksi</t>
        </is>
      </c>
      <c r="H399" t="inlineStr">
        <is>
          <t>Black Curtain 2.5x4m</t>
        </is>
      </c>
      <c r="I399" t="inlineStr">
        <is>
          <t>per meter</t>
        </is>
      </c>
      <c r="J399" t="inlineStr">
        <is>
          <t>meter</t>
        </is>
      </c>
      <c r="K399" t="inlineStr">
        <is>
          <t>4</t>
        </is>
      </c>
      <c r="L399" t="n">
        <v>200000</v>
      </c>
      <c r="M399" t="n">
        <v>200000</v>
      </c>
      <c r="N399">
        <f>IF(COUNT(L399:M399)=0,"",AVERAGE(L399:M399))</f>
        <v/>
      </c>
      <c r="Q399">
        <f>IF(COUNT(O399:P399)=0,"",AVERAGE(O399:P399))</f>
        <v/>
      </c>
      <c r="R399">
        <f>IF(Q399&lt;&gt;"",Q399,IF(N399&lt;&gt;"",ROUND(N399*(1+$B$2),0),""))</f>
        <v/>
      </c>
      <c r="S399">
        <f>IF(AND(N399&lt;&gt;"",Q399&lt;&gt;"",N399&lt;&gt;0),(Q399-N399)/N399,"")</f>
        <v/>
      </c>
      <c r="T399" t="inlineStr">
        <is>
          <t>2026</t>
        </is>
      </c>
      <c r="U399" t="inlineStr">
        <is>
          <t>PGN Safari Ramadan Bogor</t>
        </is>
      </c>
      <c r="V399" t="inlineStr">
        <is>
          <t>Rp200rb/meter</t>
        </is>
      </c>
      <c r="X399" t="inlineStr">
        <is>
          <t>OK</t>
        </is>
      </c>
      <c r="Y399" t="inlineStr">
        <is>
          <t>black curtain 2.5x4m | meter</t>
        </is>
      </c>
    </row>
    <row r="400">
      <c r="A400" t="n">
        <v>396</v>
      </c>
      <c r="B400" t="inlineStr">
        <is>
          <t>📋 PO &amp; RFP DATA</t>
        </is>
      </c>
      <c r="C400" t="n">
        <v>38</v>
      </c>
      <c r="D400" t="inlineStr">
        <is>
          <t>PO/RFP HPP</t>
        </is>
      </c>
      <c r="E400" t="inlineStr">
        <is>
          <t>Kobindo Production</t>
        </is>
      </c>
      <c r="F400" t="inlineStr">
        <is>
          <t>Stage / Produksi</t>
        </is>
      </c>
      <c r="H400" t="inlineStr">
        <is>
          <t>Camera Stage</t>
        </is>
      </c>
      <c r="I400" t="inlineStr">
        <is>
          <t>122x244x40cm</t>
        </is>
      </c>
      <c r="J400" t="inlineStr">
        <is>
          <t>set</t>
        </is>
      </c>
      <c r="K400" t="inlineStr">
        <is>
          <t>1</t>
        </is>
      </c>
      <c r="L400" t="n">
        <v>2500000</v>
      </c>
      <c r="M400" t="n">
        <v>2500000</v>
      </c>
      <c r="N400">
        <f>IF(COUNT(L400:M400)=0,"",AVERAGE(L400:M400))</f>
        <v/>
      </c>
      <c r="Q400">
        <f>IF(COUNT(O400:P400)=0,"",AVERAGE(O400:P400))</f>
        <v/>
      </c>
      <c r="R400">
        <f>IF(Q400&lt;&gt;"",Q400,IF(N400&lt;&gt;"",ROUND(N400*(1+$B$2),0),""))</f>
        <v/>
      </c>
      <c r="S400">
        <f>IF(AND(N400&lt;&gt;"",Q400&lt;&gt;"",N400&lt;&gt;0),(Q400-N400)/N400,"")</f>
        <v/>
      </c>
      <c r="T400" t="inlineStr">
        <is>
          <t>2026</t>
        </is>
      </c>
      <c r="U400" t="inlineStr">
        <is>
          <t>GAPEMPI Mandarin Oriental</t>
        </is>
      </c>
      <c r="X400" t="inlineStr">
        <is>
          <t>OK</t>
        </is>
      </c>
      <c r="Y400" t="inlineStr">
        <is>
          <t>camera stage | set</t>
        </is>
      </c>
    </row>
    <row r="401">
      <c r="A401" t="n">
        <v>397</v>
      </c>
      <c r="B401" t="inlineStr">
        <is>
          <t>📋 PO &amp; RFP DATA</t>
        </is>
      </c>
      <c r="C401" t="n">
        <v>34</v>
      </c>
      <c r="D401" t="inlineStr">
        <is>
          <t>PO/RFP HPP</t>
        </is>
      </c>
      <c r="E401" t="inlineStr">
        <is>
          <t>Kobindo Production</t>
        </is>
      </c>
      <c r="F401" t="inlineStr">
        <is>
          <t>Stage / Produksi</t>
        </is>
      </c>
      <c r="H401" t="inlineStr">
        <is>
          <t>Choir Stage</t>
        </is>
      </c>
      <c r="I401" t="inlineStr">
        <is>
          <t>488x366x10cm, 2 layer, multiplek fin melaminto</t>
        </is>
      </c>
      <c r="J401" t="inlineStr">
        <is>
          <t>set</t>
        </is>
      </c>
      <c r="K401" t="inlineStr">
        <is>
          <t>1</t>
        </is>
      </c>
      <c r="L401" t="n">
        <v>7500000</v>
      </c>
      <c r="M401" t="n">
        <v>7500000</v>
      </c>
      <c r="N401">
        <f>IF(COUNT(L401:M401)=0,"",AVERAGE(L401:M401))</f>
        <v/>
      </c>
      <c r="Q401">
        <f>IF(COUNT(O401:P401)=0,"",AVERAGE(O401:P401))</f>
        <v/>
      </c>
      <c r="R401">
        <f>IF(Q401&lt;&gt;"",Q401,IF(N401&lt;&gt;"",ROUND(N401*(1+$B$2),0),""))</f>
        <v/>
      </c>
      <c r="S401">
        <f>IF(AND(N401&lt;&gt;"",Q401&lt;&gt;"",N401&lt;&gt;0),(Q401-N401)/N401,"")</f>
        <v/>
      </c>
      <c r="T401" t="inlineStr">
        <is>
          <t>2026</t>
        </is>
      </c>
      <c r="U401" t="inlineStr">
        <is>
          <t>GAPEMPI Mandarin Oriental</t>
        </is>
      </c>
      <c r="X401" t="inlineStr">
        <is>
          <t>OK</t>
        </is>
      </c>
      <c r="Y401" t="inlineStr">
        <is>
          <t>choir stage | set</t>
        </is>
      </c>
    </row>
    <row r="402">
      <c r="A402" t="n">
        <v>398</v>
      </c>
      <c r="B402" t="inlineStr">
        <is>
          <t>📋 PO &amp; RFP DATA</t>
        </is>
      </c>
      <c r="C402" t="n">
        <v>37</v>
      </c>
      <c r="D402" t="inlineStr">
        <is>
          <t>PO/RFP HPP</t>
        </is>
      </c>
      <c r="E402" t="inlineStr">
        <is>
          <t>Kobindo Production</t>
        </is>
      </c>
      <c r="F402" t="inlineStr">
        <is>
          <t>Stage / Produksi</t>
        </is>
      </c>
      <c r="H402" t="inlineStr">
        <is>
          <t>Cover FOH</t>
        </is>
      </c>
      <c r="I402" t="inlineStr">
        <is>
          <t>122x854, fin kain hitam</t>
        </is>
      </c>
      <c r="J402" t="inlineStr">
        <is>
          <t>set</t>
        </is>
      </c>
      <c r="K402" t="inlineStr">
        <is>
          <t>1</t>
        </is>
      </c>
      <c r="L402" t="n">
        <v>2500000</v>
      </c>
      <c r="M402" t="n">
        <v>2500000</v>
      </c>
      <c r="N402">
        <f>IF(COUNT(L402:M402)=0,"",AVERAGE(L402:M402))</f>
        <v/>
      </c>
      <c r="Q402">
        <f>IF(COUNT(O402:P402)=0,"",AVERAGE(O402:P402))</f>
        <v/>
      </c>
      <c r="R402">
        <f>IF(Q402&lt;&gt;"",Q402,IF(N402&lt;&gt;"",ROUND(N402*(1+$B$2),0),""))</f>
        <v/>
      </c>
      <c r="S402">
        <f>IF(AND(N402&lt;&gt;"",Q402&lt;&gt;"",N402&lt;&gt;0),(Q402-N402)/N402,"")</f>
        <v/>
      </c>
      <c r="T402" t="inlineStr">
        <is>
          <t>2026</t>
        </is>
      </c>
      <c r="U402" t="inlineStr">
        <is>
          <t>GAPEMPI Mandarin Oriental</t>
        </is>
      </c>
      <c r="X402" t="inlineStr">
        <is>
          <t>OK</t>
        </is>
      </c>
      <c r="Y402" t="inlineStr">
        <is>
          <t>cover foh | set</t>
        </is>
      </c>
    </row>
    <row r="403">
      <c r="A403" t="n">
        <v>399</v>
      </c>
      <c r="B403" t="inlineStr">
        <is>
          <t>📋 PO &amp; RFP DATA</t>
        </is>
      </c>
      <c r="C403" t="n">
        <v>4</v>
      </c>
      <c r="D403" t="inlineStr">
        <is>
          <t>PO/RFP HPP</t>
        </is>
      </c>
      <c r="E403" t="inlineStr">
        <is>
          <t>Vertical Limit</t>
        </is>
      </c>
      <c r="F403" t="inlineStr">
        <is>
          <t>Stage / Produksi</t>
        </is>
      </c>
      <c r="H403" t="inlineStr">
        <is>
          <t>Covering Flooring Stage (FULL PAKET)</t>
        </is>
      </c>
      <c r="I403" t="inlineStr">
        <is>
          <t>dim.925m. Multi 18mm melaminto hitam glossy + dinding stage</t>
        </is>
      </c>
      <c r="J403" t="inlineStr">
        <is>
          <t>pckg</t>
        </is>
      </c>
      <c r="K403" t="inlineStr">
        <is>
          <t>1</t>
        </is>
      </c>
      <c r="L403" t="n">
        <v>113500000</v>
      </c>
      <c r="M403" t="n">
        <v>113500000</v>
      </c>
      <c r="N403">
        <f>IF(COUNT(L403:M403)=0,"",AVERAGE(L403:M403))</f>
        <v/>
      </c>
      <c r="Q403">
        <f>IF(COUNT(O403:P403)=0,"",AVERAGE(O403:P403))</f>
        <v/>
      </c>
      <c r="R403">
        <f>IF(Q403&lt;&gt;"",Q403,IF(N403&lt;&gt;"",ROUND(N403*(1+$B$2),0),""))</f>
        <v/>
      </c>
      <c r="S403">
        <f>IF(AND(N403&lt;&gt;"",Q403&lt;&gt;"",N403&lt;&gt;0),(Q403-N403)/N403,"")</f>
        <v/>
      </c>
      <c r="T403" t="inlineStr">
        <is>
          <t>2025</t>
        </is>
      </c>
      <c r="U403" t="inlineStr">
        <is>
          <t>OCBC Disney Orchestra</t>
        </is>
      </c>
      <c r="V403" t="inlineStr">
        <is>
          <t>PO 50/JBBS/OCBC/VI/2025</t>
        </is>
      </c>
      <c r="X403" t="inlineStr">
        <is>
          <t>OK</t>
        </is>
      </c>
      <c r="Y403" t="inlineStr">
        <is>
          <t>covering flooring stage (full paket) | pckg</t>
        </is>
      </c>
    </row>
    <row r="404">
      <c r="A404" t="n">
        <v>400</v>
      </c>
      <c r="B404" t="inlineStr">
        <is>
          <t>📋 PO &amp; RFP DATA</t>
        </is>
      </c>
      <c r="C404" t="n">
        <v>63</v>
      </c>
      <c r="D404" t="inlineStr">
        <is>
          <t>PO/RFP HPP</t>
        </is>
      </c>
      <c r="E404" t="inlineStr">
        <is>
          <t>PT Multi Visual Kreasindo</t>
        </is>
      </c>
      <c r="F404" t="inlineStr">
        <is>
          <t>Stage / Produksi</t>
        </is>
      </c>
      <c r="H404" t="inlineStr">
        <is>
          <t>Custom Backdrop 6.1x2m</t>
        </is>
      </c>
      <c r="I404" t="inlineStr">
        <is>
          <t>finishing flexy</t>
        </is>
      </c>
      <c r="J404" t="inlineStr">
        <is>
          <t>pckg</t>
        </is>
      </c>
      <c r="K404" t="inlineStr">
        <is>
          <t>1</t>
        </is>
      </c>
      <c r="L404" t="n">
        <v>4500000</v>
      </c>
      <c r="M404" t="n">
        <v>4500000</v>
      </c>
      <c r="N404">
        <f>IF(COUNT(L404:M404)=0,"",AVERAGE(L404:M404))</f>
        <v/>
      </c>
      <c r="Q404">
        <f>IF(COUNT(O404:P404)=0,"",AVERAGE(O404:P404))</f>
        <v/>
      </c>
      <c r="R404">
        <f>IF(Q404&lt;&gt;"",Q404,IF(N404&lt;&gt;"",ROUND(N404*(1+$B$2),0),""))</f>
        <v/>
      </c>
      <c r="S404">
        <f>IF(AND(N404&lt;&gt;"",Q404&lt;&gt;"",N404&lt;&gt;0),(Q404-N404)/N404,"")</f>
        <v/>
      </c>
      <c r="T404" t="inlineStr">
        <is>
          <t>2026</t>
        </is>
      </c>
      <c r="U404" t="inlineStr">
        <is>
          <t>PGN Safari Ramadan Bogor</t>
        </is>
      </c>
      <c r="X404" t="inlineStr">
        <is>
          <t>OK</t>
        </is>
      </c>
      <c r="Y404" t="inlineStr">
        <is>
          <t>custom backdrop 6.1x2m | pckg</t>
        </is>
      </c>
    </row>
    <row r="405">
      <c r="A405" t="n">
        <v>401</v>
      </c>
      <c r="B405" t="inlineStr">
        <is>
          <t>📋 PO &amp; RFP DATA</t>
        </is>
      </c>
      <c r="C405" t="n">
        <v>30</v>
      </c>
      <c r="D405" t="inlineStr">
        <is>
          <t>PO/RFP HPP</t>
        </is>
      </c>
      <c r="E405" t="inlineStr">
        <is>
          <t>Kobindo Production</t>
        </is>
      </c>
      <c r="F405" t="inlineStr">
        <is>
          <t>Stage / Produksi</t>
        </is>
      </c>
      <c r="H405" t="inlineStr">
        <is>
          <t>Level 1 Stage / Front Lower</t>
        </is>
      </c>
      <c r="I405" t="inlineStr">
        <is>
          <t>854x122x20cm, multiplek fin melaminto</t>
        </is>
      </c>
      <c r="J405" t="inlineStr">
        <is>
          <t>set</t>
        </is>
      </c>
      <c r="K405" t="inlineStr">
        <is>
          <t>1</t>
        </is>
      </c>
      <c r="L405" t="n">
        <v>6000000</v>
      </c>
      <c r="M405" t="n">
        <v>6000000</v>
      </c>
      <c r="N405">
        <f>IF(COUNT(L405:M405)=0,"",AVERAGE(L405:M405))</f>
        <v/>
      </c>
      <c r="Q405">
        <f>IF(COUNT(O405:P405)=0,"",AVERAGE(O405:P405))</f>
        <v/>
      </c>
      <c r="R405">
        <f>IF(Q405&lt;&gt;"",Q405,IF(N405&lt;&gt;"",ROUND(N405*(1+$B$2),0),""))</f>
        <v/>
      </c>
      <c r="S405">
        <f>IF(AND(N405&lt;&gt;"",Q405&lt;&gt;"",N405&lt;&gt;0),(Q405-N405)/N405,"")</f>
        <v/>
      </c>
      <c r="T405" t="inlineStr">
        <is>
          <t>2026</t>
        </is>
      </c>
      <c r="U405" t="inlineStr">
        <is>
          <t>GAPEMPI Mandarin Oriental</t>
        </is>
      </c>
      <c r="V405" t="inlineStr">
        <is>
          <t>PO 004/JBBS/GAPEMPI/III/2026</t>
        </is>
      </c>
      <c r="X405" t="inlineStr">
        <is>
          <t>OK</t>
        </is>
      </c>
      <c r="Y405" t="inlineStr">
        <is>
          <t>level 1 stage / front lower | set</t>
        </is>
      </c>
    </row>
    <row r="406">
      <c r="A406" t="n">
        <v>402</v>
      </c>
      <c r="B406" t="inlineStr">
        <is>
          <t>📋 PO &amp; RFP DATA</t>
        </is>
      </c>
      <c r="C406" t="n">
        <v>31</v>
      </c>
      <c r="D406" t="inlineStr">
        <is>
          <t>PO/RFP HPP</t>
        </is>
      </c>
      <c r="E406" t="inlineStr">
        <is>
          <t>Kobindo Production</t>
        </is>
      </c>
      <c r="F406" t="inlineStr">
        <is>
          <t>Stage / Produksi</t>
        </is>
      </c>
      <c r="H406" t="inlineStr">
        <is>
          <t>Level 2 Stage / Centre Middle</t>
        </is>
      </c>
      <c r="I406" t="inlineStr">
        <is>
          <t>1220x240x40cm, modul hotel, fin melaminto</t>
        </is>
      </c>
      <c r="J406" t="inlineStr">
        <is>
          <t>set</t>
        </is>
      </c>
      <c r="K406" t="inlineStr">
        <is>
          <t>1</t>
        </is>
      </c>
      <c r="L406" t="n">
        <v>11500000</v>
      </c>
      <c r="M406" t="n">
        <v>11500000</v>
      </c>
      <c r="N406">
        <f>IF(COUNT(L406:M406)=0,"",AVERAGE(L406:M406))</f>
        <v/>
      </c>
      <c r="Q406">
        <f>IF(COUNT(O406:P406)=0,"",AVERAGE(O406:P406))</f>
        <v/>
      </c>
      <c r="R406">
        <f>IF(Q406&lt;&gt;"",Q406,IF(N406&lt;&gt;"",ROUND(N406*(1+$B$2),0),""))</f>
        <v/>
      </c>
      <c r="S406">
        <f>IF(AND(N406&lt;&gt;"",Q406&lt;&gt;"",N406&lt;&gt;0),(Q406-N406)/N406,"")</f>
        <v/>
      </c>
      <c r="T406" t="inlineStr">
        <is>
          <t>2026</t>
        </is>
      </c>
      <c r="U406" t="inlineStr">
        <is>
          <t>GAPEMPI Mandarin Oriental</t>
        </is>
      </c>
      <c r="V406" t="inlineStr">
        <is>
          <t>PO 004/JBBS/GAPEMPI/III/2026</t>
        </is>
      </c>
      <c r="X406" t="inlineStr">
        <is>
          <t>OK</t>
        </is>
      </c>
      <c r="Y406" t="inlineStr">
        <is>
          <t>level 2 stage / centre middle | set</t>
        </is>
      </c>
    </row>
    <row r="407">
      <c r="A407" t="n">
        <v>403</v>
      </c>
      <c r="B407" t="inlineStr">
        <is>
          <t>📋 PO &amp; RFP DATA</t>
        </is>
      </c>
      <c r="C407" t="n">
        <v>32</v>
      </c>
      <c r="D407" t="inlineStr">
        <is>
          <t>PO/RFP HPP</t>
        </is>
      </c>
      <c r="E407" t="inlineStr">
        <is>
          <t>Kobindo Production</t>
        </is>
      </c>
      <c r="F407" t="inlineStr">
        <is>
          <t>Stage / Produksi</t>
        </is>
      </c>
      <c r="H407" t="inlineStr">
        <is>
          <t>Level 3 Stage / Back Upper</t>
        </is>
      </c>
      <c r="I407" t="inlineStr">
        <is>
          <t>1220x60x60cm, fin melaminto</t>
        </is>
      </c>
      <c r="J407" t="inlineStr">
        <is>
          <t>set</t>
        </is>
      </c>
      <c r="K407" t="inlineStr">
        <is>
          <t>1</t>
        </is>
      </c>
      <c r="L407" t="n">
        <v>5500000</v>
      </c>
      <c r="M407" t="n">
        <v>5500000</v>
      </c>
      <c r="N407">
        <f>IF(COUNT(L407:M407)=0,"",AVERAGE(L407:M407))</f>
        <v/>
      </c>
      <c r="Q407">
        <f>IF(COUNT(O407:P407)=0,"",AVERAGE(O407:P407))</f>
        <v/>
      </c>
      <c r="R407">
        <f>IF(Q407&lt;&gt;"",Q407,IF(N407&lt;&gt;"",ROUND(N407*(1+$B$2),0),""))</f>
        <v/>
      </c>
      <c r="S407">
        <f>IF(AND(N407&lt;&gt;"",Q407&lt;&gt;"",N407&lt;&gt;0),(Q407-N407)/N407,"")</f>
        <v/>
      </c>
      <c r="T407" t="inlineStr">
        <is>
          <t>2026</t>
        </is>
      </c>
      <c r="U407" t="inlineStr">
        <is>
          <t>GAPEMPI Mandarin Oriental</t>
        </is>
      </c>
      <c r="V407" t="inlineStr">
        <is>
          <t>PO 004/JBBS/GAPEMPI/III/2026</t>
        </is>
      </c>
      <c r="X407" t="inlineStr">
        <is>
          <t>OK</t>
        </is>
      </c>
      <c r="Y407" t="inlineStr">
        <is>
          <t>level 3 stage / back upper | set</t>
        </is>
      </c>
    </row>
    <row r="408">
      <c r="A408" t="n">
        <v>404</v>
      </c>
      <c r="B408" t="inlineStr">
        <is>
          <t>📋 PO &amp; RFP DATA</t>
        </is>
      </c>
      <c r="C408" t="n">
        <v>62</v>
      </c>
      <c r="D408" t="inlineStr">
        <is>
          <t>PO/RFP HPP</t>
        </is>
      </c>
      <c r="E408" t="inlineStr">
        <is>
          <t>PT Multi Visual Kreasindo</t>
        </is>
      </c>
      <c r="F408" t="inlineStr">
        <is>
          <t>Stage / Produksi</t>
        </is>
      </c>
      <c r="H408" t="inlineStr">
        <is>
          <t>Level Stage 4x6m H40cm + Tangga</t>
        </is>
      </c>
      <c r="I408" t="inlineStr">
        <is>
          <t>finishing carpet</t>
        </is>
      </c>
      <c r="J408" t="inlineStr">
        <is>
          <t>pckg</t>
        </is>
      </c>
      <c r="K408" t="inlineStr">
        <is>
          <t>1</t>
        </is>
      </c>
      <c r="L408" t="n">
        <v>4500000</v>
      </c>
      <c r="M408" t="n">
        <v>4500000</v>
      </c>
      <c r="N408">
        <f>IF(COUNT(L408:M408)=0,"",AVERAGE(L408:M408))</f>
        <v/>
      </c>
      <c r="Q408">
        <f>IF(COUNT(O408:P408)=0,"",AVERAGE(O408:P408))</f>
        <v/>
      </c>
      <c r="R408">
        <f>IF(Q408&lt;&gt;"",Q408,IF(N408&lt;&gt;"",ROUND(N408*(1+$B$2),0),""))</f>
        <v/>
      </c>
      <c r="S408">
        <f>IF(AND(N408&lt;&gt;"",Q408&lt;&gt;"",N408&lt;&gt;0),(Q408-N408)/N408,"")</f>
        <v/>
      </c>
      <c r="T408" t="inlineStr">
        <is>
          <t>2026</t>
        </is>
      </c>
      <c r="U408" t="inlineStr">
        <is>
          <t>PGN Safari Ramadan Bogor</t>
        </is>
      </c>
      <c r="V408" t="inlineStr">
        <is>
          <t>PO 002/JBBS/PGN/III/2026</t>
        </is>
      </c>
      <c r="X408" t="inlineStr">
        <is>
          <t>OK</t>
        </is>
      </c>
      <c r="Y408" t="inlineStr">
        <is>
          <t>level stage 4x6m h40cm + tangga | pckg</t>
        </is>
      </c>
    </row>
    <row r="409">
      <c r="A409" t="n">
        <v>405</v>
      </c>
      <c r="B409" t="inlineStr">
        <is>
          <t>📋 PO &amp; RFP DATA</t>
        </is>
      </c>
      <c r="C409" t="n">
        <v>65</v>
      </c>
      <c r="D409" t="inlineStr">
        <is>
          <t>PO/RFP HPP</t>
        </is>
      </c>
      <c r="E409" t="inlineStr">
        <is>
          <t>PT Multi Visual Kreasindo</t>
        </is>
      </c>
      <c r="F409" t="inlineStr">
        <is>
          <t>Stage / Produksi</t>
        </is>
      </c>
      <c r="H409" t="inlineStr">
        <is>
          <t>Photo Spot Custom Booth</t>
        </is>
      </c>
      <c r="I409" t="inlineStr">
        <is>
          <t>area Bogor</t>
        </is>
      </c>
      <c r="J409" t="inlineStr">
        <is>
          <t>pckg</t>
        </is>
      </c>
      <c r="K409" t="inlineStr">
        <is>
          <t>1</t>
        </is>
      </c>
      <c r="L409" t="n">
        <v>10350000</v>
      </c>
      <c r="M409" t="n">
        <v>10350000</v>
      </c>
      <c r="N409">
        <f>IF(COUNT(L409:M409)=0,"",AVERAGE(L409:M409))</f>
        <v/>
      </c>
      <c r="Q409">
        <f>IF(COUNT(O409:P409)=0,"",AVERAGE(O409:P409))</f>
        <v/>
      </c>
      <c r="R409">
        <f>IF(Q409&lt;&gt;"",Q409,IF(N409&lt;&gt;"",ROUND(N409*(1+$B$2),0),""))</f>
        <v/>
      </c>
      <c r="S409">
        <f>IF(AND(N409&lt;&gt;"",Q409&lt;&gt;"",N409&lt;&gt;0),(Q409-N409)/N409,"")</f>
        <v/>
      </c>
      <c r="T409" t="inlineStr">
        <is>
          <t>2026</t>
        </is>
      </c>
      <c r="U409" t="inlineStr">
        <is>
          <t>PGN Safari Ramadan Bogor</t>
        </is>
      </c>
      <c r="V409" t="inlineStr">
        <is>
          <t>incl. instalasi</t>
        </is>
      </c>
      <c r="X409" t="inlineStr">
        <is>
          <t>OK</t>
        </is>
      </c>
      <c r="Y409" t="inlineStr">
        <is>
          <t>photo spot custom booth | pckg</t>
        </is>
      </c>
    </row>
    <row r="410">
      <c r="A410" t="n">
        <v>406</v>
      </c>
      <c r="B410" t="inlineStr">
        <is>
          <t>📋 PO &amp; RFP DATA</t>
        </is>
      </c>
      <c r="C410" t="n">
        <v>29</v>
      </c>
      <c r="D410" t="inlineStr">
        <is>
          <t>PO/RFP HPP</t>
        </is>
      </c>
      <c r="E410" t="inlineStr">
        <is>
          <t>Kobindo Production</t>
        </is>
      </c>
      <c r="F410" t="inlineStr">
        <is>
          <t>Stage / Produksi</t>
        </is>
      </c>
      <c r="H410" t="inlineStr">
        <is>
          <t>Photowall / Doorstop (366x244cm)</t>
        </is>
      </c>
      <c r="I410" t="inlineStr">
        <is>
          <t>multiplek fin flexy printing</t>
        </is>
      </c>
      <c r="J410" t="inlineStr">
        <is>
          <t>set</t>
        </is>
      </c>
      <c r="K410" t="inlineStr">
        <is>
          <t>1</t>
        </is>
      </c>
      <c r="L410" t="n">
        <v>3500000</v>
      </c>
      <c r="M410" t="n">
        <v>3500000</v>
      </c>
      <c r="N410">
        <f>IF(COUNT(L410:M410)=0,"",AVERAGE(L410:M410))</f>
        <v/>
      </c>
      <c r="Q410">
        <f>IF(COUNT(O410:P410)=0,"",AVERAGE(O410:P410))</f>
        <v/>
      </c>
      <c r="R410">
        <f>IF(Q410&lt;&gt;"",Q410,IF(N410&lt;&gt;"",ROUND(N410*(1+$B$2),0),""))</f>
        <v/>
      </c>
      <c r="S410">
        <f>IF(AND(N410&lt;&gt;"",Q410&lt;&gt;"",N410&lt;&gt;0),(Q410-N410)/N410,"")</f>
        <v/>
      </c>
      <c r="T410" t="inlineStr">
        <is>
          <t>2026</t>
        </is>
      </c>
      <c r="U410" t="inlineStr">
        <is>
          <t>GAPEMPI Mandarin Oriental</t>
        </is>
      </c>
      <c r="V410" t="inlineStr">
        <is>
          <t>PO 004/JBBS/GAPEMPI/III/2026</t>
        </is>
      </c>
      <c r="X410" t="inlineStr">
        <is>
          <t>OK</t>
        </is>
      </c>
      <c r="Y410" t="inlineStr">
        <is>
          <t>photowall / doorstop (366x244cm) | set</t>
        </is>
      </c>
    </row>
    <row r="411">
      <c r="A411" t="n">
        <v>407</v>
      </c>
      <c r="B411" t="inlineStr">
        <is>
          <t>📋 PO &amp; RFP DATA</t>
        </is>
      </c>
      <c r="C411" t="n">
        <v>28</v>
      </c>
      <c r="D411" t="inlineStr">
        <is>
          <t>PO/RFP HPP</t>
        </is>
      </c>
      <c r="E411" t="inlineStr">
        <is>
          <t>Kobindo Production</t>
        </is>
      </c>
      <c r="F411" t="inlineStr">
        <is>
          <t>Stage / Produksi</t>
        </is>
      </c>
      <c r="H411" t="inlineStr">
        <is>
          <t>Registration Backdrop (244x366cm)</t>
        </is>
      </c>
      <c r="I411" t="inlineStr">
        <is>
          <t>multiplek fin flexy printing</t>
        </is>
      </c>
      <c r="J411" t="inlineStr">
        <is>
          <t>set</t>
        </is>
      </c>
      <c r="K411" t="inlineStr">
        <is>
          <t>1</t>
        </is>
      </c>
      <c r="L411" t="n">
        <v>3500000</v>
      </c>
      <c r="M411" t="n">
        <v>3500000</v>
      </c>
      <c r="N411">
        <f>IF(COUNT(L411:M411)=0,"",AVERAGE(L411:M411))</f>
        <v/>
      </c>
      <c r="Q411">
        <f>IF(COUNT(O411:P411)=0,"",AVERAGE(O411:P411))</f>
        <v/>
      </c>
      <c r="R411">
        <f>IF(Q411&lt;&gt;"",Q411,IF(N411&lt;&gt;"",ROUND(N411*(1+$B$2),0),""))</f>
        <v/>
      </c>
      <c r="S411">
        <f>IF(AND(N411&lt;&gt;"",Q411&lt;&gt;"",N411&lt;&gt;0),(Q411-N411)/N411,"")</f>
        <v/>
      </c>
      <c r="T411" t="inlineStr">
        <is>
          <t>2026</t>
        </is>
      </c>
      <c r="U411" t="inlineStr">
        <is>
          <t>GAPEMPI Mandarin Oriental</t>
        </is>
      </c>
      <c r="V411" t="inlineStr">
        <is>
          <t>PO 004/JBBS/GAPEMPI/III/2026</t>
        </is>
      </c>
      <c r="X411" t="inlineStr">
        <is>
          <t>OK</t>
        </is>
      </c>
      <c r="Y411" t="inlineStr">
        <is>
          <t>registration backdrop (244x366cm) | set</t>
        </is>
      </c>
    </row>
    <row r="412">
      <c r="A412" t="n">
        <v>408</v>
      </c>
      <c r="B412" t="inlineStr">
        <is>
          <t>📋 PO &amp; RFP DATA</t>
        </is>
      </c>
      <c r="C412" t="n">
        <v>36</v>
      </c>
      <c r="D412" t="inlineStr">
        <is>
          <t>PO/RFP HPP</t>
        </is>
      </c>
      <c r="E412" t="inlineStr">
        <is>
          <t>Kobindo Production</t>
        </is>
      </c>
      <c r="F412" t="inlineStr">
        <is>
          <t>Stage / Produksi</t>
        </is>
      </c>
      <c r="H412" t="inlineStr">
        <is>
          <t>Side Backdrop (300x110cm)</t>
        </is>
      </c>
      <c r="I412" t="inlineStr">
        <is>
          <t>multiplek fin flexy print</t>
        </is>
      </c>
      <c r="J412" t="inlineStr">
        <is>
          <t>set</t>
        </is>
      </c>
      <c r="K412" t="inlineStr">
        <is>
          <t>2</t>
        </is>
      </c>
      <c r="L412" t="n">
        <v>2500000</v>
      </c>
      <c r="M412" t="n">
        <v>2500000</v>
      </c>
      <c r="N412">
        <f>IF(COUNT(L412:M412)=0,"",AVERAGE(L412:M412))</f>
        <v/>
      </c>
      <c r="Q412">
        <f>IF(COUNT(O412:P412)=0,"",AVERAGE(O412:P412))</f>
        <v/>
      </c>
      <c r="R412">
        <f>IF(Q412&lt;&gt;"",Q412,IF(N412&lt;&gt;"",ROUND(N412*(1+$B$2),0),""))</f>
        <v/>
      </c>
      <c r="S412">
        <f>IF(AND(N412&lt;&gt;"",Q412&lt;&gt;"",N412&lt;&gt;0),(Q412-N412)/N412,"")</f>
        <v/>
      </c>
      <c r="T412" t="inlineStr">
        <is>
          <t>2026</t>
        </is>
      </c>
      <c r="U412" t="inlineStr">
        <is>
          <t>GAPEMPI Mandarin Oriental</t>
        </is>
      </c>
      <c r="V412" t="inlineStr">
        <is>
          <t>per set</t>
        </is>
      </c>
      <c r="X412" t="inlineStr">
        <is>
          <t>OK</t>
        </is>
      </c>
      <c r="Y412" t="inlineStr">
        <is>
          <t>side backdrop (300x110cm) | set</t>
        </is>
      </c>
    </row>
    <row r="413">
      <c r="A413" t="n">
        <v>409</v>
      </c>
      <c r="B413" t="inlineStr">
        <is>
          <t>📋 PO &amp; RFP DATA</t>
        </is>
      </c>
      <c r="C413" t="n">
        <v>64</v>
      </c>
      <c r="D413" t="inlineStr">
        <is>
          <t>PO/RFP HPP</t>
        </is>
      </c>
      <c r="E413" t="inlineStr">
        <is>
          <t>PT Multi Visual Kreasindo</t>
        </is>
      </c>
      <c r="F413" t="inlineStr">
        <is>
          <t>Stage / Produksi</t>
        </is>
      </c>
      <c r="H413" t="inlineStr">
        <is>
          <t>Stage Decoration</t>
        </is>
      </c>
      <c r="I413" t="inlineStr">
        <is>
          <t>dekorasi panggung</t>
        </is>
      </c>
      <c r="J413" t="inlineStr">
        <is>
          <t>pckg</t>
        </is>
      </c>
      <c r="K413" t="inlineStr">
        <is>
          <t>1</t>
        </is>
      </c>
      <c r="L413" t="n">
        <v>8000000</v>
      </c>
      <c r="M413" t="n">
        <v>8000000</v>
      </c>
      <c r="N413">
        <f>IF(COUNT(L413:M413)=0,"",AVERAGE(L413:M413))</f>
        <v/>
      </c>
      <c r="Q413">
        <f>IF(COUNT(O413:P413)=0,"",AVERAGE(O413:P413))</f>
        <v/>
      </c>
      <c r="R413">
        <f>IF(Q413&lt;&gt;"",Q413,IF(N413&lt;&gt;"",ROUND(N413*(1+$B$2),0),""))</f>
        <v/>
      </c>
      <c r="S413">
        <f>IF(AND(N413&lt;&gt;"",Q413&lt;&gt;"",N413&lt;&gt;0),(Q413-N413)/N413,"")</f>
        <v/>
      </c>
      <c r="T413" t="inlineStr">
        <is>
          <t>2026</t>
        </is>
      </c>
      <c r="U413" t="inlineStr">
        <is>
          <t>PGN Safari Ramadan Bogor</t>
        </is>
      </c>
      <c r="X413" t="inlineStr">
        <is>
          <t>OK</t>
        </is>
      </c>
      <c r="Y413" t="inlineStr">
        <is>
          <t>stage decoration | pckg</t>
        </is>
      </c>
    </row>
    <row r="414">
      <c r="A414" t="n">
        <v>410</v>
      </c>
      <c r="B414" t="inlineStr">
        <is>
          <t>📋 PO &amp; RFP DATA</t>
        </is>
      </c>
      <c r="C414" t="n">
        <v>33</v>
      </c>
      <c r="D414" t="inlineStr">
        <is>
          <t>PO/RFP HPP</t>
        </is>
      </c>
      <c r="E414" t="inlineStr">
        <is>
          <t>Kobindo Production</t>
        </is>
      </c>
      <c r="F414" t="inlineStr">
        <is>
          <t>Stage / Produksi</t>
        </is>
      </c>
      <c r="H414" t="inlineStr">
        <is>
          <t>Stairs</t>
        </is>
      </c>
      <c r="I414" t="inlineStr">
        <is>
          <t>60x40x10cm, 2 set</t>
        </is>
      </c>
      <c r="J414" t="inlineStr">
        <is>
          <t>set</t>
        </is>
      </c>
      <c r="K414" t="inlineStr">
        <is>
          <t>2</t>
        </is>
      </c>
      <c r="L414" t="n">
        <v>500000</v>
      </c>
      <c r="M414" t="n">
        <v>500000</v>
      </c>
      <c r="N414">
        <f>IF(COUNT(L414:M414)=0,"",AVERAGE(L414:M414))</f>
        <v/>
      </c>
      <c r="Q414">
        <f>IF(COUNT(O414:P414)=0,"",AVERAGE(O414:P414))</f>
        <v/>
      </c>
      <c r="R414">
        <f>IF(Q414&lt;&gt;"",Q414,IF(N414&lt;&gt;"",ROUND(N414*(1+$B$2),0),""))</f>
        <v/>
      </c>
      <c r="S414">
        <f>IF(AND(N414&lt;&gt;"",Q414&lt;&gt;"",N414&lt;&gt;0),(Q414-N414)/N414,"")</f>
        <v/>
      </c>
      <c r="T414" t="inlineStr">
        <is>
          <t>2026</t>
        </is>
      </c>
      <c r="U414" t="inlineStr">
        <is>
          <t>GAPEMPI Mandarin Oriental</t>
        </is>
      </c>
      <c r="V414" t="inlineStr">
        <is>
          <t>per set</t>
        </is>
      </c>
      <c r="X414" t="inlineStr">
        <is>
          <t>OK</t>
        </is>
      </c>
      <c r="Y414" t="inlineStr">
        <is>
          <t>stairs | set</t>
        </is>
      </c>
    </row>
    <row r="415">
      <c r="A415" t="n">
        <v>411</v>
      </c>
      <c r="B415" t="inlineStr">
        <is>
          <t>📋 PO &amp; RFP DATA</t>
        </is>
      </c>
      <c r="C415" t="n">
        <v>80</v>
      </c>
      <c r="D415" t="inlineStr">
        <is>
          <t>PO/RFP HPP</t>
        </is>
      </c>
      <c r="E415" t="inlineStr">
        <is>
          <t>PT Multi Visual Kreasindo</t>
        </is>
      </c>
      <c r="F415" t="inlineStr">
        <is>
          <t>Stage / Produksi</t>
        </is>
      </c>
      <c r="H415" t="inlineStr">
        <is>
          <t>TOTAL Paket Full PGN Safari Ramadan</t>
        </is>
      </c>
      <c r="I415" t="inlineStr">
        <is>
          <t>Stage+Backdrop+Sound+Lighting+Genset+Furniture+Dekor+Print</t>
        </is>
      </c>
      <c r="J415" t="inlineStr">
        <is>
          <t>paket</t>
        </is>
      </c>
      <c r="K415" t="inlineStr">
        <is>
          <t>1</t>
        </is>
      </c>
      <c r="L415" t="n">
        <v>50000000</v>
      </c>
      <c r="M415" t="n">
        <v>50000000</v>
      </c>
      <c r="N415">
        <f>IF(COUNT(L415:M415)=0,"",AVERAGE(L415:M415))</f>
        <v/>
      </c>
      <c r="Q415">
        <f>IF(COUNT(O415:P415)=0,"",AVERAGE(O415:P415))</f>
        <v/>
      </c>
      <c r="R415">
        <f>IF(Q415&lt;&gt;"",Q415,IF(N415&lt;&gt;"",ROUND(N415*(1+$B$2),0),""))</f>
        <v/>
      </c>
      <c r="S415">
        <f>IF(AND(N415&lt;&gt;"",Q415&lt;&gt;"",N415&lt;&gt;0),(Q415-N415)/N415,"")</f>
        <v/>
      </c>
      <c r="T415" t="inlineStr">
        <is>
          <t>2026</t>
        </is>
      </c>
      <c r="U415" t="inlineStr">
        <is>
          <t>PGN Safari Ramadan Bogor</t>
        </is>
      </c>
      <c r="V415" t="inlineStr">
        <is>
          <t>Total PO; DP 50% + pelunasan</t>
        </is>
      </c>
      <c r="X415" t="inlineStr">
        <is>
          <t>OK</t>
        </is>
      </c>
      <c r="Y415" t="inlineStr">
        <is>
          <t>total paket full pgn safari ramadan | paket</t>
        </is>
      </c>
    </row>
    <row r="416">
      <c r="A416" t="n">
        <v>412</v>
      </c>
      <c r="B416" t="inlineStr">
        <is>
          <t>📋 PO &amp; RFP DATA</t>
        </is>
      </c>
      <c r="C416" t="n">
        <v>6</v>
      </c>
      <c r="D416" t="inlineStr">
        <is>
          <t>PO/RFP HPP</t>
        </is>
      </c>
      <c r="E416" t="inlineStr">
        <is>
          <t>Vertical Limit</t>
        </is>
      </c>
      <c r="F416" t="inlineStr">
        <is>
          <t>Stage / Produksi</t>
        </is>
      </c>
      <c r="H416" t="inlineStr">
        <is>
          <t>TOTAL Paket Stage + Curtain</t>
        </is>
      </c>
      <c r="I416" t="inlineStr">
        <is>
          <t>Covering Stage + Level Orchestra + Level Conductor + Band Stage + FOH + Black Curtain</t>
        </is>
      </c>
      <c r="J416" t="inlineStr">
        <is>
          <t>paket</t>
        </is>
      </c>
      <c r="K416" t="inlineStr">
        <is>
          <t>1</t>
        </is>
      </c>
      <c r="L416" t="n">
        <v>130000000</v>
      </c>
      <c r="M416" t="n">
        <v>130000000</v>
      </c>
      <c r="N416">
        <f>IF(COUNT(L416:M416)=0,"",AVERAGE(L416:M416))</f>
        <v/>
      </c>
      <c r="Q416">
        <f>IF(COUNT(O416:P416)=0,"",AVERAGE(O416:P416))</f>
        <v/>
      </c>
      <c r="R416">
        <f>IF(Q416&lt;&gt;"",Q416,IF(N416&lt;&gt;"",ROUND(N416*(1+$B$2),0),""))</f>
        <v/>
      </c>
      <c r="S416">
        <f>IF(AND(N416&lt;&gt;"",Q416&lt;&gt;"",N416&lt;&gt;0),(Q416-N416)/N416,"")</f>
        <v/>
      </c>
      <c r="T416" t="inlineStr">
        <is>
          <t>2025</t>
        </is>
      </c>
      <c r="U416" t="inlineStr">
        <is>
          <t>OCBC Disney Orchestra</t>
        </is>
      </c>
      <c r="V416" t="inlineStr">
        <is>
          <t>PO 50/JBBS/OCBC/VI/2025</t>
        </is>
      </c>
      <c r="X416" t="inlineStr">
        <is>
          <t>OK</t>
        </is>
      </c>
      <c r="Y416" t="inlineStr">
        <is>
          <t>total paket stage + curtain | paket</t>
        </is>
      </c>
    </row>
    <row r="417">
      <c r="A417" t="n">
        <v>413</v>
      </c>
      <c r="B417" t="inlineStr">
        <is>
          <t>📋 PO &amp; RFP DATA</t>
        </is>
      </c>
      <c r="C417" t="n">
        <v>39</v>
      </c>
      <c r="D417" t="inlineStr">
        <is>
          <t>PO/RFP HPP</t>
        </is>
      </c>
      <c r="E417" t="inlineStr">
        <is>
          <t>Kobindo Production</t>
        </is>
      </c>
      <c r="F417" t="inlineStr">
        <is>
          <t>Stage / Produksi</t>
        </is>
      </c>
      <c r="H417" t="inlineStr">
        <is>
          <t>TOTAL Paket Stage GAPEMPI</t>
        </is>
      </c>
      <c r="I417" t="inlineStr">
        <is>
          <t>Full stage setup incl. diskon 1jt</t>
        </is>
      </c>
      <c r="J417" t="inlineStr">
        <is>
          <t>paket</t>
        </is>
      </c>
      <c r="K417" t="inlineStr">
        <is>
          <t>1</t>
        </is>
      </c>
      <c r="L417" t="n">
        <v>53000000</v>
      </c>
      <c r="M417" t="n">
        <v>53000000</v>
      </c>
      <c r="N417">
        <f>IF(COUNT(L417:M417)=0,"",AVERAGE(L417:M417))</f>
        <v/>
      </c>
      <c r="Q417">
        <f>IF(COUNT(O417:P417)=0,"",AVERAGE(O417:P417))</f>
        <v/>
      </c>
      <c r="R417">
        <f>IF(Q417&lt;&gt;"",Q417,IF(N417&lt;&gt;"",ROUND(N417*(1+$B$2),0),""))</f>
        <v/>
      </c>
      <c r="S417">
        <f>IF(AND(N417&lt;&gt;"",Q417&lt;&gt;"",N417&lt;&gt;0),(Q417-N417)/N417,"")</f>
        <v/>
      </c>
      <c r="T417" t="inlineStr">
        <is>
          <t>2026</t>
        </is>
      </c>
      <c r="U417" t="inlineStr">
        <is>
          <t>GAPEMPI Mandarin Oriental</t>
        </is>
      </c>
      <c r="V417" t="inlineStr">
        <is>
          <t>Grand Total setelah diskon</t>
        </is>
      </c>
      <c r="X417" t="inlineStr">
        <is>
          <t>OK</t>
        </is>
      </c>
      <c r="Y417" t="inlineStr">
        <is>
          <t>total paket stage gapempi | paket</t>
        </is>
      </c>
    </row>
    <row r="418">
      <c r="A418" t="n">
        <v>414</v>
      </c>
      <c r="B418" t="inlineStr">
        <is>
          <t>📊 SUMMARY</t>
        </is>
      </c>
      <c r="C418" t="n">
        <v>51</v>
      </c>
      <c r="D418" t="inlineStr">
        <is>
          <t>Summary Range</t>
        </is>
      </c>
      <c r="F418" t="inlineStr">
        <is>
          <t>TALENT</t>
        </is>
      </c>
      <c r="H418" t="inlineStr">
        <is>
          <t>Band/Artis Besar (Eva Celia, Andien, dll)</t>
        </is>
      </c>
      <c r="J418" t="inlineStr">
        <is>
          <t>person/event</t>
        </is>
      </c>
      <c r="N418">
        <f>IF(COUNT(L418:M418)=0,"",AVERAGE(L418:M418))</f>
        <v/>
      </c>
      <c r="O418" t="n">
        <v>85000000</v>
      </c>
      <c r="P418" t="n">
        <v>145000000</v>
      </c>
      <c r="Q418">
        <f>IF(COUNT(O418:P418)=0,"",AVERAGE(O418:P418))</f>
        <v/>
      </c>
      <c r="R418">
        <f>IF(Q418&lt;&gt;"",Q418,IF(N418&lt;&gt;"",ROUND(N418*(1+$B$2),0),""))</f>
        <v/>
      </c>
      <c r="S418">
        <f>IF(AND(N418&lt;&gt;"",Q418&lt;&gt;"",N418&lt;&gt;0),(Q418-N418)/N418,"")</f>
        <v/>
      </c>
      <c r="V418" t="inlineStr">
        <is>
          <t>Summary Ratecard</t>
        </is>
      </c>
      <c r="W418" t="inlineStr">
        <is>
          <t>excl. riders</t>
        </is>
      </c>
      <c r="X418" t="inlineStr">
        <is>
          <t>OK</t>
        </is>
      </c>
      <c r="Y418" t="inlineStr">
        <is>
          <t>band/artis besar (eva celia, andien, dll) | person/event</t>
        </is>
      </c>
    </row>
    <row r="419">
      <c r="A419" t="n">
        <v>415</v>
      </c>
      <c r="B419" t="inlineStr">
        <is>
          <t>📊 SUMMARY</t>
        </is>
      </c>
      <c r="C419" t="n">
        <v>49</v>
      </c>
      <c r="D419" t="inlineStr">
        <is>
          <t>Summary Range</t>
        </is>
      </c>
      <c r="F419" t="inlineStr">
        <is>
          <t>TALENT</t>
        </is>
      </c>
      <c r="H419" t="inlineStr">
        <is>
          <t>Band/Artis Emerging (Arash, Panji, dll)</t>
        </is>
      </c>
      <c r="J419" t="inlineStr">
        <is>
          <t>person/event</t>
        </is>
      </c>
      <c r="N419">
        <f>IF(COUNT(L419:M419)=0,"",AVERAGE(L419:M419))</f>
        <v/>
      </c>
      <c r="O419" t="n">
        <v>15000000</v>
      </c>
      <c r="P419" t="n">
        <v>45000000</v>
      </c>
      <c r="Q419">
        <f>IF(COUNT(O419:P419)=0,"",AVERAGE(O419:P419))</f>
        <v/>
      </c>
      <c r="R419">
        <f>IF(Q419&lt;&gt;"",Q419,IF(N419&lt;&gt;"",ROUND(N419*(1+$B$2),0),""))</f>
        <v/>
      </c>
      <c r="S419">
        <f>IF(AND(N419&lt;&gt;"",Q419&lt;&gt;"",N419&lt;&gt;0),(Q419-N419)/N419,"")</f>
        <v/>
      </c>
      <c r="V419" t="inlineStr">
        <is>
          <t>Summary Ratecard</t>
        </is>
      </c>
      <c r="W419" t="inlineStr">
        <is>
          <t>excl. riders</t>
        </is>
      </c>
      <c r="X419" t="inlineStr">
        <is>
          <t>OK</t>
        </is>
      </c>
      <c r="Y419" t="inlineStr">
        <is>
          <t>band/artis emerging (arash, panji, dll) | person/event</t>
        </is>
      </c>
    </row>
    <row r="420">
      <c r="A420" t="n">
        <v>416</v>
      </c>
      <c r="B420" t="inlineStr">
        <is>
          <t>📊 SUMMARY</t>
        </is>
      </c>
      <c r="C420" t="n">
        <v>50</v>
      </c>
      <c r="D420" t="inlineStr">
        <is>
          <t>Summary Range</t>
        </is>
      </c>
      <c r="F420" t="inlineStr">
        <is>
          <t>TALENT</t>
        </is>
      </c>
      <c r="H420" t="inlineStr">
        <is>
          <t>Band/Artis Menengah (Idgitaf, VoB, dll)</t>
        </is>
      </c>
      <c r="J420" t="inlineStr">
        <is>
          <t>person/event</t>
        </is>
      </c>
      <c r="N420">
        <f>IF(COUNT(L420:M420)=0,"",AVERAGE(L420:M420))</f>
        <v/>
      </c>
      <c r="O420" t="n">
        <v>45000000</v>
      </c>
      <c r="P420" t="n">
        <v>80000000</v>
      </c>
      <c r="Q420">
        <f>IF(COUNT(O420:P420)=0,"",AVERAGE(O420:P420))</f>
        <v/>
      </c>
      <c r="R420">
        <f>IF(Q420&lt;&gt;"",Q420,IF(N420&lt;&gt;"",ROUND(N420*(1+$B$2),0),""))</f>
        <v/>
      </c>
      <c r="S420">
        <f>IF(AND(N420&lt;&gt;"",Q420&lt;&gt;"",N420&lt;&gt;0),(Q420-N420)/N420,"")</f>
        <v/>
      </c>
      <c r="V420" t="inlineStr">
        <is>
          <t>Summary Ratecard</t>
        </is>
      </c>
      <c r="W420" t="inlineStr">
        <is>
          <t>excl. riders</t>
        </is>
      </c>
      <c r="X420" t="inlineStr">
        <is>
          <t>OK</t>
        </is>
      </c>
      <c r="Y420" t="inlineStr">
        <is>
          <t>band/artis menengah (idgitaf, vob, dll) | person/event</t>
        </is>
      </c>
    </row>
    <row r="421">
      <c r="A421" t="n">
        <v>417</v>
      </c>
      <c r="B421" t="inlineStr">
        <is>
          <t>📊 SUMMARY</t>
        </is>
      </c>
      <c r="C421" t="n">
        <v>53</v>
      </c>
      <c r="D421" t="inlineStr">
        <is>
          <t>Summary Range</t>
        </is>
      </c>
      <c r="F421" t="inlineStr">
        <is>
          <t>TALENT</t>
        </is>
      </c>
      <c r="H421" t="inlineStr">
        <is>
          <t>Choir / Paduan Suara (30 pax)</t>
        </is>
      </c>
      <c r="J421" t="inlineStr">
        <is>
          <t>team/event</t>
        </is>
      </c>
      <c r="N421">
        <f>IF(COUNT(L421:M421)=0,"",AVERAGE(L421:M421))</f>
        <v/>
      </c>
      <c r="O421" t="n">
        <v>15000000</v>
      </c>
      <c r="P421" t="n">
        <v>22000000</v>
      </c>
      <c r="Q421">
        <f>IF(COUNT(O421:P421)=0,"",AVERAGE(O421:P421))</f>
        <v/>
      </c>
      <c r="R421">
        <f>IF(Q421&lt;&gt;"",Q421,IF(N421&lt;&gt;"",ROUND(N421*(1+$B$2),0),""))</f>
        <v/>
      </c>
      <c r="S421">
        <f>IF(AND(N421&lt;&gt;"",Q421&lt;&gt;"",N421&lt;&gt;0),(Q421-N421)/N421,"")</f>
        <v/>
      </c>
      <c r="V421" t="inlineStr">
        <is>
          <t>Summary Ratecard</t>
        </is>
      </c>
      <c r="X421" t="inlineStr">
        <is>
          <t>OK</t>
        </is>
      </c>
      <c r="Y421" t="inlineStr">
        <is>
          <t>choir / paduan suara (30 pax) | team/event</t>
        </is>
      </c>
    </row>
    <row r="422">
      <c r="A422" t="n">
        <v>418</v>
      </c>
      <c r="B422" t="inlineStr">
        <is>
          <t>📊 SUMMARY</t>
        </is>
      </c>
      <c r="C422" t="n">
        <v>52</v>
      </c>
      <c r="D422" t="inlineStr">
        <is>
          <t>Summary Range</t>
        </is>
      </c>
      <c r="F422" t="inlineStr">
        <is>
          <t>TALENT</t>
        </is>
      </c>
      <c r="H422" t="inlineStr">
        <is>
          <t>Dancer / Dance Group (Lokal)</t>
        </is>
      </c>
      <c r="J422" t="inlineStr">
        <is>
          <t>team/event</t>
        </is>
      </c>
      <c r="N422">
        <f>IF(COUNT(L422:M422)=0,"",AVERAGE(L422:M422))</f>
        <v/>
      </c>
      <c r="O422" t="n">
        <v>10000000</v>
      </c>
      <c r="P422" t="n">
        <v>15000000</v>
      </c>
      <c r="Q422">
        <f>IF(COUNT(O422:P422)=0,"",AVERAGE(O422:P422))</f>
        <v/>
      </c>
      <c r="R422">
        <f>IF(Q422&lt;&gt;"",Q422,IF(N422&lt;&gt;"",ROUND(N422*(1+$B$2),0),""))</f>
        <v/>
      </c>
      <c r="S422">
        <f>IF(AND(N422&lt;&gt;"",Q422&lt;&gt;"",N422&lt;&gt;0),(Q422-N422)/N422,"")</f>
        <v/>
      </c>
      <c r="V422" t="inlineStr">
        <is>
          <t>Summary Ratecard</t>
        </is>
      </c>
      <c r="X422" t="inlineStr">
        <is>
          <t>Potential duplicate x2</t>
        </is>
      </c>
      <c r="Y422" t="inlineStr">
        <is>
          <t>dancer / dance group (lokal) | team/event</t>
        </is>
      </c>
    </row>
    <row r="423">
      <c r="A423" t="n">
        <v>419</v>
      </c>
      <c r="B423" t="inlineStr">
        <is>
          <t>📊 SUMMARY</t>
        </is>
      </c>
      <c r="C423" t="n">
        <v>47</v>
      </c>
      <c r="D423" t="inlineStr">
        <is>
          <t>Summary Range</t>
        </is>
      </c>
      <c r="F423" t="inlineStr">
        <is>
          <t>TALENT</t>
        </is>
      </c>
      <c r="H423" t="inlineStr">
        <is>
          <t>MC Lokal</t>
        </is>
      </c>
      <c r="J423" t="inlineStr">
        <is>
          <t>person/event</t>
        </is>
      </c>
      <c r="N423">
        <f>IF(COUNT(L423:M423)=0,"",AVERAGE(L423:M423))</f>
        <v/>
      </c>
      <c r="O423" t="n">
        <v>2000000</v>
      </c>
      <c r="P423" t="n">
        <v>5000000</v>
      </c>
      <c r="Q423">
        <f>IF(COUNT(O423:P423)=0,"",AVERAGE(O423:P423))</f>
        <v/>
      </c>
      <c r="R423">
        <f>IF(Q423&lt;&gt;"",Q423,IF(N423&lt;&gt;"",ROUND(N423*(1+$B$2),0),""))</f>
        <v/>
      </c>
      <c r="S423">
        <f>IF(AND(N423&lt;&gt;"",Q423&lt;&gt;"",N423&lt;&gt;0),(Q423-N423)/N423,"")</f>
        <v/>
      </c>
      <c r="V423" t="inlineStr">
        <is>
          <t>Summary Ratecard</t>
        </is>
      </c>
      <c r="W423" t="inlineStr">
        <is>
          <t>excl. riders</t>
        </is>
      </c>
      <c r="X423" t="inlineStr">
        <is>
          <t>OK</t>
        </is>
      </c>
      <c r="Y423" t="inlineStr">
        <is>
          <t>mc lokal | person/event</t>
        </is>
      </c>
    </row>
    <row r="424">
      <c r="A424" t="n">
        <v>420</v>
      </c>
      <c r="B424" t="inlineStr">
        <is>
          <t>📊 SUMMARY</t>
        </is>
      </c>
      <c r="C424" t="n">
        <v>48</v>
      </c>
      <c r="D424" t="inlineStr">
        <is>
          <t>Summary Range</t>
        </is>
      </c>
      <c r="F424" t="inlineStr">
        <is>
          <t>TALENT</t>
        </is>
      </c>
      <c r="H424" t="inlineStr">
        <is>
          <t>MC Nasional</t>
        </is>
      </c>
      <c r="J424" t="inlineStr">
        <is>
          <t>person/event</t>
        </is>
      </c>
      <c r="N424">
        <f>IF(COUNT(L424:M424)=0,"",AVERAGE(L424:M424))</f>
        <v/>
      </c>
      <c r="O424" t="n">
        <v>10000000</v>
      </c>
      <c r="P424" t="n">
        <v>30000000</v>
      </c>
      <c r="Q424">
        <f>IF(COUNT(O424:P424)=0,"",AVERAGE(O424:P424))</f>
        <v/>
      </c>
      <c r="R424">
        <f>IF(Q424&lt;&gt;"",Q424,IF(N424&lt;&gt;"",ROUND(N424*(1+$B$2),0),""))</f>
        <v/>
      </c>
      <c r="S424">
        <f>IF(AND(N424&lt;&gt;"",Q424&lt;&gt;"",N424&lt;&gt;0),(Q424-N424)/N424,"")</f>
        <v/>
      </c>
      <c r="V424" t="inlineStr">
        <is>
          <t>Summary Ratecard</t>
        </is>
      </c>
      <c r="W424" t="inlineStr">
        <is>
          <t>incl. riders</t>
        </is>
      </c>
      <c r="X424" t="inlineStr">
        <is>
          <t>OK</t>
        </is>
      </c>
      <c r="Y424" t="inlineStr">
        <is>
          <t>mc nasional | person/event</t>
        </is>
      </c>
    </row>
    <row r="425">
      <c r="A425" t="n">
        <v>421</v>
      </c>
      <c r="B425" t="inlineStr">
        <is>
          <t>📦 RATECARD DB</t>
        </is>
      </c>
      <c r="C425" t="n">
        <v>138</v>
      </c>
      <c r="D425" t="inlineStr">
        <is>
          <t>Master Ratecard</t>
        </is>
      </c>
      <c r="F425" t="inlineStr">
        <is>
          <t>TALENT</t>
        </is>
      </c>
      <c r="G425" t="inlineStr">
        <is>
          <t>Band/Artis</t>
        </is>
      </c>
      <c r="H425" t="inlineStr">
        <is>
          <t>Andien</t>
        </is>
      </c>
      <c r="I425" t="inlineStr">
        <is>
          <t>excl. riders</t>
        </is>
      </c>
      <c r="J425" t="inlineStr">
        <is>
          <t>person/event</t>
        </is>
      </c>
      <c r="L425" t="n">
        <v>120000000</v>
      </c>
      <c r="M425" t="n">
        <v>120000000</v>
      </c>
      <c r="N425">
        <f>IF(COUNT(L425:M425)=0,"",AVERAGE(L425:M425))</f>
        <v/>
      </c>
      <c r="O425" t="n">
        <v>135000000</v>
      </c>
      <c r="P425" t="n">
        <v>135000000</v>
      </c>
      <c r="Q425">
        <f>IF(COUNT(O425:P425)=0,"",AVERAGE(O425:P425))</f>
        <v/>
      </c>
      <c r="R425">
        <f>IF(Q425&lt;&gt;"",Q425,IF(N425&lt;&gt;"",ROUND(N425*(1+$B$2),0),""))</f>
        <v/>
      </c>
      <c r="S425">
        <f>IF(AND(N425&lt;&gt;"",Q425&lt;&gt;"",N425&lt;&gt;0),(Q425-N425)/N425,"")</f>
        <v/>
      </c>
      <c r="T425" t="inlineStr">
        <is>
          <t>2025</t>
        </is>
      </c>
      <c r="V425" t="inlineStr">
        <is>
          <t>HAB 78</t>
        </is>
      </c>
      <c r="X425" t="inlineStr">
        <is>
          <t>OK</t>
        </is>
      </c>
      <c r="Y425" t="inlineStr">
        <is>
          <t>andien | person/event</t>
        </is>
      </c>
    </row>
    <row r="426">
      <c r="A426" t="n">
        <v>422</v>
      </c>
      <c r="B426" t="inlineStr">
        <is>
          <t>📦 RATECARD DB</t>
        </is>
      </c>
      <c r="C426" t="n">
        <v>122</v>
      </c>
      <c r="D426" t="inlineStr">
        <is>
          <t>Master Ratecard</t>
        </is>
      </c>
      <c r="F426" t="inlineStr">
        <is>
          <t>TALENT</t>
        </is>
      </c>
      <c r="G426" t="inlineStr">
        <is>
          <t>Band/Artis</t>
        </is>
      </c>
      <c r="H426" t="inlineStr">
        <is>
          <t>Arash Buana</t>
        </is>
      </c>
      <c r="I426" t="inlineStr">
        <is>
          <t>excl. riders</t>
        </is>
      </c>
      <c r="J426" t="inlineStr">
        <is>
          <t>person/event</t>
        </is>
      </c>
      <c r="L426" t="n">
        <v>22000000</v>
      </c>
      <c r="M426" t="n">
        <v>22000000</v>
      </c>
      <c r="N426">
        <f>IF(COUNT(L426:M426)=0,"",AVERAGE(L426:M426))</f>
        <v/>
      </c>
      <c r="O426" t="n">
        <v>25000000</v>
      </c>
      <c r="P426" t="n">
        <v>25000000</v>
      </c>
      <c r="Q426">
        <f>IF(COUNT(O426:P426)=0,"",AVERAGE(O426:P426))</f>
        <v/>
      </c>
      <c r="R426">
        <f>IF(Q426&lt;&gt;"",Q426,IF(N426&lt;&gt;"",ROUND(N426*(1+$B$2),0),""))</f>
        <v/>
      </c>
      <c r="S426">
        <f>IF(AND(N426&lt;&gt;"",Q426&lt;&gt;"",N426&lt;&gt;0),(Q426-N426)/N426,"")</f>
        <v/>
      </c>
      <c r="T426" t="inlineStr">
        <is>
          <t>2025</t>
        </is>
      </c>
      <c r="V426" t="inlineStr">
        <is>
          <t>HAB 78</t>
        </is>
      </c>
      <c r="X426" t="inlineStr">
        <is>
          <t>OK</t>
        </is>
      </c>
      <c r="Y426" t="inlineStr">
        <is>
          <t>arash buana | person/event</t>
        </is>
      </c>
    </row>
    <row r="427">
      <c r="A427" t="n">
        <v>423</v>
      </c>
      <c r="B427" t="inlineStr">
        <is>
          <t>📦 RATECARD DB</t>
        </is>
      </c>
      <c r="C427" t="n">
        <v>139</v>
      </c>
      <c r="D427" t="inlineStr">
        <is>
          <t>Master Ratecard</t>
        </is>
      </c>
      <c r="F427" t="inlineStr">
        <is>
          <t>TALENT</t>
        </is>
      </c>
      <c r="G427" t="inlineStr">
        <is>
          <t>Band/Artis</t>
        </is>
      </c>
      <c r="H427" t="inlineStr">
        <is>
          <t>Boris Bokir</t>
        </is>
      </c>
      <c r="I427" t="inlineStr">
        <is>
          <t>excl. riders</t>
        </is>
      </c>
      <c r="J427" t="inlineStr">
        <is>
          <t>person/event</t>
        </is>
      </c>
      <c r="L427" t="n">
        <v>48000000</v>
      </c>
      <c r="M427" t="n">
        <v>48000000</v>
      </c>
      <c r="N427">
        <f>IF(COUNT(L427:M427)=0,"",AVERAGE(L427:M427))</f>
        <v/>
      </c>
      <c r="O427" t="n">
        <v>55000000</v>
      </c>
      <c r="P427" t="n">
        <v>55000000</v>
      </c>
      <c r="Q427">
        <f>IF(COUNT(O427:P427)=0,"",AVERAGE(O427:P427))</f>
        <v/>
      </c>
      <c r="R427">
        <f>IF(Q427&lt;&gt;"",Q427,IF(N427&lt;&gt;"",ROUND(N427*(1+$B$2),0),""))</f>
        <v/>
      </c>
      <c r="S427">
        <f>IF(AND(N427&lt;&gt;"",Q427&lt;&gt;"",N427&lt;&gt;0),(Q427-N427)/N427,"")</f>
        <v/>
      </c>
      <c r="T427" t="inlineStr">
        <is>
          <t>2025</t>
        </is>
      </c>
      <c r="V427" t="inlineStr">
        <is>
          <t>HAB 78</t>
        </is>
      </c>
      <c r="X427" t="inlineStr">
        <is>
          <t>OK</t>
        </is>
      </c>
      <c r="Y427" t="inlineStr">
        <is>
          <t>boris bokir | person/event</t>
        </is>
      </c>
    </row>
    <row r="428">
      <c r="A428" t="n">
        <v>424</v>
      </c>
      <c r="B428" t="inlineStr">
        <is>
          <t>📦 RATECARD DB</t>
        </is>
      </c>
      <c r="C428" t="n">
        <v>135</v>
      </c>
      <c r="D428" t="inlineStr">
        <is>
          <t>Master Ratecard</t>
        </is>
      </c>
      <c r="F428" t="inlineStr">
        <is>
          <t>TALENT</t>
        </is>
      </c>
      <c r="G428" t="inlineStr">
        <is>
          <t>Band/Artis</t>
        </is>
      </c>
      <c r="H428" t="inlineStr">
        <is>
          <t>Diskoria</t>
        </is>
      </c>
      <c r="I428" t="inlineStr">
        <is>
          <t>excl. riders</t>
        </is>
      </c>
      <c r="J428" t="inlineStr">
        <is>
          <t>band/event</t>
        </is>
      </c>
      <c r="L428" t="n">
        <v>72000000</v>
      </c>
      <c r="M428" t="n">
        <v>72000000</v>
      </c>
      <c r="N428">
        <f>IF(COUNT(L428:M428)=0,"",AVERAGE(L428:M428))</f>
        <v/>
      </c>
      <c r="O428" t="n">
        <v>80000000</v>
      </c>
      <c r="P428" t="n">
        <v>80000000</v>
      </c>
      <c r="Q428">
        <f>IF(COUNT(O428:P428)=0,"",AVERAGE(O428:P428))</f>
        <v/>
      </c>
      <c r="R428">
        <f>IF(Q428&lt;&gt;"",Q428,IF(N428&lt;&gt;"",ROUND(N428*(1+$B$2),0),""))</f>
        <v/>
      </c>
      <c r="S428">
        <f>IF(AND(N428&lt;&gt;"",Q428&lt;&gt;"",N428&lt;&gt;0),(Q428-N428)/N428,"")</f>
        <v/>
      </c>
      <c r="T428" t="inlineStr">
        <is>
          <t>2025</t>
        </is>
      </c>
      <c r="V428" t="inlineStr">
        <is>
          <t>HAB 78</t>
        </is>
      </c>
      <c r="X428" t="inlineStr">
        <is>
          <t>OK</t>
        </is>
      </c>
      <c r="Y428" t="inlineStr">
        <is>
          <t>diskoria | band/event</t>
        </is>
      </c>
    </row>
    <row r="429">
      <c r="A429" t="n">
        <v>425</v>
      </c>
      <c r="B429" t="inlineStr">
        <is>
          <t>📦 RATECARD DB</t>
        </is>
      </c>
      <c r="C429" t="n">
        <v>129</v>
      </c>
      <c r="D429" t="inlineStr">
        <is>
          <t>Master Ratecard</t>
        </is>
      </c>
      <c r="F429" t="inlineStr">
        <is>
          <t>TALENT</t>
        </is>
      </c>
      <c r="G429" t="inlineStr">
        <is>
          <t>Band/Artis</t>
        </is>
      </c>
      <c r="H429" t="inlineStr">
        <is>
          <t>Donne Maula</t>
        </is>
      </c>
      <c r="I429" t="inlineStr">
        <is>
          <t>excl. riders</t>
        </is>
      </c>
      <c r="J429" t="inlineStr">
        <is>
          <t>person/event</t>
        </is>
      </c>
      <c r="L429" t="n">
        <v>40000000</v>
      </c>
      <c r="M429" t="n">
        <v>40000000</v>
      </c>
      <c r="N429">
        <f>IF(COUNT(L429:M429)=0,"",AVERAGE(L429:M429))</f>
        <v/>
      </c>
      <c r="O429" t="n">
        <v>45000000</v>
      </c>
      <c r="P429" t="n">
        <v>45000000</v>
      </c>
      <c r="Q429">
        <f>IF(COUNT(O429:P429)=0,"",AVERAGE(O429:P429))</f>
        <v/>
      </c>
      <c r="R429">
        <f>IF(Q429&lt;&gt;"",Q429,IF(N429&lt;&gt;"",ROUND(N429*(1+$B$2),0),""))</f>
        <v/>
      </c>
      <c r="S429">
        <f>IF(AND(N429&lt;&gt;"",Q429&lt;&gt;"",N429&lt;&gt;0),(Q429-N429)/N429,"")</f>
        <v/>
      </c>
      <c r="T429" t="inlineStr">
        <is>
          <t>2025</t>
        </is>
      </c>
      <c r="V429" t="inlineStr">
        <is>
          <t>HAB 78</t>
        </is>
      </c>
      <c r="X429" t="inlineStr">
        <is>
          <t>OK</t>
        </is>
      </c>
      <c r="Y429" t="inlineStr">
        <is>
          <t>donne maula | person/event</t>
        </is>
      </c>
    </row>
    <row r="430">
      <c r="A430" t="n">
        <v>426</v>
      </c>
      <c r="B430" t="inlineStr">
        <is>
          <t>📦 RATECARD DB</t>
        </is>
      </c>
      <c r="C430" t="n">
        <v>137</v>
      </c>
      <c r="D430" t="inlineStr">
        <is>
          <t>Master Ratecard</t>
        </is>
      </c>
      <c r="F430" t="inlineStr">
        <is>
          <t>TALENT</t>
        </is>
      </c>
      <c r="G430" t="inlineStr">
        <is>
          <t>Band/Artis</t>
        </is>
      </c>
      <c r="H430" t="inlineStr">
        <is>
          <t>Eva Celia</t>
        </is>
      </c>
      <c r="I430" t="inlineStr">
        <is>
          <t>excl. riders</t>
        </is>
      </c>
      <c r="J430" t="inlineStr">
        <is>
          <t>person/event</t>
        </is>
      </c>
      <c r="L430" t="n">
        <v>75000000</v>
      </c>
      <c r="M430" t="n">
        <v>75000000</v>
      </c>
      <c r="N430">
        <f>IF(COUNT(L430:M430)=0,"",AVERAGE(L430:M430))</f>
        <v/>
      </c>
      <c r="O430" t="n">
        <v>85000000</v>
      </c>
      <c r="P430" t="n">
        <v>85000000</v>
      </c>
      <c r="Q430">
        <f>IF(COUNT(O430:P430)=0,"",AVERAGE(O430:P430))</f>
        <v/>
      </c>
      <c r="R430">
        <f>IF(Q430&lt;&gt;"",Q430,IF(N430&lt;&gt;"",ROUND(N430*(1+$B$2),0),""))</f>
        <v/>
      </c>
      <c r="S430">
        <f>IF(AND(N430&lt;&gt;"",Q430&lt;&gt;"",N430&lt;&gt;0),(Q430-N430)/N430,"")</f>
        <v/>
      </c>
      <c r="T430" t="inlineStr">
        <is>
          <t>2025</t>
        </is>
      </c>
      <c r="V430" t="inlineStr">
        <is>
          <t>HAB 78</t>
        </is>
      </c>
      <c r="X430" t="inlineStr">
        <is>
          <t>OK</t>
        </is>
      </c>
      <c r="Y430" t="inlineStr">
        <is>
          <t>eva celia | person/event</t>
        </is>
      </c>
    </row>
    <row r="431">
      <c r="A431" t="n">
        <v>427</v>
      </c>
      <c r="B431" t="inlineStr">
        <is>
          <t>📦 RATECARD DB</t>
        </is>
      </c>
      <c r="C431" t="n">
        <v>130</v>
      </c>
      <c r="D431" t="inlineStr">
        <is>
          <t>Master Ratecard</t>
        </is>
      </c>
      <c r="F431" t="inlineStr">
        <is>
          <t>TALENT</t>
        </is>
      </c>
      <c r="G431" t="inlineStr">
        <is>
          <t>Band/Artis</t>
        </is>
      </c>
      <c r="H431" t="inlineStr">
        <is>
          <t>For Revenge</t>
        </is>
      </c>
      <c r="I431" t="inlineStr">
        <is>
          <t>excl. riders</t>
        </is>
      </c>
      <c r="J431" t="inlineStr">
        <is>
          <t>band/event</t>
        </is>
      </c>
      <c r="L431" t="n">
        <v>62000000</v>
      </c>
      <c r="M431" t="n">
        <v>62000000</v>
      </c>
      <c r="N431">
        <f>IF(COUNT(L431:M431)=0,"",AVERAGE(L431:M431))</f>
        <v/>
      </c>
      <c r="O431" t="n">
        <v>70000000</v>
      </c>
      <c r="P431" t="n">
        <v>70000000</v>
      </c>
      <c r="Q431">
        <f>IF(COUNT(O431:P431)=0,"",AVERAGE(O431:P431))</f>
        <v/>
      </c>
      <c r="R431">
        <f>IF(Q431&lt;&gt;"",Q431,IF(N431&lt;&gt;"",ROUND(N431*(1+$B$2),0),""))</f>
        <v/>
      </c>
      <c r="S431">
        <f>IF(AND(N431&lt;&gt;"",Q431&lt;&gt;"",N431&lt;&gt;0),(Q431-N431)/N431,"")</f>
        <v/>
      </c>
      <c r="T431" t="inlineStr">
        <is>
          <t>2025</t>
        </is>
      </c>
      <c r="V431" t="inlineStr">
        <is>
          <t>HAB 78</t>
        </is>
      </c>
      <c r="X431" t="inlineStr">
        <is>
          <t>OK</t>
        </is>
      </c>
      <c r="Y431" t="inlineStr">
        <is>
          <t>for revenge | band/event</t>
        </is>
      </c>
    </row>
    <row r="432">
      <c r="A432" t="n">
        <v>428</v>
      </c>
      <c r="B432" t="inlineStr">
        <is>
          <t>📦 RATECARD DB</t>
        </is>
      </c>
      <c r="C432" t="n">
        <v>133</v>
      </c>
      <c r="D432" t="inlineStr">
        <is>
          <t>Master Ratecard</t>
        </is>
      </c>
      <c r="F432" t="inlineStr">
        <is>
          <t>TALENT</t>
        </is>
      </c>
      <c r="G432" t="inlineStr">
        <is>
          <t>Band/Artis</t>
        </is>
      </c>
      <c r="H432" t="inlineStr">
        <is>
          <t>Ghea Indrawari</t>
        </is>
      </c>
      <c r="I432" t="inlineStr">
        <is>
          <t>excl. riders</t>
        </is>
      </c>
      <c r="J432" t="inlineStr">
        <is>
          <t>person/event</t>
        </is>
      </c>
      <c r="L432" t="n">
        <v>62000000</v>
      </c>
      <c r="M432" t="n">
        <v>62000000</v>
      </c>
      <c r="N432">
        <f>IF(COUNT(L432:M432)=0,"",AVERAGE(L432:M432))</f>
        <v/>
      </c>
      <c r="O432" t="n">
        <v>70000000</v>
      </c>
      <c r="P432" t="n">
        <v>70000000</v>
      </c>
      <c r="Q432">
        <f>IF(COUNT(O432:P432)=0,"",AVERAGE(O432:P432))</f>
        <v/>
      </c>
      <c r="R432">
        <f>IF(Q432&lt;&gt;"",Q432,IF(N432&lt;&gt;"",ROUND(N432*(1+$B$2),0),""))</f>
        <v/>
      </c>
      <c r="S432">
        <f>IF(AND(N432&lt;&gt;"",Q432&lt;&gt;"",N432&lt;&gt;0),(Q432-N432)/N432,"")</f>
        <v/>
      </c>
      <c r="T432" t="inlineStr">
        <is>
          <t>2025</t>
        </is>
      </c>
      <c r="V432" t="inlineStr">
        <is>
          <t>HAB 78</t>
        </is>
      </c>
      <c r="X432" t="inlineStr">
        <is>
          <t>OK</t>
        </is>
      </c>
      <c r="Y432" t="inlineStr">
        <is>
          <t>ghea indrawari | person/event</t>
        </is>
      </c>
    </row>
    <row r="433">
      <c r="A433" t="n">
        <v>429</v>
      </c>
      <c r="B433" t="inlineStr">
        <is>
          <t>📦 RATECARD DB</t>
        </is>
      </c>
      <c r="C433" t="n">
        <v>141</v>
      </c>
      <c r="D433" t="inlineStr">
        <is>
          <t>Master Ratecard</t>
        </is>
      </c>
      <c r="F433" t="inlineStr">
        <is>
          <t>TALENT</t>
        </is>
      </c>
      <c r="G433" t="inlineStr">
        <is>
          <t>Band/Artis</t>
        </is>
      </c>
      <c r="H433" t="inlineStr">
        <is>
          <t>Husein Ja'far Al Hadar</t>
        </is>
      </c>
      <c r="I433" t="inlineStr">
        <is>
          <t>excl. riders</t>
        </is>
      </c>
      <c r="J433" t="inlineStr">
        <is>
          <t>person/event</t>
        </is>
      </c>
      <c r="L433" t="n">
        <v>90000000</v>
      </c>
      <c r="M433" t="n">
        <v>90000000</v>
      </c>
      <c r="N433">
        <f>IF(COUNT(L433:M433)=0,"",AVERAGE(L433:M433))</f>
        <v/>
      </c>
      <c r="O433" t="n">
        <v>100000000</v>
      </c>
      <c r="P433" t="n">
        <v>100000000</v>
      </c>
      <c r="Q433">
        <f>IF(COUNT(O433:P433)=0,"",AVERAGE(O433:P433))</f>
        <v/>
      </c>
      <c r="R433">
        <f>IF(Q433&lt;&gt;"",Q433,IF(N433&lt;&gt;"",ROUND(N433*(1+$B$2),0),""))</f>
        <v/>
      </c>
      <c r="S433">
        <f>IF(AND(N433&lt;&gt;"",Q433&lt;&gt;"",N433&lt;&gt;0),(Q433-N433)/N433,"")</f>
        <v/>
      </c>
      <c r="T433" t="inlineStr">
        <is>
          <t>2025</t>
        </is>
      </c>
      <c r="V433" t="inlineStr">
        <is>
          <t>HAB 78</t>
        </is>
      </c>
      <c r="X433" t="inlineStr">
        <is>
          <t>OK</t>
        </is>
      </c>
      <c r="Y433" t="inlineStr">
        <is>
          <t>husein ja'far al hadar | person/event</t>
        </is>
      </c>
    </row>
    <row r="434">
      <c r="A434" t="n">
        <v>430</v>
      </c>
      <c r="B434" t="inlineStr">
        <is>
          <t>📦 RATECARD DB</t>
        </is>
      </c>
      <c r="C434" t="n">
        <v>128</v>
      </c>
      <c r="D434" t="inlineStr">
        <is>
          <t>Master Ratecard</t>
        </is>
      </c>
      <c r="F434" t="inlineStr">
        <is>
          <t>TALENT</t>
        </is>
      </c>
      <c r="G434" t="inlineStr">
        <is>
          <t>Band/Artis</t>
        </is>
      </c>
      <c r="H434" t="inlineStr">
        <is>
          <t>Idgitaf</t>
        </is>
      </c>
      <c r="I434" t="inlineStr">
        <is>
          <t>excl. riders</t>
        </is>
      </c>
      <c r="J434" t="inlineStr">
        <is>
          <t>person/event</t>
        </is>
      </c>
      <c r="L434" t="n">
        <v>50000000</v>
      </c>
      <c r="M434" t="n">
        <v>50000000</v>
      </c>
      <c r="N434">
        <f>IF(COUNT(L434:M434)=0,"",AVERAGE(L434:M434))</f>
        <v/>
      </c>
      <c r="O434" t="n">
        <v>55000000</v>
      </c>
      <c r="P434" t="n">
        <v>55000000</v>
      </c>
      <c r="Q434">
        <f>IF(COUNT(O434:P434)=0,"",AVERAGE(O434:P434))</f>
        <v/>
      </c>
      <c r="R434">
        <f>IF(Q434&lt;&gt;"",Q434,IF(N434&lt;&gt;"",ROUND(N434*(1+$B$2),0),""))</f>
        <v/>
      </c>
      <c r="S434">
        <f>IF(AND(N434&lt;&gt;"",Q434&lt;&gt;"",N434&lt;&gt;0),(Q434-N434)/N434,"")</f>
        <v/>
      </c>
      <c r="T434" t="inlineStr">
        <is>
          <t>2025</t>
        </is>
      </c>
      <c r="V434" t="inlineStr">
        <is>
          <t>HAB 78</t>
        </is>
      </c>
      <c r="X434" t="inlineStr">
        <is>
          <t>OK</t>
        </is>
      </c>
      <c r="Y434" t="inlineStr">
        <is>
          <t>idgitaf | person/event</t>
        </is>
      </c>
    </row>
    <row r="435">
      <c r="A435" t="n">
        <v>431</v>
      </c>
      <c r="B435" t="inlineStr">
        <is>
          <t>📦 RATECARD DB</t>
        </is>
      </c>
      <c r="C435" t="n">
        <v>140</v>
      </c>
      <c r="D435" t="inlineStr">
        <is>
          <t>Master Ratecard</t>
        </is>
      </c>
      <c r="F435" t="inlineStr">
        <is>
          <t>TALENT</t>
        </is>
      </c>
      <c r="G435" t="inlineStr">
        <is>
          <t>Band/Artis</t>
        </is>
      </c>
      <c r="H435" t="inlineStr">
        <is>
          <t>Kotak Band</t>
        </is>
      </c>
      <c r="I435" t="inlineStr">
        <is>
          <t>ALL IN incl. riders</t>
        </is>
      </c>
      <c r="J435" t="inlineStr">
        <is>
          <t>band/event</t>
        </is>
      </c>
      <c r="L435" t="n">
        <v>100000000</v>
      </c>
      <c r="M435" t="n">
        <v>100000000</v>
      </c>
      <c r="N435">
        <f>IF(COUNT(L435:M435)=0,"",AVERAGE(L435:M435))</f>
        <v/>
      </c>
      <c r="O435" t="n">
        <v>125000000</v>
      </c>
      <c r="P435" t="n">
        <v>125000000</v>
      </c>
      <c r="Q435">
        <f>IF(COUNT(O435:P435)=0,"",AVERAGE(O435:P435))</f>
        <v/>
      </c>
      <c r="R435">
        <f>IF(Q435&lt;&gt;"",Q435,IF(N435&lt;&gt;"",ROUND(N435*(1+$B$2),0),""))</f>
        <v/>
      </c>
      <c r="S435">
        <f>IF(AND(N435&lt;&gt;"",Q435&lt;&gt;"",N435&lt;&gt;0),(Q435-N435)/N435,"")</f>
        <v/>
      </c>
      <c r="T435" t="inlineStr">
        <is>
          <t>2025</t>
        </is>
      </c>
      <c r="V435" t="inlineStr">
        <is>
          <t>HAB 78</t>
        </is>
      </c>
      <c r="X435" t="inlineStr">
        <is>
          <t>OK</t>
        </is>
      </c>
      <c r="Y435" t="inlineStr">
        <is>
          <t>kotak band | band/event</t>
        </is>
      </c>
    </row>
    <row r="436">
      <c r="A436" t="n">
        <v>432</v>
      </c>
      <c r="B436" t="inlineStr">
        <is>
          <t>📦 RATECARD DB</t>
        </is>
      </c>
      <c r="C436" t="n">
        <v>136</v>
      </c>
      <c r="D436" t="inlineStr">
        <is>
          <t>Master Ratecard</t>
        </is>
      </c>
      <c r="F436" t="inlineStr">
        <is>
          <t>TALENT</t>
        </is>
      </c>
      <c r="G436" t="inlineStr">
        <is>
          <t>Band/Artis</t>
        </is>
      </c>
      <c r="H436" t="inlineStr">
        <is>
          <t>Marcello Tahitoe</t>
        </is>
      </c>
      <c r="I436" t="inlineStr">
        <is>
          <t>excl. riders</t>
        </is>
      </c>
      <c r="J436" t="inlineStr">
        <is>
          <t>person/event</t>
        </is>
      </c>
      <c r="L436" t="n">
        <v>80000000</v>
      </c>
      <c r="M436" t="n">
        <v>80000000</v>
      </c>
      <c r="N436">
        <f>IF(COUNT(L436:M436)=0,"",AVERAGE(L436:M436))</f>
        <v/>
      </c>
      <c r="O436" t="n">
        <v>90000000</v>
      </c>
      <c r="P436" t="n">
        <v>90000000</v>
      </c>
      <c r="Q436">
        <f>IF(COUNT(O436:P436)=0,"",AVERAGE(O436:P436))</f>
        <v/>
      </c>
      <c r="R436">
        <f>IF(Q436&lt;&gt;"",Q436,IF(N436&lt;&gt;"",ROUND(N436*(1+$B$2),0),""))</f>
        <v/>
      </c>
      <c r="S436">
        <f>IF(AND(N436&lt;&gt;"",Q436&lt;&gt;"",N436&lt;&gt;0),(Q436-N436)/N436,"")</f>
        <v/>
      </c>
      <c r="T436" t="inlineStr">
        <is>
          <t>2025</t>
        </is>
      </c>
      <c r="V436" t="inlineStr">
        <is>
          <t>HAB 78</t>
        </is>
      </c>
      <c r="W436" t="inlineStr">
        <is>
          <t>incl. royalty fee</t>
        </is>
      </c>
      <c r="X436" t="inlineStr">
        <is>
          <t>OK</t>
        </is>
      </c>
      <c r="Y436" t="inlineStr">
        <is>
          <t>marcello tahitoe | person/event</t>
        </is>
      </c>
    </row>
    <row r="437">
      <c r="A437" t="n">
        <v>433</v>
      </c>
      <c r="B437" t="inlineStr">
        <is>
          <t>📦 RATECARD DB</t>
        </is>
      </c>
      <c r="C437" t="n">
        <v>131</v>
      </c>
      <c r="D437" t="inlineStr">
        <is>
          <t>Master Ratecard</t>
        </is>
      </c>
      <c r="F437" t="inlineStr">
        <is>
          <t>TALENT</t>
        </is>
      </c>
      <c r="G437" t="inlineStr">
        <is>
          <t>Band/Artis</t>
        </is>
      </c>
      <c r="H437" t="inlineStr">
        <is>
          <t>Nadin Amizah</t>
        </is>
      </c>
      <c r="I437" t="inlineStr">
        <is>
          <t>excl. riders</t>
        </is>
      </c>
      <c r="J437" t="inlineStr">
        <is>
          <t>person/event</t>
        </is>
      </c>
      <c r="L437" t="n">
        <v>62000000</v>
      </c>
      <c r="M437" t="n">
        <v>62000000</v>
      </c>
      <c r="N437">
        <f>IF(COUNT(L437:M437)=0,"",AVERAGE(L437:M437))</f>
        <v/>
      </c>
      <c r="O437" t="n">
        <v>70000000</v>
      </c>
      <c r="P437" t="n">
        <v>70000000</v>
      </c>
      <c r="Q437">
        <f>IF(COUNT(O437:P437)=0,"",AVERAGE(O437:P437))</f>
        <v/>
      </c>
      <c r="R437">
        <f>IF(Q437&lt;&gt;"",Q437,IF(N437&lt;&gt;"",ROUND(N437*(1+$B$2),0),""))</f>
        <v/>
      </c>
      <c r="S437">
        <f>IF(AND(N437&lt;&gt;"",Q437&lt;&gt;"",N437&lt;&gt;0),(Q437-N437)/N437,"")</f>
        <v/>
      </c>
      <c r="T437" t="inlineStr">
        <is>
          <t>2025</t>
        </is>
      </c>
      <c r="V437" t="inlineStr">
        <is>
          <t>HAB 78</t>
        </is>
      </c>
      <c r="X437" t="inlineStr">
        <is>
          <t>OK</t>
        </is>
      </c>
      <c r="Y437" t="inlineStr">
        <is>
          <t>nadin amizah | person/event</t>
        </is>
      </c>
    </row>
    <row r="438">
      <c r="A438" t="n">
        <v>434</v>
      </c>
      <c r="B438" t="inlineStr">
        <is>
          <t>📦 RATECARD DB</t>
        </is>
      </c>
      <c r="C438" t="n">
        <v>124</v>
      </c>
      <c r="D438" t="inlineStr">
        <is>
          <t>Master Ratecard</t>
        </is>
      </c>
      <c r="F438" t="inlineStr">
        <is>
          <t>TALENT</t>
        </is>
      </c>
      <c r="G438" t="inlineStr">
        <is>
          <t>Band/Artis</t>
        </is>
      </c>
      <c r="H438" t="inlineStr">
        <is>
          <t>Oza Rangkuti</t>
        </is>
      </c>
      <c r="I438" t="inlineStr">
        <is>
          <t>excl. riders</t>
        </is>
      </c>
      <c r="J438" t="inlineStr">
        <is>
          <t>person/event</t>
        </is>
      </c>
      <c r="L438" t="n">
        <v>27000000</v>
      </c>
      <c r="M438" t="n">
        <v>27000000</v>
      </c>
      <c r="N438">
        <f>IF(COUNT(L438:M438)=0,"",AVERAGE(L438:M438))</f>
        <v/>
      </c>
      <c r="O438" t="n">
        <v>30000000</v>
      </c>
      <c r="P438" t="n">
        <v>30000000</v>
      </c>
      <c r="Q438">
        <f>IF(COUNT(O438:P438)=0,"",AVERAGE(O438:P438))</f>
        <v/>
      </c>
      <c r="R438">
        <f>IF(Q438&lt;&gt;"",Q438,IF(N438&lt;&gt;"",ROUND(N438*(1+$B$2),0),""))</f>
        <v/>
      </c>
      <c r="S438">
        <f>IF(AND(N438&lt;&gt;"",Q438&lt;&gt;"",N438&lt;&gt;0),(Q438-N438)/N438,"")</f>
        <v/>
      </c>
      <c r="T438" t="inlineStr">
        <is>
          <t>2025</t>
        </is>
      </c>
      <c r="V438" t="inlineStr">
        <is>
          <t>HAB 78</t>
        </is>
      </c>
      <c r="W438" t="inlineStr">
        <is>
          <t>incl. on air license</t>
        </is>
      </c>
      <c r="X438" t="inlineStr">
        <is>
          <t>OK</t>
        </is>
      </c>
      <c r="Y438" t="inlineStr">
        <is>
          <t>oza rangkuti | person/event</t>
        </is>
      </c>
    </row>
    <row r="439">
      <c r="A439" t="n">
        <v>435</v>
      </c>
      <c r="B439" t="inlineStr">
        <is>
          <t>📦 RATECARD DB</t>
        </is>
      </c>
      <c r="C439" t="n">
        <v>123</v>
      </c>
      <c r="D439" t="inlineStr">
        <is>
          <t>Master Ratecard</t>
        </is>
      </c>
      <c r="F439" t="inlineStr">
        <is>
          <t>TALENT</t>
        </is>
      </c>
      <c r="G439" t="inlineStr">
        <is>
          <t>Band/Artis</t>
        </is>
      </c>
      <c r="H439" t="inlineStr">
        <is>
          <t>Panji Sakti</t>
        </is>
      </c>
      <c r="I439" t="inlineStr">
        <is>
          <t>excl. riders</t>
        </is>
      </c>
      <c r="J439" t="inlineStr">
        <is>
          <t>person/event</t>
        </is>
      </c>
      <c r="L439" t="n">
        <v>13000000</v>
      </c>
      <c r="M439" t="n">
        <v>13000000</v>
      </c>
      <c r="N439">
        <f>IF(COUNT(L439:M439)=0,"",AVERAGE(L439:M439))</f>
        <v/>
      </c>
      <c r="O439" t="n">
        <v>15000000</v>
      </c>
      <c r="P439" t="n">
        <v>15000000</v>
      </c>
      <c r="Q439">
        <f>IF(COUNT(O439:P439)=0,"",AVERAGE(O439:P439))</f>
        <v/>
      </c>
      <c r="R439">
        <f>IF(Q439&lt;&gt;"",Q439,IF(N439&lt;&gt;"",ROUND(N439*(1+$B$2),0),""))</f>
        <v/>
      </c>
      <c r="S439">
        <f>IF(AND(N439&lt;&gt;"",Q439&lt;&gt;"",N439&lt;&gt;0),(Q439-N439)/N439,"")</f>
        <v/>
      </c>
      <c r="T439" t="inlineStr">
        <is>
          <t>2025</t>
        </is>
      </c>
      <c r="V439" t="inlineStr">
        <is>
          <t>HAB 78</t>
        </is>
      </c>
      <c r="X439" t="inlineStr">
        <is>
          <t>OK</t>
        </is>
      </c>
      <c r="Y439" t="inlineStr">
        <is>
          <t>panji sakti | person/event</t>
        </is>
      </c>
    </row>
    <row r="440">
      <c r="A440" t="n">
        <v>436</v>
      </c>
      <c r="B440" t="inlineStr">
        <is>
          <t>📦 RATECARD DB</t>
        </is>
      </c>
      <c r="C440" t="n">
        <v>132</v>
      </c>
      <c r="D440" t="inlineStr">
        <is>
          <t>Master Ratecard</t>
        </is>
      </c>
      <c r="F440" t="inlineStr">
        <is>
          <t>TALENT</t>
        </is>
      </c>
      <c r="G440" t="inlineStr">
        <is>
          <t>Band/Artis</t>
        </is>
      </c>
      <c r="H440" t="inlineStr">
        <is>
          <t>Raissa Anggiani</t>
        </is>
      </c>
      <c r="I440" t="inlineStr">
        <is>
          <t>excl. riders</t>
        </is>
      </c>
      <c r="J440" t="inlineStr">
        <is>
          <t>person/event</t>
        </is>
      </c>
      <c r="L440" t="n">
        <v>58000000</v>
      </c>
      <c r="M440" t="n">
        <v>58000000</v>
      </c>
      <c r="N440">
        <f>IF(COUNT(L440:M440)=0,"",AVERAGE(L440:M440))</f>
        <v/>
      </c>
      <c r="O440" t="n">
        <v>65000000</v>
      </c>
      <c r="P440" t="n">
        <v>65000000</v>
      </c>
      <c r="Q440">
        <f>IF(COUNT(O440:P440)=0,"",AVERAGE(O440:P440))</f>
        <v/>
      </c>
      <c r="R440">
        <f>IF(Q440&lt;&gt;"",Q440,IF(N440&lt;&gt;"",ROUND(N440*(1+$B$2),0),""))</f>
        <v/>
      </c>
      <c r="S440">
        <f>IF(AND(N440&lt;&gt;"",Q440&lt;&gt;"",N440&lt;&gt;0),(Q440-N440)/N440,"")</f>
        <v/>
      </c>
      <c r="T440" t="inlineStr">
        <is>
          <t>2025</t>
        </is>
      </c>
      <c r="V440" t="inlineStr">
        <is>
          <t>HAB 78</t>
        </is>
      </c>
      <c r="X440" t="inlineStr">
        <is>
          <t>OK</t>
        </is>
      </c>
      <c r="Y440" t="inlineStr">
        <is>
          <t>raissa anggiani | person/event</t>
        </is>
      </c>
    </row>
    <row r="441">
      <c r="A441" t="n">
        <v>437</v>
      </c>
      <c r="B441" t="inlineStr">
        <is>
          <t>📦 RATECARD DB</t>
        </is>
      </c>
      <c r="C441" t="n">
        <v>134</v>
      </c>
      <c r="D441" t="inlineStr">
        <is>
          <t>Master Ratecard</t>
        </is>
      </c>
      <c r="F441" t="inlineStr">
        <is>
          <t>TALENT</t>
        </is>
      </c>
      <c r="G441" t="inlineStr">
        <is>
          <t>Band/Artis</t>
        </is>
      </c>
      <c r="H441" t="inlineStr">
        <is>
          <t>Reality Club</t>
        </is>
      </c>
      <c r="I441" t="inlineStr">
        <is>
          <t>excl. riders</t>
        </is>
      </c>
      <c r="J441" t="inlineStr">
        <is>
          <t>band/event</t>
        </is>
      </c>
      <c r="L441" t="n">
        <v>68000000</v>
      </c>
      <c r="M441" t="n">
        <v>68000000</v>
      </c>
      <c r="N441">
        <f>IF(COUNT(L441:M441)=0,"",AVERAGE(L441:M441))</f>
        <v/>
      </c>
      <c r="O441" t="n">
        <v>75000000</v>
      </c>
      <c r="P441" t="n">
        <v>75000000</v>
      </c>
      <c r="Q441">
        <f>IF(COUNT(O441:P441)=0,"",AVERAGE(O441:P441))</f>
        <v/>
      </c>
      <c r="R441">
        <f>IF(Q441&lt;&gt;"",Q441,IF(N441&lt;&gt;"",ROUND(N441*(1+$B$2),0),""))</f>
        <v/>
      </c>
      <c r="S441">
        <f>IF(AND(N441&lt;&gt;"",Q441&lt;&gt;"",N441&lt;&gt;0),(Q441-N441)/N441,"")</f>
        <v/>
      </c>
      <c r="T441" t="inlineStr">
        <is>
          <t>2025</t>
        </is>
      </c>
      <c r="V441" t="inlineStr">
        <is>
          <t>HAB 78</t>
        </is>
      </c>
      <c r="X441" t="inlineStr">
        <is>
          <t>OK</t>
        </is>
      </c>
      <c r="Y441" t="inlineStr">
        <is>
          <t>reality club | band/event</t>
        </is>
      </c>
    </row>
    <row r="442">
      <c r="A442" t="n">
        <v>438</v>
      </c>
      <c r="B442" t="inlineStr">
        <is>
          <t>📦 RATECARD DB</t>
        </is>
      </c>
      <c r="C442" t="n">
        <v>125</v>
      </c>
      <c r="D442" t="inlineStr">
        <is>
          <t>Master Ratecard</t>
        </is>
      </c>
      <c r="F442" t="inlineStr">
        <is>
          <t>TALENT</t>
        </is>
      </c>
      <c r="G442" t="inlineStr">
        <is>
          <t>Band/Artis</t>
        </is>
      </c>
      <c r="H442" t="inlineStr">
        <is>
          <t>Sastra Silalahi</t>
        </is>
      </c>
      <c r="I442" t="inlineStr">
        <is>
          <t>excl. riders</t>
        </is>
      </c>
      <c r="J442" t="inlineStr">
        <is>
          <t>person/event</t>
        </is>
      </c>
      <c r="L442" t="n">
        <v>20000000</v>
      </c>
      <c r="M442" t="n">
        <v>20000000</v>
      </c>
      <c r="N442">
        <f>IF(COUNT(L442:M442)=0,"",AVERAGE(L442:M442))</f>
        <v/>
      </c>
      <c r="O442" t="n">
        <v>22000000</v>
      </c>
      <c r="P442" t="n">
        <v>22000000</v>
      </c>
      <c r="Q442">
        <f>IF(COUNT(O442:P442)=0,"",AVERAGE(O442:P442))</f>
        <v/>
      </c>
      <c r="R442">
        <f>IF(Q442&lt;&gt;"",Q442,IF(N442&lt;&gt;"",ROUND(N442*(1+$B$2),0),""))</f>
        <v/>
      </c>
      <c r="S442">
        <f>IF(AND(N442&lt;&gt;"",Q442&lt;&gt;"",N442&lt;&gt;0),(Q442-N442)/N442,"")</f>
        <v/>
      </c>
      <c r="T442" t="inlineStr">
        <is>
          <t>2025</t>
        </is>
      </c>
      <c r="V442" t="inlineStr">
        <is>
          <t>HAB 78</t>
        </is>
      </c>
      <c r="X442" t="inlineStr">
        <is>
          <t>OK</t>
        </is>
      </c>
      <c r="Y442" t="inlineStr">
        <is>
          <t>sastra silalahi | person/event</t>
        </is>
      </c>
    </row>
    <row r="443">
      <c r="A443" t="n">
        <v>439</v>
      </c>
      <c r="B443" t="inlineStr">
        <is>
          <t>📦 RATECARD DB</t>
        </is>
      </c>
      <c r="C443" t="n">
        <v>127</v>
      </c>
      <c r="D443" t="inlineStr">
        <is>
          <t>Master Ratecard</t>
        </is>
      </c>
      <c r="F443" t="inlineStr">
        <is>
          <t>TALENT</t>
        </is>
      </c>
      <c r="G443" t="inlineStr">
        <is>
          <t>Band/Artis</t>
        </is>
      </c>
      <c r="H443" t="inlineStr">
        <is>
          <t>Voice of Baceprot</t>
        </is>
      </c>
      <c r="I443" t="inlineStr">
        <is>
          <t>excl. riders</t>
        </is>
      </c>
      <c r="J443" t="inlineStr">
        <is>
          <t>person/event</t>
        </is>
      </c>
      <c r="L443" t="n">
        <v>50000000</v>
      </c>
      <c r="M443" t="n">
        <v>50000000</v>
      </c>
      <c r="N443">
        <f>IF(COUNT(L443:M443)=0,"",AVERAGE(L443:M443))</f>
        <v/>
      </c>
      <c r="O443" t="n">
        <v>55000000</v>
      </c>
      <c r="P443" t="n">
        <v>55000000</v>
      </c>
      <c r="Q443">
        <f>IF(COUNT(O443:P443)=0,"",AVERAGE(O443:P443))</f>
        <v/>
      </c>
      <c r="R443">
        <f>IF(Q443&lt;&gt;"",Q443,IF(N443&lt;&gt;"",ROUND(N443*(1+$B$2),0),""))</f>
        <v/>
      </c>
      <c r="S443">
        <f>IF(AND(N443&lt;&gt;"",Q443&lt;&gt;"",N443&lt;&gt;0),(Q443-N443)/N443,"")</f>
        <v/>
      </c>
      <c r="T443" t="inlineStr">
        <is>
          <t>2025</t>
        </is>
      </c>
      <c r="V443" t="inlineStr">
        <is>
          <t>HAB 78</t>
        </is>
      </c>
      <c r="X443" t="inlineStr">
        <is>
          <t>OK</t>
        </is>
      </c>
      <c r="Y443" t="inlineStr">
        <is>
          <t>voice of baceprot | person/event</t>
        </is>
      </c>
    </row>
    <row r="444">
      <c r="A444" t="n">
        <v>440</v>
      </c>
      <c r="B444" t="inlineStr">
        <is>
          <t>📦 RATECARD DB</t>
        </is>
      </c>
      <c r="C444" t="n">
        <v>126</v>
      </c>
      <c r="D444" t="inlineStr">
        <is>
          <t>Master Ratecard</t>
        </is>
      </c>
      <c r="F444" t="inlineStr">
        <is>
          <t>TALENT</t>
        </is>
      </c>
      <c r="G444" t="inlineStr">
        <is>
          <t>Band/Artis</t>
        </is>
      </c>
      <c r="H444" t="inlineStr">
        <is>
          <t>Yusril Fahriza</t>
        </is>
      </c>
      <c r="I444" t="inlineStr">
        <is>
          <t>excl. riders</t>
        </is>
      </c>
      <c r="J444" t="inlineStr">
        <is>
          <t>person/event</t>
        </is>
      </c>
      <c r="L444" t="n">
        <v>18000000</v>
      </c>
      <c r="M444" t="n">
        <v>18000000</v>
      </c>
      <c r="N444">
        <f>IF(COUNT(L444:M444)=0,"",AVERAGE(L444:M444))</f>
        <v/>
      </c>
      <c r="O444" t="n">
        <v>20000000</v>
      </c>
      <c r="P444" t="n">
        <v>20000000</v>
      </c>
      <c r="Q444">
        <f>IF(COUNT(O444:P444)=0,"",AVERAGE(O444:P444))</f>
        <v/>
      </c>
      <c r="R444">
        <f>IF(Q444&lt;&gt;"",Q444,IF(N444&lt;&gt;"",ROUND(N444*(1+$B$2),0),""))</f>
        <v/>
      </c>
      <c r="S444">
        <f>IF(AND(N444&lt;&gt;"",Q444&lt;&gt;"",N444&lt;&gt;0),(Q444-N444)/N444,"")</f>
        <v/>
      </c>
      <c r="T444" t="inlineStr">
        <is>
          <t>2025</t>
        </is>
      </c>
      <c r="V444" t="inlineStr">
        <is>
          <t>HAB 78</t>
        </is>
      </c>
      <c r="X444" t="inlineStr">
        <is>
          <t>OK</t>
        </is>
      </c>
      <c r="Y444" t="inlineStr">
        <is>
          <t>yusril fahriza | person/event</t>
        </is>
      </c>
    </row>
    <row r="445">
      <c r="A445" t="n">
        <v>441</v>
      </c>
      <c r="B445" t="inlineStr">
        <is>
          <t>📦 RATECARD DB</t>
        </is>
      </c>
      <c r="C445" t="n">
        <v>142</v>
      </c>
      <c r="D445" t="inlineStr">
        <is>
          <t>Master Ratecard</t>
        </is>
      </c>
      <c r="F445" t="inlineStr">
        <is>
          <t>TALENT</t>
        </is>
      </c>
      <c r="G445" t="inlineStr">
        <is>
          <t>Dancer</t>
        </is>
      </c>
      <c r="H445" t="inlineStr">
        <is>
          <t>Dancer / Dance Group (Lokal)</t>
        </is>
      </c>
      <c r="I445" t="inlineStr">
        <is>
          <t>incl. riders &amp; GR</t>
        </is>
      </c>
      <c r="J445" t="inlineStr">
        <is>
          <t>team/event</t>
        </is>
      </c>
      <c r="L445" t="n">
        <v>8000000</v>
      </c>
      <c r="M445" t="n">
        <v>8000000</v>
      </c>
      <c r="N445">
        <f>IF(COUNT(L445:M445)=0,"",AVERAGE(L445:M445))</f>
        <v/>
      </c>
      <c r="O445" t="n">
        <v>12000000</v>
      </c>
      <c r="P445" t="n">
        <v>12000000</v>
      </c>
      <c r="Q445">
        <f>IF(COUNT(O445:P445)=0,"",AVERAGE(O445:P445))</f>
        <v/>
      </c>
      <c r="R445">
        <f>IF(Q445&lt;&gt;"",Q445,IF(N445&lt;&gt;"",ROUND(N445*(1+$B$2),0),""))</f>
        <v/>
      </c>
      <c r="S445">
        <f>IF(AND(N445&lt;&gt;"",Q445&lt;&gt;"",N445&lt;&gt;0),(Q445-N445)/N445,"")</f>
        <v/>
      </c>
      <c r="T445" t="inlineStr">
        <is>
          <t>2025</t>
        </is>
      </c>
      <c r="V445" t="inlineStr">
        <is>
          <t>Multi event</t>
        </is>
      </c>
      <c r="X445" t="inlineStr">
        <is>
          <t>Potential duplicate x2</t>
        </is>
      </c>
      <c r="Y445" t="inlineStr">
        <is>
          <t>dancer / dance group (lokal) | team/event</t>
        </is>
      </c>
    </row>
    <row r="446">
      <c r="A446" t="n">
        <v>442</v>
      </c>
      <c r="B446" t="inlineStr">
        <is>
          <t>📦 RATECARD DB</t>
        </is>
      </c>
      <c r="C446" t="n">
        <v>144</v>
      </c>
      <c r="D446" t="inlineStr">
        <is>
          <t>Master Ratecard</t>
        </is>
      </c>
      <c r="F446" t="inlineStr">
        <is>
          <t>TALENT</t>
        </is>
      </c>
      <c r="G446" t="inlineStr">
        <is>
          <t>Dancer</t>
        </is>
      </c>
      <c r="H446" t="inlineStr">
        <is>
          <t>Paduan Suara / Choir (30 pax)</t>
        </is>
      </c>
      <c r="I446" t="inlineStr">
        <is>
          <t>incl. riders</t>
        </is>
      </c>
      <c r="J446" t="inlineStr">
        <is>
          <t>team/event</t>
        </is>
      </c>
      <c r="L446" t="n">
        <v>15000000</v>
      </c>
      <c r="M446" t="n">
        <v>15000000</v>
      </c>
      <c r="N446">
        <f>IF(COUNT(L446:M446)=0,"",AVERAGE(L446:M446))</f>
        <v/>
      </c>
      <c r="O446" t="n">
        <v>22000000</v>
      </c>
      <c r="P446" t="n">
        <v>22000000</v>
      </c>
      <c r="Q446">
        <f>IF(COUNT(O446:P446)=0,"",AVERAGE(O446:P446))</f>
        <v/>
      </c>
      <c r="R446">
        <f>IF(Q446&lt;&gt;"",Q446,IF(N446&lt;&gt;"",ROUND(N446*(1+$B$2),0),""))</f>
        <v/>
      </c>
      <c r="S446">
        <f>IF(AND(N446&lt;&gt;"",Q446&lt;&gt;"",N446&lt;&gt;0),(Q446-N446)/N446,"")</f>
        <v/>
      </c>
      <c r="T446" t="inlineStr">
        <is>
          <t>2026</t>
        </is>
      </c>
      <c r="V446" t="inlineStr">
        <is>
          <t>CE GAPEMPI 2026</t>
        </is>
      </c>
      <c r="X446" t="inlineStr">
        <is>
          <t>OK</t>
        </is>
      </c>
      <c r="Y446" t="inlineStr">
        <is>
          <t>paduan suara / choir (30 pax) | team/event</t>
        </is>
      </c>
    </row>
    <row r="447">
      <c r="A447" t="n">
        <v>443</v>
      </c>
      <c r="B447" t="inlineStr">
        <is>
          <t>📦 RATECARD DB</t>
        </is>
      </c>
      <c r="C447" t="n">
        <v>143</v>
      </c>
      <c r="D447" t="inlineStr">
        <is>
          <t>Master Ratecard</t>
        </is>
      </c>
      <c r="F447" t="inlineStr">
        <is>
          <t>TALENT</t>
        </is>
      </c>
      <c r="G447" t="inlineStr">
        <is>
          <t>Dancer</t>
        </is>
      </c>
      <c r="H447" t="inlineStr">
        <is>
          <t>Saman + Tari Nusantara</t>
        </is>
      </c>
      <c r="I447" t="inlineStr">
        <is>
          <t>incl. riders</t>
        </is>
      </c>
      <c r="J447" t="inlineStr">
        <is>
          <t>team/event</t>
        </is>
      </c>
      <c r="L447" t="n">
        <v>12000000</v>
      </c>
      <c r="M447" t="n">
        <v>12000000</v>
      </c>
      <c r="N447">
        <f>IF(COUNT(L447:M447)=0,"",AVERAGE(L447:M447))</f>
        <v/>
      </c>
      <c r="O447" t="n">
        <v>18000000</v>
      </c>
      <c r="P447" t="n">
        <v>18000000</v>
      </c>
      <c r="Q447">
        <f>IF(COUNT(O447:P447)=0,"",AVERAGE(O447:P447))</f>
        <v/>
      </c>
      <c r="R447">
        <f>IF(Q447&lt;&gt;"",Q447,IF(N447&lt;&gt;"",ROUND(N447*(1+$B$2),0),""))</f>
        <v/>
      </c>
      <c r="S447">
        <f>IF(AND(N447&lt;&gt;"",Q447&lt;&gt;"",N447&lt;&gt;0),(Q447-N447)/N447,"")</f>
        <v/>
      </c>
      <c r="T447" t="inlineStr">
        <is>
          <t>2026</t>
        </is>
      </c>
      <c r="V447" t="inlineStr">
        <is>
          <t>CE GAPEMPI 2026</t>
        </is>
      </c>
      <c r="X447" t="inlineStr">
        <is>
          <t>OK</t>
        </is>
      </c>
      <c r="Y447" t="inlineStr">
        <is>
          <t>saman + tari nusantara | team/event</t>
        </is>
      </c>
    </row>
    <row r="448">
      <c r="A448" t="n">
        <v>444</v>
      </c>
      <c r="B448" t="inlineStr">
        <is>
          <t>📦 RATECARD DB</t>
        </is>
      </c>
      <c r="C448" t="n">
        <v>120</v>
      </c>
      <c r="D448" t="inlineStr">
        <is>
          <t>Master Ratecard</t>
        </is>
      </c>
      <c r="F448" t="inlineStr">
        <is>
          <t>TALENT</t>
        </is>
      </c>
      <c r="G448" t="inlineStr">
        <is>
          <t>MC Acara</t>
        </is>
      </c>
      <c r="H448" t="inlineStr">
        <is>
          <t>MC Bobbi Teguh</t>
        </is>
      </c>
      <c r="I448" t="inlineStr">
        <is>
          <t>incl. riders</t>
        </is>
      </c>
      <c r="J448" t="inlineStr">
        <is>
          <t>person/event</t>
        </is>
      </c>
      <c r="L448" t="n">
        <v>25000000</v>
      </c>
      <c r="M448" t="n">
        <v>25000000</v>
      </c>
      <c r="N448">
        <f>IF(COUNT(L448:M448)=0,"",AVERAGE(L448:M448))</f>
        <v/>
      </c>
      <c r="O448" t="n">
        <v>30000000</v>
      </c>
      <c r="P448" t="n">
        <v>30000000</v>
      </c>
      <c r="Q448">
        <f>IF(COUNT(O448:P448)=0,"",AVERAGE(O448:P448))</f>
        <v/>
      </c>
      <c r="R448">
        <f>IF(Q448&lt;&gt;"",Q448,IF(N448&lt;&gt;"",ROUND(N448*(1+$B$2),0),""))</f>
        <v/>
      </c>
      <c r="S448">
        <f>IF(AND(N448&lt;&gt;"",Q448&lt;&gt;"",N448&lt;&gt;0),(Q448-N448)/N448,"")</f>
        <v/>
      </c>
      <c r="T448" t="inlineStr">
        <is>
          <t>2025</t>
        </is>
      </c>
      <c r="V448" t="inlineStr">
        <is>
          <t>HAB 78</t>
        </is>
      </c>
      <c r="X448" t="inlineStr">
        <is>
          <t>OK</t>
        </is>
      </c>
      <c r="Y448" t="inlineStr">
        <is>
          <t>mc bobbi teguh | person/event</t>
        </is>
      </c>
    </row>
    <row r="449">
      <c r="A449" t="n">
        <v>445</v>
      </c>
      <c r="B449" t="inlineStr">
        <is>
          <t>📦 RATECARD DB</t>
        </is>
      </c>
      <c r="C449" t="n">
        <v>119</v>
      </c>
      <c r="D449" t="inlineStr">
        <is>
          <t>Master Ratecard</t>
        </is>
      </c>
      <c r="F449" t="inlineStr">
        <is>
          <t>TALENT</t>
        </is>
      </c>
      <c r="G449" t="inlineStr">
        <is>
          <t>MC Acara</t>
        </is>
      </c>
      <c r="H449" t="inlineStr">
        <is>
          <t>MC Monsieur Mansyah</t>
        </is>
      </c>
      <c r="I449" t="inlineStr">
        <is>
          <t>incl. riders</t>
        </is>
      </c>
      <c r="J449" t="inlineStr">
        <is>
          <t>person/event</t>
        </is>
      </c>
      <c r="L449" t="n">
        <v>25000000</v>
      </c>
      <c r="M449" t="n">
        <v>25000000</v>
      </c>
      <c r="N449">
        <f>IF(COUNT(L449:M449)=0,"",AVERAGE(L449:M449))</f>
        <v/>
      </c>
      <c r="O449" t="n">
        <v>30000000</v>
      </c>
      <c r="P449" t="n">
        <v>30000000</v>
      </c>
      <c r="Q449">
        <f>IF(COUNT(O449:P449)=0,"",AVERAGE(O449:P449))</f>
        <v/>
      </c>
      <c r="R449">
        <f>IF(Q449&lt;&gt;"",Q449,IF(N449&lt;&gt;"",ROUND(N449*(1+$B$2),0),""))</f>
        <v/>
      </c>
      <c r="S449">
        <f>IF(AND(N449&lt;&gt;"",Q449&lt;&gt;"",N449&lt;&gt;0),(Q449-N449)/N449,"")</f>
        <v/>
      </c>
      <c r="T449" t="inlineStr">
        <is>
          <t>2025</t>
        </is>
      </c>
      <c r="V449" t="inlineStr">
        <is>
          <t>HAB 78</t>
        </is>
      </c>
      <c r="X449" t="inlineStr">
        <is>
          <t>OK</t>
        </is>
      </c>
      <c r="Y449" t="inlineStr">
        <is>
          <t>mc monsieur mansyah | person/event</t>
        </is>
      </c>
    </row>
    <row r="450">
      <c r="A450" t="n">
        <v>446</v>
      </c>
      <c r="B450" t="inlineStr">
        <is>
          <t>📦 RATECARD DB</t>
        </is>
      </c>
      <c r="C450" t="n">
        <v>121</v>
      </c>
      <c r="D450" t="inlineStr">
        <is>
          <t>Master Ratecard</t>
        </is>
      </c>
      <c r="F450" t="inlineStr">
        <is>
          <t>TALENT</t>
        </is>
      </c>
      <c r="G450" t="inlineStr">
        <is>
          <t>MC Acara</t>
        </is>
      </c>
      <c r="H450" t="inlineStr">
        <is>
          <t>MC Saira Saima</t>
        </is>
      </c>
      <c r="I450" t="inlineStr">
        <is>
          <t>incl. riders</t>
        </is>
      </c>
      <c r="J450" t="inlineStr">
        <is>
          <t>person/event</t>
        </is>
      </c>
      <c r="L450" t="n">
        <v>25000000</v>
      </c>
      <c r="M450" t="n">
        <v>25000000</v>
      </c>
      <c r="N450">
        <f>IF(COUNT(L450:M450)=0,"",AVERAGE(L450:M450))</f>
        <v/>
      </c>
      <c r="O450" t="n">
        <v>30000000</v>
      </c>
      <c r="P450" t="n">
        <v>30000000</v>
      </c>
      <c r="Q450">
        <f>IF(COUNT(O450:P450)=0,"",AVERAGE(O450:P450))</f>
        <v/>
      </c>
      <c r="R450">
        <f>IF(Q450&lt;&gt;"",Q450,IF(N450&lt;&gt;"",ROUND(N450*(1+$B$2),0),""))</f>
        <v/>
      </c>
      <c r="S450">
        <f>IF(AND(N450&lt;&gt;"",Q450&lt;&gt;"",N450&lt;&gt;0),(Q450-N450)/N450,"")</f>
        <v/>
      </c>
      <c r="T450" t="inlineStr">
        <is>
          <t>2025</t>
        </is>
      </c>
      <c r="V450" t="inlineStr">
        <is>
          <t>HAB 78</t>
        </is>
      </c>
      <c r="X450" t="inlineStr">
        <is>
          <t>OK</t>
        </is>
      </c>
      <c r="Y450" t="inlineStr">
        <is>
          <t>mc saira saima | person/event</t>
        </is>
      </c>
    </row>
    <row r="451">
      <c r="A451" t="n">
        <v>447</v>
      </c>
      <c r="B451" t="inlineStr">
        <is>
          <t>📦 RATECARD DB</t>
        </is>
      </c>
      <c r="C451" t="n">
        <v>118</v>
      </c>
      <c r="D451" t="inlineStr">
        <is>
          <t>Master Ratecard</t>
        </is>
      </c>
      <c r="F451" t="inlineStr">
        <is>
          <t>TALENT</t>
        </is>
      </c>
      <c r="G451" t="inlineStr">
        <is>
          <t>MC Lokal</t>
        </is>
      </c>
      <c r="H451" t="inlineStr">
        <is>
          <t>MC Lokal (Male/Female)</t>
        </is>
      </c>
      <c r="J451" t="inlineStr">
        <is>
          <t>person/event</t>
        </is>
      </c>
      <c r="L451" t="n">
        <v>1500000</v>
      </c>
      <c r="M451" t="n">
        <v>1500000</v>
      </c>
      <c r="N451">
        <f>IF(COUNT(L451:M451)=0,"",AVERAGE(L451:M451))</f>
        <v/>
      </c>
      <c r="O451" t="n">
        <v>2000000</v>
      </c>
      <c r="P451" t="n">
        <v>2000000</v>
      </c>
      <c r="Q451">
        <f>IF(COUNT(O451:P451)=0,"",AVERAGE(O451:P451))</f>
        <v/>
      </c>
      <c r="R451">
        <f>IF(Q451&lt;&gt;"",Q451,IF(N451&lt;&gt;"",ROUND(N451*(1+$B$2),0),""))</f>
        <v/>
      </c>
      <c r="S451">
        <f>IF(AND(N451&lt;&gt;"",Q451&lt;&gt;"",N451&lt;&gt;0),(Q451-N451)/N451,"")</f>
        <v/>
      </c>
      <c r="T451" t="inlineStr">
        <is>
          <t>2025</t>
        </is>
      </c>
      <c r="V451" t="inlineStr">
        <is>
          <t>Heppiii Skate Day</t>
        </is>
      </c>
      <c r="X451" t="inlineStr">
        <is>
          <t>OK</t>
        </is>
      </c>
      <c r="Y451" t="inlineStr">
        <is>
          <t>mc lokal (male/female) | person/event</t>
        </is>
      </c>
    </row>
    <row r="452">
      <c r="A452" t="n">
        <v>448</v>
      </c>
      <c r="B452" t="inlineStr">
        <is>
          <t>📦 RATECARD DB</t>
        </is>
      </c>
      <c r="C452" t="n">
        <v>117</v>
      </c>
      <c r="D452" t="inlineStr">
        <is>
          <t>Master Ratecard</t>
        </is>
      </c>
      <c r="F452" t="inlineStr">
        <is>
          <t>TALENT</t>
        </is>
      </c>
      <c r="G452" t="inlineStr">
        <is>
          <t>MC Nasional</t>
        </is>
      </c>
      <c r="H452" t="inlineStr">
        <is>
          <t>MC Nasional (Profesional)</t>
        </is>
      </c>
      <c r="I452" t="inlineStr">
        <is>
          <t>incl. riders &amp; GR</t>
        </is>
      </c>
      <c r="J452" t="inlineStr">
        <is>
          <t>person/event</t>
        </is>
      </c>
      <c r="L452" t="n">
        <v>15000000</v>
      </c>
      <c r="M452" t="n">
        <v>15000000</v>
      </c>
      <c r="N452">
        <f>IF(COUNT(L452:M452)=0,"",AVERAGE(L452:M452))</f>
        <v/>
      </c>
      <c r="O452" t="n">
        <v>30000000</v>
      </c>
      <c r="P452" t="n">
        <v>30000000</v>
      </c>
      <c r="Q452">
        <f>IF(COUNT(O452:P452)=0,"",AVERAGE(O452:P452))</f>
        <v/>
      </c>
      <c r="R452">
        <f>IF(Q452&lt;&gt;"",Q452,IF(N452&lt;&gt;"",ROUND(N452*(1+$B$2),0),""))</f>
        <v/>
      </c>
      <c r="S452">
        <f>IF(AND(N452&lt;&gt;"",Q452&lt;&gt;"",N452&lt;&gt;0),(Q452-N452)/N452,"")</f>
        <v/>
      </c>
      <c r="T452" t="inlineStr">
        <is>
          <t>2025</t>
        </is>
      </c>
      <c r="V452" t="inlineStr">
        <is>
          <t>CE GAPEMPI</t>
        </is>
      </c>
      <c r="X452" t="inlineStr">
        <is>
          <t>OK</t>
        </is>
      </c>
      <c r="Y452" t="inlineStr">
        <is>
          <t>mc nasional (profesional) | person/event</t>
        </is>
      </c>
    </row>
    <row r="453">
      <c r="A453" t="n">
        <v>449</v>
      </c>
      <c r="B453" t="inlineStr">
        <is>
          <t>📦 RATECARD DB</t>
        </is>
      </c>
      <c r="C453" t="n">
        <v>115</v>
      </c>
      <c r="D453" t="inlineStr">
        <is>
          <t>Master Ratecard</t>
        </is>
      </c>
      <c r="F453" t="inlineStr">
        <is>
          <t>TRANSPORT &amp; AKOMODASI</t>
        </is>
      </c>
      <c r="G453" t="inlineStr">
        <is>
          <t>Akomodasi</t>
        </is>
      </c>
      <c r="H453" t="inlineStr">
        <is>
          <t>Hotel Bintang 3 (Team EO)</t>
        </is>
      </c>
      <c r="J453" t="inlineStr">
        <is>
          <t>room/night</t>
        </is>
      </c>
      <c r="L453" t="n">
        <v>500000</v>
      </c>
      <c r="M453" t="n">
        <v>500000</v>
      </c>
      <c r="N453">
        <f>IF(COUNT(L453:M453)=0,"",AVERAGE(L453:M453))</f>
        <v/>
      </c>
      <c r="O453" t="n">
        <v>750000</v>
      </c>
      <c r="P453" t="n">
        <v>750000</v>
      </c>
      <c r="Q453">
        <f>IF(COUNT(O453:P453)=0,"",AVERAGE(O453:P453))</f>
        <v/>
      </c>
      <c r="R453">
        <f>IF(Q453&lt;&gt;"",Q453,IF(N453&lt;&gt;"",ROUND(N453*(1+$B$2),0),""))</f>
        <v/>
      </c>
      <c r="S453">
        <f>IF(AND(N453&lt;&gt;"",Q453&lt;&gt;"",N453&lt;&gt;0),(Q453-N453)/N453,"")</f>
        <v/>
      </c>
      <c r="T453" t="inlineStr">
        <is>
          <t>2025</t>
        </is>
      </c>
      <c r="V453" t="inlineStr">
        <is>
          <t>Multi event</t>
        </is>
      </c>
      <c r="X453" t="inlineStr">
        <is>
          <t>OK</t>
        </is>
      </c>
      <c r="Y453" t="inlineStr">
        <is>
          <t>hotel bintang 3 (team eo) | room/night</t>
        </is>
      </c>
    </row>
    <row r="454">
      <c r="A454" t="n">
        <v>450</v>
      </c>
      <c r="B454" t="inlineStr">
        <is>
          <t>📦 RATECARD DB</t>
        </is>
      </c>
      <c r="C454" t="n">
        <v>116</v>
      </c>
      <c r="D454" t="inlineStr">
        <is>
          <t>Master Ratecard</t>
        </is>
      </c>
      <c r="F454" t="inlineStr">
        <is>
          <t>TRANSPORT &amp; AKOMODASI</t>
        </is>
      </c>
      <c r="G454" t="inlineStr">
        <is>
          <t>Akomodasi</t>
        </is>
      </c>
      <c r="H454" t="inlineStr">
        <is>
          <t>Hotel Bintang 4 (Talent/Nasional)</t>
        </is>
      </c>
      <c r="J454" t="inlineStr">
        <is>
          <t>room/night</t>
        </is>
      </c>
      <c r="L454" t="n">
        <v>750000</v>
      </c>
      <c r="M454" t="n">
        <v>750000</v>
      </c>
      <c r="N454">
        <f>IF(COUNT(L454:M454)=0,"",AVERAGE(L454:M454))</f>
        <v/>
      </c>
      <c r="O454" t="n">
        <v>1200000</v>
      </c>
      <c r="P454" t="n">
        <v>1200000</v>
      </c>
      <c r="Q454">
        <f>IF(COUNT(O454:P454)=0,"",AVERAGE(O454:P454))</f>
        <v/>
      </c>
      <c r="R454">
        <f>IF(Q454&lt;&gt;"",Q454,IF(N454&lt;&gt;"",ROUND(N454*(1+$B$2),0),""))</f>
        <v/>
      </c>
      <c r="S454">
        <f>IF(AND(N454&lt;&gt;"",Q454&lt;&gt;"",N454&lt;&gt;0),(Q454-N454)/N454,"")</f>
        <v/>
      </c>
      <c r="T454" t="inlineStr">
        <is>
          <t>2025</t>
        </is>
      </c>
      <c r="V454" t="inlineStr">
        <is>
          <t>Multi event</t>
        </is>
      </c>
      <c r="X454" t="inlineStr">
        <is>
          <t>OK</t>
        </is>
      </c>
      <c r="Y454" t="inlineStr">
        <is>
          <t>hotel bintang 4 (talent/nasional) | room/night</t>
        </is>
      </c>
    </row>
    <row r="455">
      <c r="A455" t="n">
        <v>451</v>
      </c>
      <c r="B455" t="inlineStr">
        <is>
          <t>📦 RATECARD DB</t>
        </is>
      </c>
      <c r="C455" t="n">
        <v>110</v>
      </c>
      <c r="D455" t="inlineStr">
        <is>
          <t>Master Ratecard</t>
        </is>
      </c>
      <c r="F455" t="inlineStr">
        <is>
          <t>TRANSPORT &amp; AKOMODASI</t>
        </is>
      </c>
      <c r="G455" t="inlineStr">
        <is>
          <t>Transport</t>
        </is>
      </c>
      <c r="H455" t="inlineStr">
        <is>
          <t>Avanza / hari (Operasional)</t>
        </is>
      </c>
      <c r="I455" t="inlineStr">
        <is>
          <t>all in</t>
        </is>
      </c>
      <c r="J455" t="inlineStr">
        <is>
          <t>unit/day</t>
        </is>
      </c>
      <c r="L455" t="n">
        <v>500000</v>
      </c>
      <c r="M455" t="n">
        <v>500000</v>
      </c>
      <c r="N455">
        <f>IF(COUNT(L455:M455)=0,"",AVERAGE(L455:M455))</f>
        <v/>
      </c>
      <c r="O455" t="n">
        <v>700000</v>
      </c>
      <c r="P455" t="n">
        <v>700000</v>
      </c>
      <c r="Q455">
        <f>IF(COUNT(O455:P455)=0,"",AVERAGE(O455:P455))</f>
        <v/>
      </c>
      <c r="R455">
        <f>IF(Q455&lt;&gt;"",Q455,IF(N455&lt;&gt;"",ROUND(N455*(1+$B$2),0),""))</f>
        <v/>
      </c>
      <c r="S455">
        <f>IF(AND(N455&lt;&gt;"",Q455&lt;&gt;"",N455&lt;&gt;0),(Q455-N455)/N455,"")</f>
        <v/>
      </c>
      <c r="T455" t="inlineStr">
        <is>
          <t>2024</t>
        </is>
      </c>
      <c r="V455" t="inlineStr">
        <is>
          <t>Standard Quot 2024</t>
        </is>
      </c>
      <c r="X455" t="inlineStr">
        <is>
          <t>OK</t>
        </is>
      </c>
      <c r="Y455" t="inlineStr">
        <is>
          <t>avanza / hari (operasional) | unit/day</t>
        </is>
      </c>
    </row>
    <row r="456">
      <c r="A456" t="n">
        <v>452</v>
      </c>
      <c r="B456" t="inlineStr">
        <is>
          <t>📦 RATECARD DB</t>
        </is>
      </c>
      <c r="C456" t="n">
        <v>113</v>
      </c>
      <c r="D456" t="inlineStr">
        <is>
          <t>Master Ratecard</t>
        </is>
      </c>
      <c r="F456" t="inlineStr">
        <is>
          <t>TRANSPORT &amp; AKOMODASI</t>
        </is>
      </c>
      <c r="G456" t="inlineStr">
        <is>
          <t>Transport</t>
        </is>
      </c>
      <c r="H456" t="inlineStr">
        <is>
          <t>Bus 30-seat (12 jam)</t>
        </is>
      </c>
      <c r="I456" t="inlineStr">
        <is>
          <t>incl. driver</t>
        </is>
      </c>
      <c r="J456" t="inlineStr">
        <is>
          <t>unit/day</t>
        </is>
      </c>
      <c r="L456" t="n">
        <v>8000000</v>
      </c>
      <c r="M456" t="n">
        <v>8000000</v>
      </c>
      <c r="N456">
        <f>IF(COUNT(L456:M456)=0,"",AVERAGE(L456:M456))</f>
        <v/>
      </c>
      <c r="O456" t="n">
        <v>11000000</v>
      </c>
      <c r="P456" t="n">
        <v>11000000</v>
      </c>
      <c r="Q456">
        <f>IF(COUNT(O456:P456)=0,"",AVERAGE(O456:P456))</f>
        <v/>
      </c>
      <c r="R456">
        <f>IF(Q456&lt;&gt;"",Q456,IF(N456&lt;&gt;"",ROUND(N456*(1+$B$2),0),""))</f>
        <v/>
      </c>
      <c r="S456">
        <f>IF(AND(N456&lt;&gt;"",Q456&lt;&gt;"",N456&lt;&gt;0),(Q456-N456)/N456,"")</f>
        <v/>
      </c>
      <c r="T456" t="inlineStr">
        <is>
          <t>2024</t>
        </is>
      </c>
      <c r="V456" t="inlineStr">
        <is>
          <t>HPP Gathering AP</t>
        </is>
      </c>
      <c r="X456" t="inlineStr">
        <is>
          <t>OK</t>
        </is>
      </c>
      <c r="Y456" t="inlineStr">
        <is>
          <t>bus 30-seat (12 jam) | unit/day</t>
        </is>
      </c>
    </row>
    <row r="457">
      <c r="A457" t="n">
        <v>453</v>
      </c>
      <c r="B457" t="inlineStr">
        <is>
          <t>📦 RATECARD DB</t>
        </is>
      </c>
      <c r="C457" t="n">
        <v>114</v>
      </c>
      <c r="D457" t="inlineStr">
        <is>
          <t>Master Ratecard</t>
        </is>
      </c>
      <c r="F457" t="inlineStr">
        <is>
          <t>TRANSPORT &amp; AKOMODASI</t>
        </is>
      </c>
      <c r="G457" t="inlineStr">
        <is>
          <t>Transport</t>
        </is>
      </c>
      <c r="H457" t="inlineStr">
        <is>
          <t>Colt Diesel (Toolbox area)</t>
        </is>
      </c>
      <c r="I457" t="inlineStr">
        <is>
          <t>incl. install &amp; cabling</t>
        </is>
      </c>
      <c r="J457" t="inlineStr">
        <is>
          <t>unit/day</t>
        </is>
      </c>
      <c r="L457" t="n">
        <v>1500000</v>
      </c>
      <c r="M457" t="n">
        <v>1500000</v>
      </c>
      <c r="N457">
        <f>IF(COUNT(L457:M457)=0,"",AVERAGE(L457:M457))</f>
        <v/>
      </c>
      <c r="O457" t="n">
        <v>2200000</v>
      </c>
      <c r="P457" t="n">
        <v>2200000</v>
      </c>
      <c r="Q457">
        <f>IF(COUNT(O457:P457)=0,"",AVERAGE(O457:P457))</f>
        <v/>
      </c>
      <c r="R457">
        <f>IF(Q457&lt;&gt;"",Q457,IF(N457&lt;&gt;"",ROUND(N457*(1+$B$2),0),""))</f>
        <v/>
      </c>
      <c r="S457">
        <f>IF(AND(N457&lt;&gt;"",Q457&lt;&gt;"",N457&lt;&gt;0),(Q457-N457)/N457,"")</f>
        <v/>
      </c>
      <c r="T457" t="inlineStr">
        <is>
          <t>2024</t>
        </is>
      </c>
      <c r="V457" t="inlineStr">
        <is>
          <t>Standard Quot 2024</t>
        </is>
      </c>
      <c r="X457" t="inlineStr">
        <is>
          <t>OK</t>
        </is>
      </c>
      <c r="Y457" t="inlineStr">
        <is>
          <t>colt diesel (toolbox area) | unit/day</t>
        </is>
      </c>
    </row>
    <row r="458">
      <c r="A458" t="n">
        <v>454</v>
      </c>
      <c r="B458" t="inlineStr">
        <is>
          <t>📦 RATECARD DB</t>
        </is>
      </c>
      <c r="C458" t="n">
        <v>112</v>
      </c>
      <c r="D458" t="inlineStr">
        <is>
          <t>Master Ratecard</t>
        </is>
      </c>
      <c r="F458" t="inlineStr">
        <is>
          <t>TRANSPORT &amp; AKOMODASI</t>
        </is>
      </c>
      <c r="G458" t="inlineStr">
        <is>
          <t>Transport</t>
        </is>
      </c>
      <c r="H458" t="inlineStr">
        <is>
          <t>Hi-Ace (incl. driver meals, overtime)</t>
        </is>
      </c>
      <c r="J458" t="inlineStr">
        <is>
          <t>unit/day</t>
        </is>
      </c>
      <c r="L458" t="n">
        <v>1800000</v>
      </c>
      <c r="M458" t="n">
        <v>1800000</v>
      </c>
      <c r="N458">
        <f>IF(COUNT(L458:M458)=0,"",AVERAGE(L458:M458))</f>
        <v/>
      </c>
      <c r="O458" t="n">
        <v>2400000</v>
      </c>
      <c r="P458" t="n">
        <v>2400000</v>
      </c>
      <c r="Q458">
        <f>IF(COUNT(O458:P458)=0,"",AVERAGE(O458:P458))</f>
        <v/>
      </c>
      <c r="R458">
        <f>IF(Q458&lt;&gt;"",Q458,IF(N458&lt;&gt;"",ROUND(N458*(1+$B$2),0),""))</f>
        <v/>
      </c>
      <c r="S458">
        <f>IF(AND(N458&lt;&gt;"",Q458&lt;&gt;"",N458&lt;&gt;0),(Q458-N458)/N458,"")</f>
        <v/>
      </c>
      <c r="T458" t="inlineStr">
        <is>
          <t>2025</t>
        </is>
      </c>
      <c r="V458" t="inlineStr">
        <is>
          <t>Kemendikdasmen</t>
        </is>
      </c>
      <c r="X458" t="inlineStr">
        <is>
          <t>OK</t>
        </is>
      </c>
      <c r="Y458" t="inlineStr">
        <is>
          <t>hi-ace (incl. driver meals, overtime) | unit/day</t>
        </is>
      </c>
    </row>
    <row r="459">
      <c r="A459" t="n">
        <v>455</v>
      </c>
      <c r="B459" t="inlineStr">
        <is>
          <t>📦 RATECARD DB</t>
        </is>
      </c>
      <c r="C459" t="n">
        <v>111</v>
      </c>
      <c r="D459" t="inlineStr">
        <is>
          <t>Master Ratecard</t>
        </is>
      </c>
      <c r="F459" t="inlineStr">
        <is>
          <t>TRANSPORT &amp; AKOMODASI</t>
        </is>
      </c>
      <c r="G459" t="inlineStr">
        <is>
          <t>Transport</t>
        </is>
      </c>
      <c r="H459" t="inlineStr">
        <is>
          <t>Innova + Driver (Talent)</t>
        </is>
      </c>
      <c r="I459" t="inlineStr">
        <is>
          <t>all in</t>
        </is>
      </c>
      <c r="J459" t="inlineStr">
        <is>
          <t>unit/day</t>
        </is>
      </c>
      <c r="L459" t="n">
        <v>700000</v>
      </c>
      <c r="M459" t="n">
        <v>700000</v>
      </c>
      <c r="N459">
        <f>IF(COUNT(L459:M459)=0,"",AVERAGE(L459:M459))</f>
        <v/>
      </c>
      <c r="O459" t="n">
        <v>1000000</v>
      </c>
      <c r="P459" t="n">
        <v>1000000</v>
      </c>
      <c r="Q459">
        <f>IF(COUNT(O459:P459)=0,"",AVERAGE(O459:P459))</f>
        <v/>
      </c>
      <c r="R459">
        <f>IF(Q459&lt;&gt;"",Q459,IF(N459&lt;&gt;"",ROUND(N459*(1+$B$2),0),""))</f>
        <v/>
      </c>
      <c r="S459">
        <f>IF(AND(N459&lt;&gt;"",Q459&lt;&gt;"",N459&lt;&gt;0),(Q459-N459)/N459,"")</f>
        <v/>
      </c>
      <c r="T459" t="inlineStr">
        <is>
          <t>2024</t>
        </is>
      </c>
      <c r="V459" t="inlineStr">
        <is>
          <t>Standard Quot 2024</t>
        </is>
      </c>
      <c r="X459" t="inlineStr">
        <is>
          <t>OK</t>
        </is>
      </c>
      <c r="Y459" t="inlineStr">
        <is>
          <t>innova + driver (talent) | unit/day</t>
        </is>
      </c>
    </row>
    <row r="460">
      <c r="A460" t="n">
        <v>456</v>
      </c>
      <c r="B460" t="inlineStr">
        <is>
          <t>🕌 MUI EVENT DATA</t>
        </is>
      </c>
      <c r="C460" t="n">
        <v>56</v>
      </c>
      <c r="D460" t="inlineStr">
        <is>
          <t>MUI Real Cost</t>
        </is>
      </c>
      <c r="E460" t="inlineStr">
        <is>
          <t>MUI/EO</t>
        </is>
      </c>
      <c r="F460" t="inlineStr">
        <is>
          <t>Talent</t>
        </is>
      </c>
      <c r="H460" t="inlineStr">
        <is>
          <t>Ar-Ridwan AL Marashli (Qasidah 6 pax)</t>
        </is>
      </c>
      <c r="J460" t="inlineStr">
        <is>
          <t>grup</t>
        </is>
      </c>
      <c r="K460" t="inlineStr">
        <is>
          <t>1</t>
        </is>
      </c>
      <c r="L460" t="n">
        <v>100000000</v>
      </c>
      <c r="M460" t="n">
        <v>100000000</v>
      </c>
      <c r="N460">
        <f>IF(COUNT(L460:M460)=0,"",AVERAGE(L460:M460))</f>
        <v/>
      </c>
      <c r="Q460">
        <f>IF(COUNT(O460:P460)=0,"",AVERAGE(O460:P460))</f>
        <v/>
      </c>
      <c r="R460">
        <f>IF(Q460&lt;&gt;"",Q460,IF(N460&lt;&gt;"",ROUND(N460*(1+$B$2),0),""))</f>
        <v/>
      </c>
      <c r="S460">
        <f>IF(AND(N460&lt;&gt;"",Q460&lt;&gt;"",N460&lt;&gt;0),(Q460-N460)/N460,"")</f>
        <v/>
      </c>
      <c r="T460" t="inlineStr">
        <is>
          <t>2026</t>
        </is>
      </c>
      <c r="U460" t="inlineStr">
        <is>
          <t>MUI Istiqlal 2026</t>
        </is>
      </c>
      <c r="V460" t="inlineStr">
        <is>
          <t>Real-CE MUI</t>
        </is>
      </c>
      <c r="X460" t="inlineStr">
        <is>
          <t>OK</t>
        </is>
      </c>
      <c r="Y460" t="inlineStr">
        <is>
          <t>ar-ridwan al marashli (qasidah 6 pax) | grup</t>
        </is>
      </c>
    </row>
    <row r="461">
      <c r="A461" t="n">
        <v>457</v>
      </c>
      <c r="B461" t="inlineStr">
        <is>
          <t>🕌 MUI EVENT DATA</t>
        </is>
      </c>
      <c r="C461" t="n">
        <v>149</v>
      </c>
      <c r="D461" t="inlineStr">
        <is>
          <t>MUI Real Cost</t>
        </is>
      </c>
      <c r="E461" t="inlineStr">
        <is>
          <t>H Ali Abdul Rachman</t>
        </is>
      </c>
      <c r="F461" t="inlineStr">
        <is>
          <t>Talent</t>
        </is>
      </c>
      <c r="H461" t="inlineStr">
        <is>
          <t>Bisaroh / Fee Ulama</t>
        </is>
      </c>
      <c r="J461" t="inlineStr">
        <is>
          <t>pax</t>
        </is>
      </c>
      <c r="K461" t="inlineStr">
        <is>
          <t>1</t>
        </is>
      </c>
      <c r="L461" t="n">
        <v>10000000</v>
      </c>
      <c r="M461" t="n">
        <v>10000000</v>
      </c>
      <c r="N461">
        <f>IF(COUNT(L461:M461)=0,"",AVERAGE(L461:M461))</f>
        <v/>
      </c>
      <c r="Q461">
        <f>IF(COUNT(O461:P461)=0,"",AVERAGE(O461:P461))</f>
        <v/>
      </c>
      <c r="R461">
        <f>IF(Q461&lt;&gt;"",Q461,IF(N461&lt;&gt;"",ROUND(N461*(1+$B$2),0),""))</f>
        <v/>
      </c>
      <c r="S461">
        <f>IF(AND(N461&lt;&gt;"",Q461&lt;&gt;"",N461&lt;&gt;0),(Q461-N461)/N461,"")</f>
        <v/>
      </c>
      <c r="T461" t="inlineStr">
        <is>
          <t>2026</t>
        </is>
      </c>
      <c r="U461" t="inlineStr">
        <is>
          <t>MUI Istiqlal 2026</t>
        </is>
      </c>
      <c r="V461" t="inlineStr">
        <is>
          <t>RFP MUI.xlsx mutation</t>
        </is>
      </c>
      <c r="X461" t="inlineStr">
        <is>
          <t>OK</t>
        </is>
      </c>
      <c r="Y461" t="inlineStr">
        <is>
          <t>bisaroh / fee ulama | pax</t>
        </is>
      </c>
    </row>
    <row r="462">
      <c r="A462" t="n">
        <v>458</v>
      </c>
      <c r="B462" t="inlineStr">
        <is>
          <t>🕌 MUI EVENT DATA</t>
        </is>
      </c>
      <c r="C462" t="n">
        <v>155</v>
      </c>
      <c r="D462" t="inlineStr">
        <is>
          <t>MUI Real Cost</t>
        </is>
      </c>
      <c r="E462" t="inlineStr">
        <is>
          <t>David (MC)</t>
        </is>
      </c>
      <c r="F462" t="inlineStr">
        <is>
          <t>Talent</t>
        </is>
      </c>
      <c r="H462" t="inlineStr">
        <is>
          <t>Fee MC David Chalik</t>
        </is>
      </c>
      <c r="I462" t="inlineStr">
        <is>
          <t>DP + Lunas</t>
        </is>
      </c>
      <c r="J462" t="inlineStr">
        <is>
          <t>event</t>
        </is>
      </c>
      <c r="K462" t="inlineStr">
        <is>
          <t>1</t>
        </is>
      </c>
      <c r="L462" t="n">
        <v>10000000</v>
      </c>
      <c r="M462" t="n">
        <v>10000000</v>
      </c>
      <c r="N462">
        <f>IF(COUNT(L462:M462)=0,"",AVERAGE(L462:M462))</f>
        <v/>
      </c>
      <c r="Q462">
        <f>IF(COUNT(O462:P462)=0,"",AVERAGE(O462:P462))</f>
        <v/>
      </c>
      <c r="R462">
        <f>IF(Q462&lt;&gt;"",Q462,IF(N462&lt;&gt;"",ROUND(N462*(1+$B$2),0),""))</f>
        <v/>
      </c>
      <c r="S462">
        <f>IF(AND(N462&lt;&gt;"",Q462&lt;&gt;"",N462&lt;&gt;0),(Q462-N462)/N462,"")</f>
        <v/>
      </c>
      <c r="T462" t="inlineStr">
        <is>
          <t>2026</t>
        </is>
      </c>
      <c r="U462" t="inlineStr">
        <is>
          <t>MUI Istiqlal 2026</t>
        </is>
      </c>
      <c r="V462" t="inlineStr">
        <is>
          <t>RFP MUI.xlsx mutation</t>
        </is>
      </c>
      <c r="X462" t="inlineStr">
        <is>
          <t>OK</t>
        </is>
      </c>
      <c r="Y462" t="inlineStr">
        <is>
          <t>fee mc david chalik | event</t>
        </is>
      </c>
    </row>
    <row r="463">
      <c r="A463" t="n">
        <v>459</v>
      </c>
      <c r="B463" t="inlineStr">
        <is>
          <t>💰 HPP VENDOR</t>
        </is>
      </c>
      <c r="C463" t="n">
        <v>15</v>
      </c>
      <c r="D463" t="inlineStr">
        <is>
          <t>Vendor HPP</t>
        </is>
      </c>
      <c r="E463" t="inlineStr">
        <is>
          <t>Dinamix Production</t>
        </is>
      </c>
      <c r="F463" t="inlineStr">
        <is>
          <t>Talent</t>
        </is>
      </c>
      <c r="H463" t="inlineStr">
        <is>
          <t>Female DJ incl. CDJ Turntable</t>
        </is>
      </c>
      <c r="J463" t="inlineStr">
        <is>
          <t>pax</t>
        </is>
      </c>
      <c r="K463" t="inlineStr">
        <is>
          <t>1</t>
        </is>
      </c>
      <c r="L463" t="n">
        <v>3500000</v>
      </c>
      <c r="M463" t="n">
        <v>3500000</v>
      </c>
      <c r="N463">
        <f>IF(COUNT(L463:M463)=0,"",AVERAGE(L463:M463))</f>
        <v/>
      </c>
      <c r="Q463">
        <f>IF(COUNT(O463:P463)=0,"",AVERAGE(O463:P463))</f>
        <v/>
      </c>
      <c r="R463">
        <f>IF(Q463&lt;&gt;"",Q463,IF(N463&lt;&gt;"",ROUND(N463*(1+$B$2),0),""))</f>
        <v/>
      </c>
      <c r="S463">
        <f>IF(AND(N463&lt;&gt;"",Q463&lt;&gt;"",N463&lt;&gt;0),(Q463-N463)/N463,"")</f>
        <v/>
      </c>
      <c r="T463" t="inlineStr">
        <is>
          <t>2025</t>
        </is>
      </c>
      <c r="U463" t="inlineStr">
        <is>
          <t>Sunpride Bandung</t>
        </is>
      </c>
      <c r="V463" t="inlineStr">
        <is>
          <t>HPP Vendor</t>
        </is>
      </c>
      <c r="X463" t="inlineStr">
        <is>
          <t>OK</t>
        </is>
      </c>
      <c r="Y463" t="inlineStr">
        <is>
          <t>female dj incl. cdj turntable | pax</t>
        </is>
      </c>
    </row>
    <row r="464">
      <c r="A464" t="n">
        <v>460</v>
      </c>
      <c r="B464" t="inlineStr">
        <is>
          <t>🕌 MUI EVENT DATA</t>
        </is>
      </c>
      <c r="C464" t="n">
        <v>62</v>
      </c>
      <c r="D464" t="inlineStr">
        <is>
          <t>MUI Real Cost</t>
        </is>
      </c>
      <c r="E464" t="inlineStr">
        <is>
          <t>MUI/EO</t>
        </is>
      </c>
      <c r="F464" t="inlineStr">
        <is>
          <t>Talent</t>
        </is>
      </c>
      <c r="H464" t="inlineStr">
        <is>
          <t>Habib Ahmad Bin Ali Assegaf</t>
        </is>
      </c>
      <c r="J464" t="inlineStr">
        <is>
          <t>pax</t>
        </is>
      </c>
      <c r="K464" t="inlineStr">
        <is>
          <t>1</t>
        </is>
      </c>
      <c r="L464" t="n">
        <v>10000000</v>
      </c>
      <c r="M464" t="n">
        <v>10000000</v>
      </c>
      <c r="N464">
        <f>IF(COUNT(L464:M464)=0,"",AVERAGE(L464:M464))</f>
        <v/>
      </c>
      <c r="Q464">
        <f>IF(COUNT(O464:P464)=0,"",AVERAGE(O464:P464))</f>
        <v/>
      </c>
      <c r="R464">
        <f>IF(Q464&lt;&gt;"",Q464,IF(N464&lt;&gt;"",ROUND(N464*(1+$B$2),0),""))</f>
        <v/>
      </c>
      <c r="S464">
        <f>IF(AND(N464&lt;&gt;"",Q464&lt;&gt;"",N464&lt;&gt;0),(Q464-N464)/N464,"")</f>
        <v/>
      </c>
      <c r="T464" t="inlineStr">
        <is>
          <t>2026</t>
        </is>
      </c>
      <c r="U464" t="inlineStr">
        <is>
          <t>MUI Istiqlal 2026</t>
        </is>
      </c>
      <c r="V464" t="inlineStr">
        <is>
          <t>Real-CE MUI</t>
        </is>
      </c>
      <c r="X464" t="inlineStr">
        <is>
          <t>OK</t>
        </is>
      </c>
      <c r="Y464" t="inlineStr">
        <is>
          <t>habib ahmad bin ali assegaf | pax</t>
        </is>
      </c>
    </row>
    <row r="465">
      <c r="A465" t="n">
        <v>461</v>
      </c>
      <c r="B465" t="inlineStr">
        <is>
          <t>🕌 MUI EVENT DATA</t>
        </is>
      </c>
      <c r="C465" t="n">
        <v>61</v>
      </c>
      <c r="D465" t="inlineStr">
        <is>
          <t>MUI Real Cost</t>
        </is>
      </c>
      <c r="E465" t="inlineStr">
        <is>
          <t>MUI/EO</t>
        </is>
      </c>
      <c r="F465" t="inlineStr">
        <is>
          <t>Talent</t>
        </is>
      </c>
      <c r="H465" t="inlineStr">
        <is>
          <t>Habib Ali Bin Abdurrahman Al Habsyi</t>
        </is>
      </c>
      <c r="J465" t="inlineStr">
        <is>
          <t>pax</t>
        </is>
      </c>
      <c r="K465" t="inlineStr">
        <is>
          <t>1</t>
        </is>
      </c>
      <c r="L465" t="n">
        <v>10000000</v>
      </c>
      <c r="M465" t="n">
        <v>10000000</v>
      </c>
      <c r="N465">
        <f>IF(COUNT(L465:M465)=0,"",AVERAGE(L465:M465))</f>
        <v/>
      </c>
      <c r="Q465">
        <f>IF(COUNT(O465:P465)=0,"",AVERAGE(O465:P465))</f>
        <v/>
      </c>
      <c r="R465">
        <f>IF(Q465&lt;&gt;"",Q465,IF(N465&lt;&gt;"",ROUND(N465*(1+$B$2),0),""))</f>
        <v/>
      </c>
      <c r="S465">
        <f>IF(AND(N465&lt;&gt;"",Q465&lt;&gt;"",N465&lt;&gt;0),(Q465-N465)/N465,"")</f>
        <v/>
      </c>
      <c r="T465" t="inlineStr">
        <is>
          <t>2026</t>
        </is>
      </c>
      <c r="U465" t="inlineStr">
        <is>
          <t>MUI Istiqlal 2026</t>
        </is>
      </c>
      <c r="V465" t="inlineStr">
        <is>
          <t>Real-CE MUI</t>
        </is>
      </c>
      <c r="X465" t="inlineStr">
        <is>
          <t>OK</t>
        </is>
      </c>
      <c r="Y465" t="inlineStr">
        <is>
          <t>habib ali bin abdurrahman al habsyi | pax</t>
        </is>
      </c>
    </row>
    <row r="466">
      <c r="A466" t="n">
        <v>462</v>
      </c>
      <c r="B466" t="inlineStr">
        <is>
          <t>🕌 MUI EVENT DATA</t>
        </is>
      </c>
      <c r="C466" t="n">
        <v>57</v>
      </c>
      <c r="D466" t="inlineStr">
        <is>
          <t>MUI Real Cost</t>
        </is>
      </c>
      <c r="E466" t="inlineStr">
        <is>
          <t>MUI/EO</t>
        </is>
      </c>
      <c r="F466" t="inlineStr">
        <is>
          <t>Talent</t>
        </is>
      </c>
      <c r="H466" t="inlineStr">
        <is>
          <t>Hadrah Al Mabruk PTIQ Baung</t>
        </is>
      </c>
      <c r="J466" t="inlineStr">
        <is>
          <t>grup</t>
        </is>
      </c>
      <c r="K466" t="inlineStr">
        <is>
          <t>1</t>
        </is>
      </c>
      <c r="L466" t="n">
        <v>8500000</v>
      </c>
      <c r="M466" t="n">
        <v>8500000</v>
      </c>
      <c r="N466">
        <f>IF(COUNT(L466:M466)=0,"",AVERAGE(L466:M466))</f>
        <v/>
      </c>
      <c r="Q466">
        <f>IF(COUNT(O466:P466)=0,"",AVERAGE(O466:P466))</f>
        <v/>
      </c>
      <c r="R466">
        <f>IF(Q466&lt;&gt;"",Q466,IF(N466&lt;&gt;"",ROUND(N466*(1+$B$2),0),""))</f>
        <v/>
      </c>
      <c r="S466">
        <f>IF(AND(N466&lt;&gt;"",Q466&lt;&gt;"",N466&lt;&gt;0),(Q466-N466)/N466,"")</f>
        <v/>
      </c>
      <c r="T466" t="inlineStr">
        <is>
          <t>2026</t>
        </is>
      </c>
      <c r="U466" t="inlineStr">
        <is>
          <t>MUI Istiqlal 2026</t>
        </is>
      </c>
      <c r="V466" t="inlineStr">
        <is>
          <t>Real-CE MUI</t>
        </is>
      </c>
      <c r="X466" t="inlineStr">
        <is>
          <t>OK</t>
        </is>
      </c>
      <c r="Y466" t="inlineStr">
        <is>
          <t>hadrah al mabruk ptiq baung | grup</t>
        </is>
      </c>
    </row>
    <row r="467">
      <c r="A467" t="n">
        <v>463</v>
      </c>
      <c r="B467" t="inlineStr">
        <is>
          <t>🕌 MUI EVENT DATA</t>
        </is>
      </c>
      <c r="C467" t="n">
        <v>64</v>
      </c>
      <c r="D467" t="inlineStr">
        <is>
          <t>MUI Real Cost</t>
        </is>
      </c>
      <c r="E467" t="inlineStr">
        <is>
          <t>MUI/EO</t>
        </is>
      </c>
      <c r="F467" t="inlineStr">
        <is>
          <t>Talent</t>
        </is>
      </c>
      <c r="H467" t="inlineStr">
        <is>
          <t>KH Afifuddin Muhajir (Pembaca Doa)</t>
        </is>
      </c>
      <c r="J467" t="inlineStr">
        <is>
          <t>pax</t>
        </is>
      </c>
      <c r="K467" t="inlineStr">
        <is>
          <t>1</t>
        </is>
      </c>
      <c r="L467" t="n">
        <v>10000000</v>
      </c>
      <c r="M467" t="n">
        <v>10000000</v>
      </c>
      <c r="N467">
        <f>IF(COUNT(L467:M467)=0,"",AVERAGE(L467:M467))</f>
        <v/>
      </c>
      <c r="Q467">
        <f>IF(COUNT(O467:P467)=0,"",AVERAGE(O467:P467))</f>
        <v/>
      </c>
      <c r="R467">
        <f>IF(Q467&lt;&gt;"",Q467,IF(N467&lt;&gt;"",ROUND(N467*(1+$B$2),0),""))</f>
        <v/>
      </c>
      <c r="S467">
        <f>IF(AND(N467&lt;&gt;"",Q467&lt;&gt;"",N467&lt;&gt;0),(Q467-N467)/N467,"")</f>
        <v/>
      </c>
      <c r="T467" t="inlineStr">
        <is>
          <t>2026</t>
        </is>
      </c>
      <c r="U467" t="inlineStr">
        <is>
          <t>MUI Istiqlal 2026</t>
        </is>
      </c>
      <c r="V467" t="inlineStr">
        <is>
          <t>Real-CE MUI</t>
        </is>
      </c>
      <c r="X467" t="inlineStr">
        <is>
          <t>OK</t>
        </is>
      </c>
      <c r="Y467" t="inlineStr">
        <is>
          <t>kh afifuddin muhajir (pembaca doa) | pax</t>
        </is>
      </c>
    </row>
    <row r="468">
      <c r="A468" t="n">
        <v>464</v>
      </c>
      <c r="B468" t="inlineStr">
        <is>
          <t>🕌 MUI EVENT DATA</t>
        </is>
      </c>
      <c r="C468" t="n">
        <v>60</v>
      </c>
      <c r="D468" t="inlineStr">
        <is>
          <t>MUI Real Cost</t>
        </is>
      </c>
      <c r="E468" t="inlineStr">
        <is>
          <t>MUI/EO</t>
        </is>
      </c>
      <c r="F468" t="inlineStr">
        <is>
          <t>Talent</t>
        </is>
      </c>
      <c r="H468" t="inlineStr">
        <is>
          <t>KH Mahfud Assirun (Pembaca Doa)</t>
        </is>
      </c>
      <c r="J468" t="inlineStr">
        <is>
          <t>pax</t>
        </is>
      </c>
      <c r="K468" t="inlineStr">
        <is>
          <t>1</t>
        </is>
      </c>
      <c r="L468" t="n">
        <v>5000000</v>
      </c>
      <c r="M468" t="n">
        <v>5000000</v>
      </c>
      <c r="N468">
        <f>IF(COUNT(L468:M468)=0,"",AVERAGE(L468:M468))</f>
        <v/>
      </c>
      <c r="Q468">
        <f>IF(COUNT(O468:P468)=0,"",AVERAGE(O468:P468))</f>
        <v/>
      </c>
      <c r="R468">
        <f>IF(Q468&lt;&gt;"",Q468,IF(N468&lt;&gt;"",ROUND(N468*(1+$B$2),0),""))</f>
        <v/>
      </c>
      <c r="S468">
        <f>IF(AND(N468&lt;&gt;"",Q468&lt;&gt;"",N468&lt;&gt;0),(Q468-N468)/N468,"")</f>
        <v/>
      </c>
      <c r="T468" t="inlineStr">
        <is>
          <t>2026</t>
        </is>
      </c>
      <c r="U468" t="inlineStr">
        <is>
          <t>MUI Istiqlal 2026</t>
        </is>
      </c>
      <c r="V468" t="inlineStr">
        <is>
          <t>Real-CE MUI</t>
        </is>
      </c>
      <c r="X468" t="inlineStr">
        <is>
          <t>OK</t>
        </is>
      </c>
      <c r="Y468" t="inlineStr">
        <is>
          <t>kh mahfud assirun (pembaca doa) | pax</t>
        </is>
      </c>
    </row>
    <row r="469">
      <c r="A469" t="n">
        <v>465</v>
      </c>
      <c r="B469" t="inlineStr">
        <is>
          <t>🕌 MUI EVENT DATA</t>
        </is>
      </c>
      <c r="C469" t="n">
        <v>63</v>
      </c>
      <c r="D469" t="inlineStr">
        <is>
          <t>MUI Real Cost</t>
        </is>
      </c>
      <c r="E469" t="inlineStr">
        <is>
          <t>MUI/EO</t>
        </is>
      </c>
      <c r="F469" t="inlineStr">
        <is>
          <t>Talent</t>
        </is>
      </c>
      <c r="H469" t="inlineStr">
        <is>
          <t>KH Muammar ZA (Qori)</t>
        </is>
      </c>
      <c r="J469" t="inlineStr">
        <is>
          <t>pax</t>
        </is>
      </c>
      <c r="K469" t="inlineStr">
        <is>
          <t>1</t>
        </is>
      </c>
      <c r="L469" t="n">
        <v>15000000</v>
      </c>
      <c r="M469" t="n">
        <v>15000000</v>
      </c>
      <c r="N469">
        <f>IF(COUNT(L469:M469)=0,"",AVERAGE(L469:M469))</f>
        <v/>
      </c>
      <c r="Q469">
        <f>IF(COUNT(O469:P469)=0,"",AVERAGE(O469:P469))</f>
        <v/>
      </c>
      <c r="R469">
        <f>IF(Q469&lt;&gt;"",Q469,IF(N469&lt;&gt;"",ROUND(N469*(1+$B$2),0),""))</f>
        <v/>
      </c>
      <c r="S469">
        <f>IF(AND(N469&lt;&gt;"",Q469&lt;&gt;"",N469&lt;&gt;0),(Q469-N469)/N469,"")</f>
        <v/>
      </c>
      <c r="T469" t="inlineStr">
        <is>
          <t>2026</t>
        </is>
      </c>
      <c r="U469" t="inlineStr">
        <is>
          <t>MUI Istiqlal 2026</t>
        </is>
      </c>
      <c r="V469" t="inlineStr">
        <is>
          <t>Real-CE MUI</t>
        </is>
      </c>
      <c r="X469" t="inlineStr">
        <is>
          <t>OK</t>
        </is>
      </c>
      <c r="Y469" t="inlineStr">
        <is>
          <t>kh muammar za (qori) | pax</t>
        </is>
      </c>
    </row>
    <row r="470">
      <c r="A470" t="n">
        <v>466</v>
      </c>
      <c r="B470" t="inlineStr">
        <is>
          <t>🕌 MUI EVENT DATA</t>
        </is>
      </c>
      <c r="C470" t="n">
        <v>65</v>
      </c>
      <c r="D470" t="inlineStr">
        <is>
          <t>MUI Real Cost</t>
        </is>
      </c>
      <c r="E470" t="inlineStr">
        <is>
          <t>MUI/EO</t>
        </is>
      </c>
      <c r="F470" t="inlineStr">
        <is>
          <t>Talent</t>
        </is>
      </c>
      <c r="H470" t="inlineStr">
        <is>
          <t>KH. Manan Abdul Ghani (Yasin Fadilah)</t>
        </is>
      </c>
      <c r="J470" t="inlineStr">
        <is>
          <t>pax</t>
        </is>
      </c>
      <c r="K470" t="inlineStr">
        <is>
          <t>1</t>
        </is>
      </c>
      <c r="L470" t="n">
        <v>5000000</v>
      </c>
      <c r="M470" t="n">
        <v>5000000</v>
      </c>
      <c r="N470">
        <f>IF(COUNT(L470:M470)=0,"",AVERAGE(L470:M470))</f>
        <v/>
      </c>
      <c r="Q470">
        <f>IF(COUNT(O470:P470)=0,"",AVERAGE(O470:P470))</f>
        <v/>
      </c>
      <c r="R470">
        <f>IF(Q470&lt;&gt;"",Q470,IF(N470&lt;&gt;"",ROUND(N470*(1+$B$2),0),""))</f>
        <v/>
      </c>
      <c r="S470">
        <f>IF(AND(N470&lt;&gt;"",Q470&lt;&gt;"",N470&lt;&gt;0),(Q470-N470)/N470,"")</f>
        <v/>
      </c>
      <c r="T470" t="inlineStr">
        <is>
          <t>2026</t>
        </is>
      </c>
      <c r="U470" t="inlineStr">
        <is>
          <t>MUI Istiqlal 2026</t>
        </is>
      </c>
      <c r="V470" t="inlineStr">
        <is>
          <t>Real-CE MUI</t>
        </is>
      </c>
      <c r="X470" t="inlineStr">
        <is>
          <t>OK</t>
        </is>
      </c>
      <c r="Y470" t="inlineStr">
        <is>
          <t>kh. manan abdul ghani (yasin fadilah) | pax</t>
        </is>
      </c>
    </row>
    <row r="471">
      <c r="A471" t="n">
        <v>467</v>
      </c>
      <c r="B471" t="inlineStr">
        <is>
          <t>🕌 MUI EVENT DATA</t>
        </is>
      </c>
      <c r="C471" t="n">
        <v>58</v>
      </c>
      <c r="D471" t="inlineStr">
        <is>
          <t>MUI Real Cost</t>
        </is>
      </c>
      <c r="E471" t="inlineStr">
        <is>
          <t>MUI/EO</t>
        </is>
      </c>
      <c r="F471" t="inlineStr">
        <is>
          <t>Talent</t>
        </is>
      </c>
      <c r="H471" t="inlineStr">
        <is>
          <t>KH. Zaki Maulana Kamal (Shalawat)</t>
        </is>
      </c>
      <c r="J471" t="inlineStr">
        <is>
          <t>pax</t>
        </is>
      </c>
      <c r="K471" t="inlineStr">
        <is>
          <t>1</t>
        </is>
      </c>
      <c r="L471" t="n">
        <v>5000000</v>
      </c>
      <c r="M471" t="n">
        <v>5000000</v>
      </c>
      <c r="N471">
        <f>IF(COUNT(L471:M471)=0,"",AVERAGE(L471:M471))</f>
        <v/>
      </c>
      <c r="Q471">
        <f>IF(COUNT(O471:P471)=0,"",AVERAGE(O471:P471))</f>
        <v/>
      </c>
      <c r="R471">
        <f>IF(Q471&lt;&gt;"",Q471,IF(N471&lt;&gt;"",ROUND(N471*(1+$B$2),0),""))</f>
        <v/>
      </c>
      <c r="S471">
        <f>IF(AND(N471&lt;&gt;"",Q471&lt;&gt;"",N471&lt;&gt;0),(Q471-N471)/N471,"")</f>
        <v/>
      </c>
      <c r="T471" t="inlineStr">
        <is>
          <t>2026</t>
        </is>
      </c>
      <c r="U471" t="inlineStr">
        <is>
          <t>MUI Istiqlal 2026</t>
        </is>
      </c>
      <c r="V471" t="inlineStr">
        <is>
          <t>Real-CE MUI</t>
        </is>
      </c>
      <c r="X471" t="inlineStr">
        <is>
          <t>OK</t>
        </is>
      </c>
      <c r="Y471" t="inlineStr">
        <is>
          <t>kh. zaki maulana kamal (shalawat) | pax</t>
        </is>
      </c>
    </row>
    <row r="472">
      <c r="A472" t="n">
        <v>468</v>
      </c>
      <c r="B472" t="inlineStr">
        <is>
          <t>💰 HPP VENDOR</t>
        </is>
      </c>
      <c r="C472" t="n">
        <v>14</v>
      </c>
      <c r="D472" t="inlineStr">
        <is>
          <t>Vendor HPP</t>
        </is>
      </c>
      <c r="E472" t="inlineStr">
        <is>
          <t>Dinamix Production</t>
        </is>
      </c>
      <c r="F472" t="inlineStr">
        <is>
          <t>Talent</t>
        </is>
      </c>
      <c r="H472" t="inlineStr">
        <is>
          <t>Local Band / Home Band (Top 40)</t>
        </is>
      </c>
      <c r="J472" t="inlineStr">
        <is>
          <t>group</t>
        </is>
      </c>
      <c r="K472" t="inlineStr">
        <is>
          <t>1</t>
        </is>
      </c>
      <c r="L472" t="n">
        <v>4000000</v>
      </c>
      <c r="M472" t="n">
        <v>4000000</v>
      </c>
      <c r="N472">
        <f>IF(COUNT(L472:M472)=0,"",AVERAGE(L472:M472))</f>
        <v/>
      </c>
      <c r="Q472">
        <f>IF(COUNT(O472:P472)=0,"",AVERAGE(O472:P472))</f>
        <v/>
      </c>
      <c r="R472">
        <f>IF(Q472&lt;&gt;"",Q472,IF(N472&lt;&gt;"",ROUND(N472*(1+$B$2),0),""))</f>
        <v/>
      </c>
      <c r="S472">
        <f>IF(AND(N472&lt;&gt;"",Q472&lt;&gt;"",N472&lt;&gt;0),(Q472-N472)/N472,"")</f>
        <v/>
      </c>
      <c r="T472" t="inlineStr">
        <is>
          <t>2025</t>
        </is>
      </c>
      <c r="U472" t="inlineStr">
        <is>
          <t>Sunpride Bandung</t>
        </is>
      </c>
      <c r="V472" t="inlineStr">
        <is>
          <t>HPP Vendor</t>
        </is>
      </c>
      <c r="X472" t="inlineStr">
        <is>
          <t>OK</t>
        </is>
      </c>
      <c r="Y472" t="inlineStr">
        <is>
          <t>local band / home band (top 40) | group</t>
        </is>
      </c>
    </row>
    <row r="473">
      <c r="A473" t="n">
        <v>469</v>
      </c>
      <c r="B473" t="inlineStr">
        <is>
          <t>💰 HPP VENDOR</t>
        </is>
      </c>
      <c r="C473" t="n">
        <v>61</v>
      </c>
      <c r="D473" t="inlineStr">
        <is>
          <t>Vendor HPP</t>
        </is>
      </c>
      <c r="E473" t="inlineStr">
        <is>
          <t>Inge Milasari Sanjaya (Vendor Lokal)</t>
        </is>
      </c>
      <c r="F473" t="inlineStr">
        <is>
          <t>Talent</t>
        </is>
      </c>
      <c r="H473" t="inlineStr">
        <is>
          <t>MC Event</t>
        </is>
      </c>
      <c r="J473" t="inlineStr">
        <is>
          <t>pax</t>
        </is>
      </c>
      <c r="K473" t="inlineStr">
        <is>
          <t>1</t>
        </is>
      </c>
      <c r="L473" t="n">
        <v>650000</v>
      </c>
      <c r="M473" t="n">
        <v>650000</v>
      </c>
      <c r="N473">
        <f>IF(COUNT(L473:M473)=0,"",AVERAGE(L473:M473))</f>
        <v/>
      </c>
      <c r="Q473">
        <f>IF(COUNT(O473:P473)=0,"",AVERAGE(O473:P473))</f>
        <v/>
      </c>
      <c r="R473">
        <f>IF(Q473&lt;&gt;"",Q473,IF(N473&lt;&gt;"",ROUND(N473*(1+$B$2),0),""))</f>
        <v/>
      </c>
      <c r="S473">
        <f>IF(AND(N473&lt;&gt;"",Q473&lt;&gt;"",N473&lt;&gt;0),(Q473-N473)/N473,"")</f>
        <v/>
      </c>
      <c r="T473" t="inlineStr">
        <is>
          <t>2026</t>
        </is>
      </c>
      <c r="U473" t="inlineStr">
        <is>
          <t>Safari Ramadhan PGN Bogor</t>
        </is>
      </c>
      <c r="V473" t="inlineStr">
        <is>
          <t>HPP Vendor</t>
        </is>
      </c>
      <c r="W473" t="inlineStr">
        <is>
          <t>MC lokal/semi lokal</t>
        </is>
      </c>
      <c r="X473" t="inlineStr">
        <is>
          <t>OK</t>
        </is>
      </c>
      <c r="Y473" t="inlineStr">
        <is>
          <t>mc event | pax</t>
        </is>
      </c>
    </row>
    <row r="474">
      <c r="A474" t="n">
        <v>470</v>
      </c>
      <c r="B474" t="inlineStr">
        <is>
          <t>💰 HPP VENDOR</t>
        </is>
      </c>
      <c r="C474" t="n">
        <v>13</v>
      </c>
      <c r="D474" t="inlineStr">
        <is>
          <t>Vendor HPP</t>
        </is>
      </c>
      <c r="E474" t="inlineStr">
        <is>
          <t>Dinamix Production</t>
        </is>
      </c>
      <c r="F474" t="inlineStr">
        <is>
          <t>Talent</t>
        </is>
      </c>
      <c r="H474" t="inlineStr">
        <is>
          <t>MC Female Lokal</t>
        </is>
      </c>
      <c r="J474" t="inlineStr">
        <is>
          <t>pax</t>
        </is>
      </c>
      <c r="K474" t="inlineStr">
        <is>
          <t>1</t>
        </is>
      </c>
      <c r="L474" t="n">
        <v>3500000</v>
      </c>
      <c r="M474" t="n">
        <v>3500000</v>
      </c>
      <c r="N474">
        <f>IF(COUNT(L474:M474)=0,"",AVERAGE(L474:M474))</f>
        <v/>
      </c>
      <c r="Q474">
        <f>IF(COUNT(O474:P474)=0,"",AVERAGE(O474:P474))</f>
        <v/>
      </c>
      <c r="R474">
        <f>IF(Q474&lt;&gt;"",Q474,IF(N474&lt;&gt;"",ROUND(N474*(1+$B$2),0),""))</f>
        <v/>
      </c>
      <c r="S474">
        <f>IF(AND(N474&lt;&gt;"",Q474&lt;&gt;"",N474&lt;&gt;0),(Q474-N474)/N474,"")</f>
        <v/>
      </c>
      <c r="T474" t="inlineStr">
        <is>
          <t>2025</t>
        </is>
      </c>
      <c r="U474" t="inlineStr">
        <is>
          <t>Sunpride Bandung</t>
        </is>
      </c>
      <c r="V474" t="inlineStr">
        <is>
          <t>HPP Vendor</t>
        </is>
      </c>
      <c r="X474" t="inlineStr">
        <is>
          <t>OK</t>
        </is>
      </c>
      <c r="Y474" t="inlineStr">
        <is>
          <t>mc female lokal | pax</t>
        </is>
      </c>
    </row>
    <row r="475">
      <c r="A475" t="n">
        <v>471</v>
      </c>
      <c r="B475" t="inlineStr">
        <is>
          <t>💰 HPP VENDOR</t>
        </is>
      </c>
      <c r="C475" t="n">
        <v>63</v>
      </c>
      <c r="D475" t="inlineStr">
        <is>
          <t>Vendor HPP</t>
        </is>
      </c>
      <c r="E475" t="inlineStr">
        <is>
          <t>Inge Milasari Sanjaya (Vendor Lokal)</t>
        </is>
      </c>
      <c r="F475" t="inlineStr">
        <is>
          <t>Talent</t>
        </is>
      </c>
      <c r="H475" t="inlineStr">
        <is>
          <t>Marawis Group</t>
        </is>
      </c>
      <c r="J475" t="inlineStr">
        <is>
          <t>pax</t>
        </is>
      </c>
      <c r="K475" t="inlineStr">
        <is>
          <t>1</t>
        </is>
      </c>
      <c r="L475" t="n">
        <v>2000000</v>
      </c>
      <c r="M475" t="n">
        <v>2000000</v>
      </c>
      <c r="N475">
        <f>IF(COUNT(L475:M475)=0,"",AVERAGE(L475:M475))</f>
        <v/>
      </c>
      <c r="Q475">
        <f>IF(COUNT(O475:P475)=0,"",AVERAGE(O475:P475))</f>
        <v/>
      </c>
      <c r="R475">
        <f>IF(Q475&lt;&gt;"",Q475,IF(N475&lt;&gt;"",ROUND(N475*(1+$B$2),0),""))</f>
        <v/>
      </c>
      <c r="S475">
        <f>IF(AND(N475&lt;&gt;"",Q475&lt;&gt;"",N475&lt;&gt;0),(Q475-N475)/N475,"")</f>
        <v/>
      </c>
      <c r="T475" t="inlineStr">
        <is>
          <t>2026</t>
        </is>
      </c>
      <c r="U475" t="inlineStr">
        <is>
          <t>Safari Ramadhan PGN Bogor</t>
        </is>
      </c>
      <c r="V475" t="inlineStr">
        <is>
          <t>HPP Vendor</t>
        </is>
      </c>
      <c r="X475" t="inlineStr">
        <is>
          <t>OK</t>
        </is>
      </c>
      <c r="Y475" t="inlineStr">
        <is>
          <t>marawis group | pax</t>
        </is>
      </c>
    </row>
    <row r="476">
      <c r="A476" t="n">
        <v>472</v>
      </c>
      <c r="B476" t="inlineStr">
        <is>
          <t>💰 HPP VENDOR</t>
        </is>
      </c>
      <c r="C476" t="n">
        <v>64</v>
      </c>
      <c r="D476" t="inlineStr">
        <is>
          <t>Vendor HPP</t>
        </is>
      </c>
      <c r="E476" t="inlineStr">
        <is>
          <t>Inge Milasari Sanjaya (Vendor Lokal)</t>
        </is>
      </c>
      <c r="F476" t="inlineStr">
        <is>
          <t>Talent</t>
        </is>
      </c>
      <c r="H476" t="inlineStr">
        <is>
          <t>Qori dan Saritilawah</t>
        </is>
      </c>
      <c r="J476" t="inlineStr">
        <is>
          <t>pax</t>
        </is>
      </c>
      <c r="K476" t="inlineStr">
        <is>
          <t>1</t>
        </is>
      </c>
      <c r="L476" t="n">
        <v>3500000</v>
      </c>
      <c r="M476" t="n">
        <v>3500000</v>
      </c>
      <c r="N476">
        <f>IF(COUNT(L476:M476)=0,"",AVERAGE(L476:M476))</f>
        <v/>
      </c>
      <c r="Q476">
        <f>IF(COUNT(O476:P476)=0,"",AVERAGE(O476:P476))</f>
        <v/>
      </c>
      <c r="R476">
        <f>IF(Q476&lt;&gt;"",Q476,IF(N476&lt;&gt;"",ROUND(N476*(1+$B$2),0),""))</f>
        <v/>
      </c>
      <c r="S476">
        <f>IF(AND(N476&lt;&gt;"",Q476&lt;&gt;"",N476&lt;&gt;0),(Q476-N476)/N476,"")</f>
        <v/>
      </c>
      <c r="T476" t="inlineStr">
        <is>
          <t>2026</t>
        </is>
      </c>
      <c r="U476" t="inlineStr">
        <is>
          <t>Safari Ramadhan PGN Bogor</t>
        </is>
      </c>
      <c r="V476" t="inlineStr">
        <is>
          <t>HPP Vendor</t>
        </is>
      </c>
      <c r="X476" t="inlineStr">
        <is>
          <t>OK</t>
        </is>
      </c>
      <c r="Y476" t="inlineStr">
        <is>
          <t>qori dan saritilawah | pax</t>
        </is>
      </c>
    </row>
    <row r="477">
      <c r="A477" t="n">
        <v>473</v>
      </c>
      <c r="B477" t="inlineStr">
        <is>
          <t>🕌 MUI EVENT DATA</t>
        </is>
      </c>
      <c r="C477" t="n">
        <v>59</v>
      </c>
      <c r="D477" t="inlineStr">
        <is>
          <t>MUI Real Cost</t>
        </is>
      </c>
      <c r="E477" t="inlineStr">
        <is>
          <t>MUI/EO</t>
        </is>
      </c>
      <c r="F477" t="inlineStr">
        <is>
          <t>Talent</t>
        </is>
      </c>
      <c r="H477" t="inlineStr">
        <is>
          <t>Ragil - Ahbabul Mustofa (Shalawat)</t>
        </is>
      </c>
      <c r="J477" t="inlineStr">
        <is>
          <t>pax</t>
        </is>
      </c>
      <c r="K477" t="inlineStr">
        <is>
          <t>1</t>
        </is>
      </c>
      <c r="L477" t="n">
        <v>5000000</v>
      </c>
      <c r="M477" t="n">
        <v>5000000</v>
      </c>
      <c r="N477">
        <f>IF(COUNT(L477:M477)=0,"",AVERAGE(L477:M477))</f>
        <v/>
      </c>
      <c r="Q477">
        <f>IF(COUNT(O477:P477)=0,"",AVERAGE(O477:P477))</f>
        <v/>
      </c>
      <c r="R477">
        <f>IF(Q477&lt;&gt;"",Q477,IF(N477&lt;&gt;"",ROUND(N477*(1+$B$2),0),""))</f>
        <v/>
      </c>
      <c r="S477">
        <f>IF(AND(N477&lt;&gt;"",Q477&lt;&gt;"",N477&lt;&gt;0),(Q477-N477)/N477,"")</f>
        <v/>
      </c>
      <c r="T477" t="inlineStr">
        <is>
          <t>2026</t>
        </is>
      </c>
      <c r="U477" t="inlineStr">
        <is>
          <t>MUI Istiqlal 2026</t>
        </is>
      </c>
      <c r="V477" t="inlineStr">
        <is>
          <t>Real-CE MUI</t>
        </is>
      </c>
      <c r="X477" t="inlineStr">
        <is>
          <t>OK</t>
        </is>
      </c>
      <c r="Y477" t="inlineStr">
        <is>
          <t>ragil - ahbabul mustofa (shalawat) | pax</t>
        </is>
      </c>
    </row>
    <row r="478">
      <c r="A478" t="n">
        <v>474</v>
      </c>
      <c r="B478" t="inlineStr">
        <is>
          <t>💰 HPP VENDOR</t>
        </is>
      </c>
      <c r="C478" t="n">
        <v>62</v>
      </c>
      <c r="D478" t="inlineStr">
        <is>
          <t>Vendor HPP</t>
        </is>
      </c>
      <c r="E478" t="inlineStr">
        <is>
          <t>Inge Milasari Sanjaya (Vendor Lokal)</t>
        </is>
      </c>
      <c r="F478" t="inlineStr">
        <is>
          <t>Talent</t>
        </is>
      </c>
      <c r="H478" t="inlineStr">
        <is>
          <t>Ustadz / Penceramah</t>
        </is>
      </c>
      <c r="J478" t="inlineStr">
        <is>
          <t>pax</t>
        </is>
      </c>
      <c r="K478" t="inlineStr">
        <is>
          <t>1</t>
        </is>
      </c>
      <c r="L478" t="n">
        <v>3500000</v>
      </c>
      <c r="M478" t="n">
        <v>3500000</v>
      </c>
      <c r="N478">
        <f>IF(COUNT(L478:M478)=0,"",AVERAGE(L478:M478))</f>
        <v/>
      </c>
      <c r="Q478">
        <f>IF(COUNT(O478:P478)=0,"",AVERAGE(O478:P478))</f>
        <v/>
      </c>
      <c r="R478">
        <f>IF(Q478&lt;&gt;"",Q478,IF(N478&lt;&gt;"",ROUND(N478*(1+$B$2),0),""))</f>
        <v/>
      </c>
      <c r="S478">
        <f>IF(AND(N478&lt;&gt;"",Q478&lt;&gt;"",N478&lt;&gt;0),(Q478-N478)/N478,"")</f>
        <v/>
      </c>
      <c r="T478" t="inlineStr">
        <is>
          <t>2026</t>
        </is>
      </c>
      <c r="U478" t="inlineStr">
        <is>
          <t>Safari Ramadhan PGN Bogor</t>
        </is>
      </c>
      <c r="V478" t="inlineStr">
        <is>
          <t>HPP Vendor</t>
        </is>
      </c>
      <c r="X478" t="inlineStr">
        <is>
          <t>OK</t>
        </is>
      </c>
      <c r="Y478" t="inlineStr">
        <is>
          <t>ustadz / penceramah | pax</t>
        </is>
      </c>
    </row>
    <row r="479">
      <c r="A479" t="n">
        <v>475</v>
      </c>
      <c r="B479" t="inlineStr">
        <is>
          <t>🎤 TALENT DB</t>
        </is>
      </c>
      <c r="C479" t="n">
        <v>26</v>
      </c>
      <c r="D479" t="inlineStr">
        <is>
          <t>Talent DB</t>
        </is>
      </c>
      <c r="F479" t="inlineStr">
        <is>
          <t>Talent &amp; Entertainment</t>
        </is>
      </c>
      <c r="G479" t="inlineStr">
        <is>
          <t>Band</t>
        </is>
      </c>
      <c r="H479" t="inlineStr">
        <is>
          <t>Diskoria</t>
        </is>
      </c>
      <c r="J479" t="inlineStr">
        <is>
          <t>talent/event</t>
        </is>
      </c>
      <c r="N479">
        <f>IF(COUNT(L479:M479)=0,"",AVERAGE(L479:M479))</f>
        <v/>
      </c>
      <c r="O479" t="n">
        <v>80000000</v>
      </c>
      <c r="P479" t="n">
        <v>80000000</v>
      </c>
      <c r="Q479">
        <f>IF(COUNT(O479:P479)=0,"",AVERAGE(O479:P479))</f>
        <v/>
      </c>
      <c r="R479">
        <f>IF(Q479&lt;&gt;"",Q479,IF(N479&lt;&gt;"",ROUND(N479*(1+$B$2),0),""))</f>
        <v/>
      </c>
      <c r="S479">
        <f>IF(AND(N479&lt;&gt;"",Q479&lt;&gt;"",N479&lt;&gt;0),(Q479-N479)/N479,"")</f>
        <v/>
      </c>
      <c r="T479" t="inlineStr">
        <is>
          <t>2025</t>
        </is>
      </c>
      <c r="V479" t="inlineStr">
        <is>
          <t>Talent DB</t>
        </is>
      </c>
      <c r="W479" t="inlineStr">
        <is>
          <t>Est. Riders: 20000000</t>
        </is>
      </c>
      <c r="X479" t="inlineStr">
        <is>
          <t>OK</t>
        </is>
      </c>
      <c r="Y479" t="inlineStr">
        <is>
          <t>diskoria | talent/event</t>
        </is>
      </c>
    </row>
    <row r="480">
      <c r="A480" t="n">
        <v>476</v>
      </c>
      <c r="B480" t="inlineStr">
        <is>
          <t>🎤 TALENT DB</t>
        </is>
      </c>
      <c r="C480" t="n">
        <v>21</v>
      </c>
      <c r="D480" t="inlineStr">
        <is>
          <t>Talent DB</t>
        </is>
      </c>
      <c r="F480" t="inlineStr">
        <is>
          <t>Talent &amp; Entertainment</t>
        </is>
      </c>
      <c r="G480" t="inlineStr">
        <is>
          <t>Band</t>
        </is>
      </c>
      <c r="H480" t="inlineStr">
        <is>
          <t>For Revenge</t>
        </is>
      </c>
      <c r="J480" t="inlineStr">
        <is>
          <t>talent/event</t>
        </is>
      </c>
      <c r="N480">
        <f>IF(COUNT(L480:M480)=0,"",AVERAGE(L480:M480))</f>
        <v/>
      </c>
      <c r="O480" t="n">
        <v>70000000</v>
      </c>
      <c r="P480" t="n">
        <v>70000000</v>
      </c>
      <c r="Q480">
        <f>IF(COUNT(O480:P480)=0,"",AVERAGE(O480:P480))</f>
        <v/>
      </c>
      <c r="R480">
        <f>IF(Q480&lt;&gt;"",Q480,IF(N480&lt;&gt;"",ROUND(N480*(1+$B$2),0),""))</f>
        <v/>
      </c>
      <c r="S480">
        <f>IF(AND(N480&lt;&gt;"",Q480&lt;&gt;"",N480&lt;&gt;0),(Q480-N480)/N480,"")</f>
        <v/>
      </c>
      <c r="T480" t="inlineStr">
        <is>
          <t>2025</t>
        </is>
      </c>
      <c r="V480" t="inlineStr">
        <is>
          <t>Talent DB</t>
        </is>
      </c>
      <c r="W480" t="inlineStr">
        <is>
          <t>Est. Riders: 20000000 | DP 50% untuk lock tanggal</t>
        </is>
      </c>
      <c r="X480" t="inlineStr">
        <is>
          <t>OK</t>
        </is>
      </c>
      <c r="Y480" t="inlineStr">
        <is>
          <t>for revenge | talent/event</t>
        </is>
      </c>
    </row>
    <row r="481">
      <c r="A481" t="n">
        <v>477</v>
      </c>
      <c r="B481" t="inlineStr">
        <is>
          <t>🎤 TALENT DB</t>
        </is>
      </c>
      <c r="C481" t="n">
        <v>30</v>
      </c>
      <c r="D481" t="inlineStr">
        <is>
          <t>Talent DB</t>
        </is>
      </c>
      <c r="F481" t="inlineStr">
        <is>
          <t>Talent &amp; Entertainment</t>
        </is>
      </c>
      <c r="G481" t="inlineStr">
        <is>
          <t>Band</t>
        </is>
      </c>
      <c r="H481" t="inlineStr">
        <is>
          <t>Kotak Band</t>
        </is>
      </c>
      <c r="J481" t="inlineStr">
        <is>
          <t>talent/event</t>
        </is>
      </c>
      <c r="N481">
        <f>IF(COUNT(L481:M481)=0,"",AVERAGE(L481:M481))</f>
        <v/>
      </c>
      <c r="O481" t="n">
        <v>110000000</v>
      </c>
      <c r="P481" t="n">
        <v>110000000</v>
      </c>
      <c r="Q481">
        <f>IF(COUNT(O481:P481)=0,"",AVERAGE(O481:P481))</f>
        <v/>
      </c>
      <c r="R481">
        <f>IF(Q481&lt;&gt;"",Q481,IF(N481&lt;&gt;"",ROUND(N481*(1+$B$2),0),""))</f>
        <v/>
      </c>
      <c r="S481">
        <f>IF(AND(N481&lt;&gt;"",Q481&lt;&gt;"",N481&lt;&gt;0),(Q481-N481)/N481,"")</f>
        <v/>
      </c>
      <c r="T481" t="inlineStr">
        <is>
          <t>2025</t>
        </is>
      </c>
      <c r="V481" t="inlineStr">
        <is>
          <t>Talent DB</t>
        </is>
      </c>
      <c r="W481" t="inlineStr">
        <is>
          <t>Est. Riders: 35000000 | ALL IN. riders incl. royalty fee</t>
        </is>
      </c>
      <c r="X481" t="inlineStr">
        <is>
          <t>OK</t>
        </is>
      </c>
      <c r="Y481" t="inlineStr">
        <is>
          <t>kotak band | talent/event</t>
        </is>
      </c>
    </row>
    <row r="482">
      <c r="A482" t="n">
        <v>478</v>
      </c>
      <c r="B482" t="inlineStr">
        <is>
          <t>🎤 TALENT DB</t>
        </is>
      </c>
      <c r="C482" t="n">
        <v>25</v>
      </c>
      <c r="D482" t="inlineStr">
        <is>
          <t>Talent DB</t>
        </is>
      </c>
      <c r="F482" t="inlineStr">
        <is>
          <t>Talent &amp; Entertainment</t>
        </is>
      </c>
      <c r="G482" t="inlineStr">
        <is>
          <t>Band</t>
        </is>
      </c>
      <c r="H482" t="inlineStr">
        <is>
          <t>Reality Club</t>
        </is>
      </c>
      <c r="J482" t="inlineStr">
        <is>
          <t>talent/event</t>
        </is>
      </c>
      <c r="N482">
        <f>IF(COUNT(L482:M482)=0,"",AVERAGE(L482:M482))</f>
        <v/>
      </c>
      <c r="O482" t="n">
        <v>75000000</v>
      </c>
      <c r="P482" t="n">
        <v>75000000</v>
      </c>
      <c r="Q482">
        <f>IF(COUNT(O482:P482)=0,"",AVERAGE(O482:P482))</f>
        <v/>
      </c>
      <c r="R482">
        <f>IF(Q482&lt;&gt;"",Q482,IF(N482&lt;&gt;"",ROUND(N482*(1+$B$2),0),""))</f>
        <v/>
      </c>
      <c r="S482">
        <f>IF(AND(N482&lt;&gt;"",Q482&lt;&gt;"",N482&lt;&gt;0),(Q482-N482)/N482,"")</f>
        <v/>
      </c>
      <c r="T482" t="inlineStr">
        <is>
          <t>2025</t>
        </is>
      </c>
      <c r="V482" t="inlineStr">
        <is>
          <t>Talent DB</t>
        </is>
      </c>
      <c r="W482" t="inlineStr">
        <is>
          <t>Est. Riders: 20000000 | DP min. 50% untuk lock tanggal</t>
        </is>
      </c>
      <c r="X482" t="inlineStr">
        <is>
          <t>OK</t>
        </is>
      </c>
      <c r="Y482" t="inlineStr">
        <is>
          <t>reality club | talent/event</t>
        </is>
      </c>
    </row>
    <row r="483">
      <c r="A483" t="n">
        <v>479</v>
      </c>
      <c r="B483" t="inlineStr">
        <is>
          <t>🎤 TALENT DB</t>
        </is>
      </c>
      <c r="C483" t="n">
        <v>32</v>
      </c>
      <c r="D483" t="inlineStr">
        <is>
          <t>Talent DB</t>
        </is>
      </c>
      <c r="F483" t="inlineStr">
        <is>
          <t>Talent &amp; Entertainment</t>
        </is>
      </c>
      <c r="G483" t="inlineStr">
        <is>
          <t>Band/Solo</t>
        </is>
      </c>
      <c r="H483" t="inlineStr">
        <is>
          <t>Andien</t>
        </is>
      </c>
      <c r="J483" t="inlineStr">
        <is>
          <t>talent/event</t>
        </is>
      </c>
      <c r="N483">
        <f>IF(COUNT(L483:M483)=0,"",AVERAGE(L483:M483))</f>
        <v/>
      </c>
      <c r="O483" t="n">
        <v>135000000</v>
      </c>
      <c r="P483" t="n">
        <v>135000000</v>
      </c>
      <c r="Q483">
        <f>IF(COUNT(O483:P483)=0,"",AVERAGE(O483:P483))</f>
        <v/>
      </c>
      <c r="R483">
        <f>IF(Q483&lt;&gt;"",Q483,IF(N483&lt;&gt;"",ROUND(N483*(1+$B$2),0),""))</f>
        <v/>
      </c>
      <c r="S483">
        <f>IF(AND(N483&lt;&gt;"",Q483&lt;&gt;"",N483&lt;&gt;0),(Q483-N483)/N483,"")</f>
        <v/>
      </c>
      <c r="T483" t="inlineStr">
        <is>
          <t>2025</t>
        </is>
      </c>
      <c r="V483" t="inlineStr">
        <is>
          <t>Talent DB</t>
        </is>
      </c>
      <c r="W483" t="inlineStr">
        <is>
          <t>Est. Riders: 30000000</t>
        </is>
      </c>
      <c r="X483" t="inlineStr">
        <is>
          <t>OK</t>
        </is>
      </c>
      <c r="Y483" t="inlineStr">
        <is>
          <t>andien | talent/event</t>
        </is>
      </c>
    </row>
    <row r="484">
      <c r="A484" t="n">
        <v>480</v>
      </c>
      <c r="B484" t="inlineStr">
        <is>
          <t>🎤 TALENT DB</t>
        </is>
      </c>
      <c r="C484" t="n">
        <v>12</v>
      </c>
      <c r="D484" t="inlineStr">
        <is>
          <t>Talent DB</t>
        </is>
      </c>
      <c r="F484" t="inlineStr">
        <is>
          <t>Talent &amp; Entertainment</t>
        </is>
      </c>
      <c r="G484" t="inlineStr">
        <is>
          <t>Band/Solo</t>
        </is>
      </c>
      <c r="H484" t="inlineStr">
        <is>
          <t>Arash Buana</t>
        </is>
      </c>
      <c r="J484" t="inlineStr">
        <is>
          <t>talent/event</t>
        </is>
      </c>
      <c r="N484">
        <f>IF(COUNT(L484:M484)=0,"",AVERAGE(L484:M484))</f>
        <v/>
      </c>
      <c r="O484" t="n">
        <v>25000000</v>
      </c>
      <c r="P484" t="n">
        <v>25000000</v>
      </c>
      <c r="Q484">
        <f>IF(COUNT(O484:P484)=0,"",AVERAGE(O484:P484))</f>
        <v/>
      </c>
      <c r="R484">
        <f>IF(Q484&lt;&gt;"",Q484,IF(N484&lt;&gt;"",ROUND(N484*(1+$B$2),0),""))</f>
        <v/>
      </c>
      <c r="S484">
        <f>IF(AND(N484&lt;&gt;"",Q484&lt;&gt;"",N484&lt;&gt;0),(Q484-N484)/N484,"")</f>
        <v/>
      </c>
      <c r="T484" t="inlineStr">
        <is>
          <t>2025</t>
        </is>
      </c>
      <c r="V484" t="inlineStr">
        <is>
          <t>Talent DB</t>
        </is>
      </c>
      <c r="W484" t="inlineStr">
        <is>
          <t>Est. Riders: 7000000 | excl. pajak 2%</t>
        </is>
      </c>
      <c r="X484" t="inlineStr">
        <is>
          <t>OK</t>
        </is>
      </c>
      <c r="Y484" t="inlineStr">
        <is>
          <t>arash buana | talent/event</t>
        </is>
      </c>
    </row>
    <row r="485">
      <c r="A485" t="n">
        <v>481</v>
      </c>
      <c r="B485" t="inlineStr">
        <is>
          <t>🎤 TALENT DB</t>
        </is>
      </c>
      <c r="C485" t="n">
        <v>17</v>
      </c>
      <c r="D485" t="inlineStr">
        <is>
          <t>Talent DB</t>
        </is>
      </c>
      <c r="F485" t="inlineStr">
        <is>
          <t>Talent &amp; Entertainment</t>
        </is>
      </c>
      <c r="G485" t="inlineStr">
        <is>
          <t>Band/Solo</t>
        </is>
      </c>
      <c r="H485" t="inlineStr">
        <is>
          <t>Baiq Gita KDI</t>
        </is>
      </c>
      <c r="J485" t="inlineStr">
        <is>
          <t>talent/event</t>
        </is>
      </c>
      <c r="N485">
        <f>IF(COUNT(L485:M485)=0,"",AVERAGE(L485:M485))</f>
        <v/>
      </c>
      <c r="O485" t="n">
        <v>20000000</v>
      </c>
      <c r="P485" t="n">
        <v>20000000</v>
      </c>
      <c r="Q485">
        <f>IF(COUNT(O485:P485)=0,"",AVERAGE(O485:P485))</f>
        <v/>
      </c>
      <c r="R485">
        <f>IF(Q485&lt;&gt;"",Q485,IF(N485&lt;&gt;"",ROUND(N485*(1+$B$2),0),""))</f>
        <v/>
      </c>
      <c r="S485">
        <f>IF(AND(N485&lt;&gt;"",Q485&lt;&gt;"",N485&lt;&gt;0),(Q485-N485)/N485,"")</f>
        <v/>
      </c>
      <c r="T485" t="inlineStr">
        <is>
          <t>2025</t>
        </is>
      </c>
      <c r="V485" t="inlineStr">
        <is>
          <t>Talent DB</t>
        </is>
      </c>
      <c r="W485" t="inlineStr">
        <is>
          <t>Est. Riders: 5000000</t>
        </is>
      </c>
      <c r="X485" t="inlineStr">
        <is>
          <t>OK</t>
        </is>
      </c>
      <c r="Y485" t="inlineStr">
        <is>
          <t>baiq gita kdi | talent/event</t>
        </is>
      </c>
    </row>
    <row r="486">
      <c r="A486" t="n">
        <v>482</v>
      </c>
      <c r="B486" t="inlineStr">
        <is>
          <t>🎤 TALENT DB</t>
        </is>
      </c>
      <c r="C486" t="n">
        <v>18</v>
      </c>
      <c r="D486" t="inlineStr">
        <is>
          <t>Talent DB</t>
        </is>
      </c>
      <c r="F486" t="inlineStr">
        <is>
          <t>Talent &amp; Entertainment</t>
        </is>
      </c>
      <c r="G486" t="inlineStr">
        <is>
          <t>Band/Solo</t>
        </is>
      </c>
      <c r="H486" t="inlineStr">
        <is>
          <t>Difarina Indra</t>
        </is>
      </c>
      <c r="J486" t="inlineStr">
        <is>
          <t>talent/event</t>
        </is>
      </c>
      <c r="N486">
        <f>IF(COUNT(L486:M486)=0,"",AVERAGE(L486:M486))</f>
        <v/>
      </c>
      <c r="O486" t="n">
        <v>40000000</v>
      </c>
      <c r="P486" t="n">
        <v>40000000</v>
      </c>
      <c r="Q486">
        <f>IF(COUNT(O486:P486)=0,"",AVERAGE(O486:P486))</f>
        <v/>
      </c>
      <c r="R486">
        <f>IF(Q486&lt;&gt;"",Q486,IF(N486&lt;&gt;"",ROUND(N486*(1+$B$2),0),""))</f>
        <v/>
      </c>
      <c r="S486">
        <f>IF(AND(N486&lt;&gt;"",Q486&lt;&gt;"",N486&lt;&gt;0),(Q486-N486)/N486,"")</f>
        <v/>
      </c>
      <c r="T486" t="inlineStr">
        <is>
          <t>2025</t>
        </is>
      </c>
      <c r="V486" t="inlineStr">
        <is>
          <t>Talent DB</t>
        </is>
      </c>
      <c r="W486" t="inlineStr">
        <is>
          <t>Est. Riders: 10000000 | riders tiket PP 3 org + hotel 2 kamar</t>
        </is>
      </c>
      <c r="X486" t="inlineStr">
        <is>
          <t>OK</t>
        </is>
      </c>
      <c r="Y486" t="inlineStr">
        <is>
          <t>difarina indra | talent/event</t>
        </is>
      </c>
    </row>
    <row r="487">
      <c r="A487" t="n">
        <v>483</v>
      </c>
      <c r="B487" t="inlineStr">
        <is>
          <t>🎤 TALENT DB</t>
        </is>
      </c>
      <c r="C487" t="n">
        <v>16</v>
      </c>
      <c r="D487" t="inlineStr">
        <is>
          <t>Talent DB</t>
        </is>
      </c>
      <c r="F487" t="inlineStr">
        <is>
          <t>Talent &amp; Entertainment</t>
        </is>
      </c>
      <c r="G487" t="inlineStr">
        <is>
          <t>Band/Solo</t>
        </is>
      </c>
      <c r="H487" t="inlineStr">
        <is>
          <t>Donne Maula</t>
        </is>
      </c>
      <c r="J487" t="inlineStr">
        <is>
          <t>talent/event</t>
        </is>
      </c>
      <c r="N487">
        <f>IF(COUNT(L487:M487)=0,"",AVERAGE(L487:M487))</f>
        <v/>
      </c>
      <c r="O487" t="n">
        <v>45000000</v>
      </c>
      <c r="P487" t="n">
        <v>45000000</v>
      </c>
      <c r="Q487">
        <f>IF(COUNT(O487:P487)=0,"",AVERAGE(O487:P487))</f>
        <v/>
      </c>
      <c r="R487">
        <f>IF(Q487&lt;&gt;"",Q487,IF(N487&lt;&gt;"",ROUND(N487*(1+$B$2),0),""))</f>
        <v/>
      </c>
      <c r="S487">
        <f>IF(AND(N487&lt;&gt;"",Q487&lt;&gt;"",N487&lt;&gt;0),(Q487-N487)/N487,"")</f>
        <v/>
      </c>
      <c r="T487" t="inlineStr">
        <is>
          <t>2025</t>
        </is>
      </c>
      <c r="V487" t="inlineStr">
        <is>
          <t>Talent DB</t>
        </is>
      </c>
      <c r="W487" t="inlineStr">
        <is>
          <t>Est. Riders: 8000000</t>
        </is>
      </c>
      <c r="X487" t="inlineStr">
        <is>
          <t>OK</t>
        </is>
      </c>
      <c r="Y487" t="inlineStr">
        <is>
          <t>donne maula | talent/event</t>
        </is>
      </c>
    </row>
    <row r="488">
      <c r="A488" t="n">
        <v>484</v>
      </c>
      <c r="B488" t="inlineStr">
        <is>
          <t>🎤 TALENT DB</t>
        </is>
      </c>
      <c r="C488" t="n">
        <v>28</v>
      </c>
      <c r="D488" t="inlineStr">
        <is>
          <t>Talent DB</t>
        </is>
      </c>
      <c r="F488" t="inlineStr">
        <is>
          <t>Talent &amp; Entertainment</t>
        </is>
      </c>
      <c r="G488" t="inlineStr">
        <is>
          <t>Band/Solo</t>
        </is>
      </c>
      <c r="H488" t="inlineStr">
        <is>
          <t>Eva Celia</t>
        </is>
      </c>
      <c r="J488" t="inlineStr">
        <is>
          <t>talent/event</t>
        </is>
      </c>
      <c r="N488">
        <f>IF(COUNT(L488:M488)=0,"",AVERAGE(L488:M488))</f>
        <v/>
      </c>
      <c r="O488" t="n">
        <v>85000000</v>
      </c>
      <c r="P488" t="n">
        <v>85000000</v>
      </c>
      <c r="Q488">
        <f>IF(COUNT(O488:P488)=0,"",AVERAGE(O488:P488))</f>
        <v/>
      </c>
      <c r="R488">
        <f>IF(Q488&lt;&gt;"",Q488,IF(N488&lt;&gt;"",ROUND(N488*(1+$B$2),0),""))</f>
        <v/>
      </c>
      <c r="S488">
        <f>IF(AND(N488&lt;&gt;"",Q488&lt;&gt;"",N488&lt;&gt;0),(Q488-N488)/N488,"")</f>
        <v/>
      </c>
      <c r="T488" t="inlineStr">
        <is>
          <t>2025</t>
        </is>
      </c>
      <c r="V488" t="inlineStr">
        <is>
          <t>Talent DB</t>
        </is>
      </c>
      <c r="W488" t="inlineStr">
        <is>
          <t>Est. Riders: 25000000 | waktu tampil 30-45 menit</t>
        </is>
      </c>
      <c r="X488" t="inlineStr">
        <is>
          <t>OK</t>
        </is>
      </c>
      <c r="Y488" t="inlineStr">
        <is>
          <t>eva celia | talent/event</t>
        </is>
      </c>
    </row>
    <row r="489">
      <c r="A489" t="n">
        <v>485</v>
      </c>
      <c r="B489" t="inlineStr">
        <is>
          <t>🎤 TALENT DB</t>
        </is>
      </c>
      <c r="C489" t="n">
        <v>23</v>
      </c>
      <c r="D489" t="inlineStr">
        <is>
          <t>Talent DB</t>
        </is>
      </c>
      <c r="F489" t="inlineStr">
        <is>
          <t>Talent &amp; Entertainment</t>
        </is>
      </c>
      <c r="G489" t="inlineStr">
        <is>
          <t>Band/Solo</t>
        </is>
      </c>
      <c r="H489" t="inlineStr">
        <is>
          <t>Ghea Indrawari</t>
        </is>
      </c>
      <c r="J489" t="inlineStr">
        <is>
          <t>talent/event</t>
        </is>
      </c>
      <c r="N489">
        <f>IF(COUNT(L489:M489)=0,"",AVERAGE(L489:M489))</f>
        <v/>
      </c>
      <c r="O489" t="n">
        <v>70000000</v>
      </c>
      <c r="P489" t="n">
        <v>70000000</v>
      </c>
      <c r="Q489">
        <f>IF(COUNT(O489:P489)=0,"",AVERAGE(O489:P489))</f>
        <v/>
      </c>
      <c r="R489">
        <f>IF(Q489&lt;&gt;"",Q489,IF(N489&lt;&gt;"",ROUND(N489*(1+$B$2),0),""))</f>
        <v/>
      </c>
      <c r="S489">
        <f>IF(AND(N489&lt;&gt;"",Q489&lt;&gt;"",N489&lt;&gt;0),(Q489-N489)/N489,"")</f>
        <v/>
      </c>
      <c r="T489" t="inlineStr">
        <is>
          <t>2025</t>
        </is>
      </c>
      <c r="V489" t="inlineStr">
        <is>
          <t>Talent DB</t>
        </is>
      </c>
      <c r="W489" t="inlineStr">
        <is>
          <t>Est. Riders: 15000000</t>
        </is>
      </c>
      <c r="X489" t="inlineStr">
        <is>
          <t>OK</t>
        </is>
      </c>
      <c r="Y489" t="inlineStr">
        <is>
          <t>ghea indrawari | talent/event</t>
        </is>
      </c>
    </row>
    <row r="490">
      <c r="A490" t="n">
        <v>486</v>
      </c>
      <c r="B490" t="inlineStr">
        <is>
          <t>🎤 TALENT DB</t>
        </is>
      </c>
      <c r="C490" t="n">
        <v>19</v>
      </c>
      <c r="D490" t="inlineStr">
        <is>
          <t>Talent DB</t>
        </is>
      </c>
      <c r="F490" t="inlineStr">
        <is>
          <t>Talent &amp; Entertainment</t>
        </is>
      </c>
      <c r="G490" t="inlineStr">
        <is>
          <t>Band/Solo</t>
        </is>
      </c>
      <c r="H490" t="inlineStr">
        <is>
          <t>Idgitaf</t>
        </is>
      </c>
      <c r="J490" t="inlineStr">
        <is>
          <t>talent/event</t>
        </is>
      </c>
      <c r="N490">
        <f>IF(COUNT(L490:M490)=0,"",AVERAGE(L490:M490))</f>
        <v/>
      </c>
      <c r="O490" t="n">
        <v>55000000</v>
      </c>
      <c r="P490" t="n">
        <v>55000000</v>
      </c>
      <c r="Q490">
        <f>IF(COUNT(O490:P490)=0,"",AVERAGE(O490:P490))</f>
        <v/>
      </c>
      <c r="R490">
        <f>IF(Q490&lt;&gt;"",Q490,IF(N490&lt;&gt;"",ROUND(N490*(1+$B$2),0),""))</f>
        <v/>
      </c>
      <c r="S490">
        <f>IF(AND(N490&lt;&gt;"",Q490&lt;&gt;"",N490&lt;&gt;0),(Q490-N490)/N490,"")</f>
        <v/>
      </c>
      <c r="T490" t="inlineStr">
        <is>
          <t>2025</t>
        </is>
      </c>
      <c r="V490" t="inlineStr">
        <is>
          <t>Talent DB</t>
        </is>
      </c>
      <c r="W490" t="inlineStr">
        <is>
          <t>Est. Riders: 10000000</t>
        </is>
      </c>
      <c r="X490" t="inlineStr">
        <is>
          <t>OK</t>
        </is>
      </c>
      <c r="Y490" t="inlineStr">
        <is>
          <t>idgitaf | talent/event</t>
        </is>
      </c>
    </row>
    <row r="491">
      <c r="A491" t="n">
        <v>487</v>
      </c>
      <c r="B491" t="inlineStr">
        <is>
          <t>🎤 TALENT DB</t>
        </is>
      </c>
      <c r="C491" t="n">
        <v>29</v>
      </c>
      <c r="D491" t="inlineStr">
        <is>
          <t>Talent DB</t>
        </is>
      </c>
      <c r="F491" t="inlineStr">
        <is>
          <t>Talent &amp; Entertainment</t>
        </is>
      </c>
      <c r="G491" t="inlineStr">
        <is>
          <t>Band/Solo</t>
        </is>
      </c>
      <c r="H491" t="inlineStr">
        <is>
          <t>Marcello Tahitoe</t>
        </is>
      </c>
      <c r="J491" t="inlineStr">
        <is>
          <t>talent/event</t>
        </is>
      </c>
      <c r="N491">
        <f>IF(COUNT(L491:M491)=0,"",AVERAGE(L491:M491))</f>
        <v/>
      </c>
      <c r="O491" t="n">
        <v>90000000</v>
      </c>
      <c r="P491" t="n">
        <v>90000000</v>
      </c>
      <c r="Q491">
        <f>IF(COUNT(O491:P491)=0,"",AVERAGE(O491:P491))</f>
        <v/>
      </c>
      <c r="R491">
        <f>IF(Q491&lt;&gt;"",Q491,IF(N491&lt;&gt;"",ROUND(N491*(1+$B$2),0),""))</f>
        <v/>
      </c>
      <c r="S491">
        <f>IF(AND(N491&lt;&gt;"",Q491&lt;&gt;"",N491&lt;&gt;0),(Q491-N491)/N491,"")</f>
        <v/>
      </c>
      <c r="T491" t="inlineStr">
        <is>
          <t>2025</t>
        </is>
      </c>
      <c r="V491" t="inlineStr">
        <is>
          <t>Talent DB</t>
        </is>
      </c>
      <c r="W491" t="inlineStr">
        <is>
          <t>Est. Riders: 40000000 | royalty fee + on air license</t>
        </is>
      </c>
      <c r="X491" t="inlineStr">
        <is>
          <t>OK</t>
        </is>
      </c>
      <c r="Y491" t="inlineStr">
        <is>
          <t>marcello tahitoe | talent/event</t>
        </is>
      </c>
    </row>
    <row r="492">
      <c r="A492" t="n">
        <v>488</v>
      </c>
      <c r="B492" t="inlineStr">
        <is>
          <t>🎤 TALENT DB</t>
        </is>
      </c>
      <c r="C492" t="n">
        <v>24</v>
      </c>
      <c r="D492" t="inlineStr">
        <is>
          <t>Talent DB</t>
        </is>
      </c>
      <c r="F492" t="inlineStr">
        <is>
          <t>Talent &amp; Entertainment</t>
        </is>
      </c>
      <c r="G492" t="inlineStr">
        <is>
          <t>Band/Solo</t>
        </is>
      </c>
      <c r="H492" t="inlineStr">
        <is>
          <t>Nadin Amizah</t>
        </is>
      </c>
      <c r="J492" t="inlineStr">
        <is>
          <t>talent/event</t>
        </is>
      </c>
      <c r="N492">
        <f>IF(COUNT(L492:M492)=0,"",AVERAGE(L492:M492))</f>
        <v/>
      </c>
      <c r="O492" t="n">
        <v>70000000</v>
      </c>
      <c r="P492" t="n">
        <v>70000000</v>
      </c>
      <c r="Q492">
        <f>IF(COUNT(O492:P492)=0,"",AVERAGE(O492:P492))</f>
        <v/>
      </c>
      <c r="R492">
        <f>IF(Q492&lt;&gt;"",Q492,IF(N492&lt;&gt;"",ROUND(N492*(1+$B$2),0),""))</f>
        <v/>
      </c>
      <c r="S492">
        <f>IF(AND(N492&lt;&gt;"",Q492&lt;&gt;"",N492&lt;&gt;0),(Q492-N492)/N492,"")</f>
        <v/>
      </c>
      <c r="T492" t="inlineStr">
        <is>
          <t>2025</t>
        </is>
      </c>
      <c r="V492" t="inlineStr">
        <is>
          <t>Talent DB</t>
        </is>
      </c>
      <c r="W492" t="inlineStr">
        <is>
          <t>Est. Riders: 18000000</t>
        </is>
      </c>
      <c r="X492" t="inlineStr">
        <is>
          <t>OK</t>
        </is>
      </c>
      <c r="Y492" t="inlineStr">
        <is>
          <t>nadin amizah | talent/event</t>
        </is>
      </c>
    </row>
    <row r="493">
      <c r="A493" t="n">
        <v>489</v>
      </c>
      <c r="B493" t="inlineStr">
        <is>
          <t>🎤 TALENT DB</t>
        </is>
      </c>
      <c r="C493" t="n">
        <v>14</v>
      </c>
      <c r="D493" t="inlineStr">
        <is>
          <t>Talent DB</t>
        </is>
      </c>
      <c r="F493" t="inlineStr">
        <is>
          <t>Talent &amp; Entertainment</t>
        </is>
      </c>
      <c r="G493" t="inlineStr">
        <is>
          <t>Band/Solo</t>
        </is>
      </c>
      <c r="H493" t="inlineStr">
        <is>
          <t>Oza Rangkuti</t>
        </is>
      </c>
      <c r="J493" t="inlineStr">
        <is>
          <t>talent/event</t>
        </is>
      </c>
      <c r="N493">
        <f>IF(COUNT(L493:M493)=0,"",AVERAGE(L493:M493))</f>
        <v/>
      </c>
      <c r="O493" t="n">
        <v>30000000</v>
      </c>
      <c r="P493" t="n">
        <v>30000000</v>
      </c>
      <c r="Q493">
        <f>IF(COUNT(O493:P493)=0,"",AVERAGE(O493:P493))</f>
        <v/>
      </c>
      <c r="R493">
        <f>IF(Q493&lt;&gt;"",Q493,IF(N493&lt;&gt;"",ROUND(N493*(1+$B$2),0),""))</f>
        <v/>
      </c>
      <c r="S493">
        <f>IF(AND(N493&lt;&gt;"",Q493&lt;&gt;"",N493&lt;&gt;0),(Q493-N493)/N493,"")</f>
        <v/>
      </c>
      <c r="T493" t="inlineStr">
        <is>
          <t>2025</t>
        </is>
      </c>
      <c r="V493" t="inlineStr">
        <is>
          <t>Talent DB</t>
        </is>
      </c>
      <c r="W493" t="inlineStr">
        <is>
          <t>Est. Riders: 5000000 | incl. on air license + post IG Feed 5jt</t>
        </is>
      </c>
      <c r="X493" t="inlineStr">
        <is>
          <t>OK</t>
        </is>
      </c>
      <c r="Y493" t="inlineStr">
        <is>
          <t>oza rangkuti | talent/event</t>
        </is>
      </c>
    </row>
    <row r="494">
      <c r="A494" t="n">
        <v>490</v>
      </c>
      <c r="B494" t="inlineStr">
        <is>
          <t>🎤 TALENT DB</t>
        </is>
      </c>
      <c r="C494" t="n">
        <v>11</v>
      </c>
      <c r="D494" t="inlineStr">
        <is>
          <t>Talent DB</t>
        </is>
      </c>
      <c r="F494" t="inlineStr">
        <is>
          <t>Talent &amp; Entertainment</t>
        </is>
      </c>
      <c r="G494" t="inlineStr">
        <is>
          <t>Band/Solo</t>
        </is>
      </c>
      <c r="H494" t="inlineStr">
        <is>
          <t>Panji Sakti</t>
        </is>
      </c>
      <c r="J494" t="inlineStr">
        <is>
          <t>talent/event</t>
        </is>
      </c>
      <c r="N494">
        <f>IF(COUNT(L494:M494)=0,"",AVERAGE(L494:M494))</f>
        <v/>
      </c>
      <c r="O494" t="n">
        <v>15000000</v>
      </c>
      <c r="P494" t="n">
        <v>15000000</v>
      </c>
      <c r="Q494">
        <f>IF(COUNT(O494:P494)=0,"",AVERAGE(O494:P494))</f>
        <v/>
      </c>
      <c r="R494">
        <f>IF(Q494&lt;&gt;"",Q494,IF(N494&lt;&gt;"",ROUND(N494*(1+$B$2),0),""))</f>
        <v/>
      </c>
      <c r="S494">
        <f>IF(AND(N494&lt;&gt;"",Q494&lt;&gt;"",N494&lt;&gt;0),(Q494-N494)/N494,"")</f>
        <v/>
      </c>
      <c r="T494" t="inlineStr">
        <is>
          <t>2025</t>
        </is>
      </c>
      <c r="V494" t="inlineStr">
        <is>
          <t>Talent DB</t>
        </is>
      </c>
      <c r="W494" t="inlineStr">
        <is>
          <t>Est. Riders: 8000000 | incl. transportasi Bandung-JKT PP</t>
        </is>
      </c>
      <c r="X494" t="inlineStr">
        <is>
          <t>OK</t>
        </is>
      </c>
      <c r="Y494" t="inlineStr">
        <is>
          <t>panji sakti | talent/event</t>
        </is>
      </c>
    </row>
    <row r="495">
      <c r="A495" t="n">
        <v>491</v>
      </c>
      <c r="B495" t="inlineStr">
        <is>
          <t>🎤 TALENT DB</t>
        </is>
      </c>
      <c r="C495" t="n">
        <v>22</v>
      </c>
      <c r="D495" t="inlineStr">
        <is>
          <t>Talent DB</t>
        </is>
      </c>
      <c r="F495" t="inlineStr">
        <is>
          <t>Talent &amp; Entertainment</t>
        </is>
      </c>
      <c r="G495" t="inlineStr">
        <is>
          <t>Band/Solo</t>
        </is>
      </c>
      <c r="H495" t="inlineStr">
        <is>
          <t>Raissa Anggiani</t>
        </is>
      </c>
      <c r="J495" t="inlineStr">
        <is>
          <t>talent/event</t>
        </is>
      </c>
      <c r="N495">
        <f>IF(COUNT(L495:M495)=0,"",AVERAGE(L495:M495))</f>
        <v/>
      </c>
      <c r="O495" t="n">
        <v>65000000</v>
      </c>
      <c r="P495" t="n">
        <v>65000000</v>
      </c>
      <c r="Q495">
        <f>IF(COUNT(O495:P495)=0,"",AVERAGE(O495:P495))</f>
        <v/>
      </c>
      <c r="R495">
        <f>IF(Q495&lt;&gt;"",Q495,IF(N495&lt;&gt;"",ROUND(N495*(1+$B$2),0),""))</f>
        <v/>
      </c>
      <c r="S495">
        <f>IF(AND(N495&lt;&gt;"",Q495&lt;&gt;"",N495&lt;&gt;0),(Q495-N495)/N495,"")</f>
        <v/>
      </c>
      <c r="T495" t="inlineStr">
        <is>
          <t>2025</t>
        </is>
      </c>
      <c r="V495" t="inlineStr">
        <is>
          <t>Talent DB</t>
        </is>
      </c>
      <c r="W495" t="inlineStr">
        <is>
          <t>Est. Riders: 15000000</t>
        </is>
      </c>
      <c r="X495" t="inlineStr">
        <is>
          <t>OK</t>
        </is>
      </c>
      <c r="Y495" t="inlineStr">
        <is>
          <t>raissa anggiani | talent/event</t>
        </is>
      </c>
    </row>
    <row r="496">
      <c r="A496" t="n">
        <v>492</v>
      </c>
      <c r="B496" t="inlineStr">
        <is>
          <t>🎤 TALENT DB</t>
        </is>
      </c>
      <c r="C496" t="n">
        <v>15</v>
      </c>
      <c r="D496" t="inlineStr">
        <is>
          <t>Talent DB</t>
        </is>
      </c>
      <c r="F496" t="inlineStr">
        <is>
          <t>Talent &amp; Entertainment</t>
        </is>
      </c>
      <c r="G496" t="inlineStr">
        <is>
          <t>Band/Solo</t>
        </is>
      </c>
      <c r="H496" t="inlineStr">
        <is>
          <t>Sastra Silalahi</t>
        </is>
      </c>
      <c r="J496" t="inlineStr">
        <is>
          <t>talent/event</t>
        </is>
      </c>
      <c r="N496">
        <f>IF(COUNT(L496:M496)=0,"",AVERAGE(L496:M496))</f>
        <v/>
      </c>
      <c r="O496" t="n">
        <v>22000000</v>
      </c>
      <c r="P496" t="n">
        <v>22000000</v>
      </c>
      <c r="Q496">
        <f>IF(COUNT(O496:P496)=0,"",AVERAGE(O496:P496))</f>
        <v/>
      </c>
      <c r="R496">
        <f>IF(Q496&lt;&gt;"",Q496,IF(N496&lt;&gt;"",ROUND(N496*(1+$B$2),0),""))</f>
        <v/>
      </c>
      <c r="S496">
        <f>IF(AND(N496&lt;&gt;"",Q496&lt;&gt;"",N496&lt;&gt;0),(Q496-N496)/N496,"")</f>
        <v/>
      </c>
      <c r="T496" t="inlineStr">
        <is>
          <t>2025</t>
        </is>
      </c>
      <c r="V496" t="inlineStr">
        <is>
          <t>Talent DB</t>
        </is>
      </c>
      <c r="W496" t="inlineStr">
        <is>
          <t>Est. Riders: 5000000</t>
        </is>
      </c>
      <c r="X496" t="inlineStr">
        <is>
          <t>OK</t>
        </is>
      </c>
      <c r="Y496" t="inlineStr">
        <is>
          <t>sastra silalahi | talent/event</t>
        </is>
      </c>
    </row>
    <row r="497">
      <c r="A497" t="n">
        <v>493</v>
      </c>
      <c r="B497" t="inlineStr">
        <is>
          <t>🎤 TALENT DB</t>
        </is>
      </c>
      <c r="C497" t="n">
        <v>20</v>
      </c>
      <c r="D497" t="inlineStr">
        <is>
          <t>Talent DB</t>
        </is>
      </c>
      <c r="F497" t="inlineStr">
        <is>
          <t>Talent &amp; Entertainment</t>
        </is>
      </c>
      <c r="G497" t="inlineStr">
        <is>
          <t>Band/Solo</t>
        </is>
      </c>
      <c r="H497" t="inlineStr">
        <is>
          <t>Voice of Baceprot</t>
        </is>
      </c>
      <c r="J497" t="inlineStr">
        <is>
          <t>talent/event</t>
        </is>
      </c>
      <c r="N497">
        <f>IF(COUNT(L497:M497)=0,"",AVERAGE(L497:M497))</f>
        <v/>
      </c>
      <c r="O497" t="n">
        <v>55000000</v>
      </c>
      <c r="P497" t="n">
        <v>55000000</v>
      </c>
      <c r="Q497">
        <f>IF(COUNT(O497:P497)=0,"",AVERAGE(O497:P497))</f>
        <v/>
      </c>
      <c r="R497">
        <f>IF(Q497&lt;&gt;"",Q497,IF(N497&lt;&gt;"",ROUND(N497*(1+$B$2),0),""))</f>
        <v/>
      </c>
      <c r="S497">
        <f>IF(AND(N497&lt;&gt;"",Q497&lt;&gt;"",N497&lt;&gt;0),(Q497-N497)/N497,"")</f>
        <v/>
      </c>
      <c r="T497" t="inlineStr">
        <is>
          <t>2025</t>
        </is>
      </c>
      <c r="V497" t="inlineStr">
        <is>
          <t>Talent DB</t>
        </is>
      </c>
      <c r="W497" t="inlineStr">
        <is>
          <t>Est. Riders: 19000000 | incl. HIACE Garut-JKT PP</t>
        </is>
      </c>
      <c r="X497" t="inlineStr">
        <is>
          <t>OK</t>
        </is>
      </c>
      <c r="Y497" t="inlineStr">
        <is>
          <t>voice of baceprot | talent/event</t>
        </is>
      </c>
    </row>
    <row r="498">
      <c r="A498" t="n">
        <v>494</v>
      </c>
      <c r="B498" t="inlineStr">
        <is>
          <t>🎤 TALENT DB</t>
        </is>
      </c>
      <c r="C498" t="n">
        <v>13</v>
      </c>
      <c r="D498" t="inlineStr">
        <is>
          <t>Talent DB</t>
        </is>
      </c>
      <c r="F498" t="inlineStr">
        <is>
          <t>Talent &amp; Entertainment</t>
        </is>
      </c>
      <c r="G498" t="inlineStr">
        <is>
          <t>Band/Solo</t>
        </is>
      </c>
      <c r="H498" t="inlineStr">
        <is>
          <t>Yusril Fahriza</t>
        </is>
      </c>
      <c r="J498" t="inlineStr">
        <is>
          <t>talent/event</t>
        </is>
      </c>
      <c r="N498">
        <f>IF(COUNT(L498:M498)=0,"",AVERAGE(L498:M498))</f>
        <v/>
      </c>
      <c r="O498" t="n">
        <v>20000000</v>
      </c>
      <c r="P498" t="n">
        <v>20000000</v>
      </c>
      <c r="Q498">
        <f>IF(COUNT(O498:P498)=0,"",AVERAGE(O498:P498))</f>
        <v/>
      </c>
      <c r="R498">
        <f>IF(Q498&lt;&gt;"",Q498,IF(N498&lt;&gt;"",ROUND(N498*(1+$B$2),0),""))</f>
        <v/>
      </c>
      <c r="S498">
        <f>IF(AND(N498&lt;&gt;"",Q498&lt;&gt;"",N498&lt;&gt;0),(Q498-N498)/N498,"")</f>
        <v/>
      </c>
      <c r="T498" t="inlineStr">
        <is>
          <t>2025</t>
        </is>
      </c>
      <c r="V498" t="inlineStr">
        <is>
          <t>Talent DB</t>
        </is>
      </c>
      <c r="W498" t="inlineStr">
        <is>
          <t>Est. Riders: 5000000 | incl. on air license 5jt</t>
        </is>
      </c>
      <c r="X498" t="inlineStr">
        <is>
          <t>OK</t>
        </is>
      </c>
      <c r="Y498" t="inlineStr">
        <is>
          <t>yusril fahriza | talent/event</t>
        </is>
      </c>
    </row>
    <row r="499">
      <c r="A499" t="n">
        <v>495</v>
      </c>
      <c r="B499" t="inlineStr">
        <is>
          <t>🎤 TALENT DB</t>
        </is>
      </c>
      <c r="C499" t="n">
        <v>33</v>
      </c>
      <c r="D499" t="inlineStr">
        <is>
          <t>Talent DB</t>
        </is>
      </c>
      <c r="F499" t="inlineStr">
        <is>
          <t>Talent &amp; Entertainment</t>
        </is>
      </c>
      <c r="G499" t="inlineStr">
        <is>
          <t>Band/Solo</t>
        </is>
      </c>
      <c r="H499" t="inlineStr">
        <is>
          <t>Ziva Magnolya</t>
        </is>
      </c>
      <c r="J499" t="inlineStr">
        <is>
          <t>talent/event</t>
        </is>
      </c>
      <c r="N499">
        <f>IF(COUNT(L499:M499)=0,"",AVERAGE(L499:M499))</f>
        <v/>
      </c>
      <c r="O499" t="n">
        <v>145000000</v>
      </c>
      <c r="P499" t="n">
        <v>145000000</v>
      </c>
      <c r="Q499">
        <f>IF(COUNT(O499:P499)=0,"",AVERAGE(O499:P499))</f>
        <v/>
      </c>
      <c r="R499">
        <f>IF(Q499&lt;&gt;"",Q499,IF(N499&lt;&gt;"",ROUND(N499*(1+$B$2),0),""))</f>
        <v/>
      </c>
      <c r="S499">
        <f>IF(AND(N499&lt;&gt;"",Q499&lt;&gt;"",N499&lt;&gt;0),(Q499-N499)/N499,"")</f>
        <v/>
      </c>
      <c r="T499" t="inlineStr">
        <is>
          <t>2025</t>
        </is>
      </c>
      <c r="V499" t="inlineStr">
        <is>
          <t>Talent DB</t>
        </is>
      </c>
      <c r="W499" t="inlineStr">
        <is>
          <t>Est. Riders: 35000000</t>
        </is>
      </c>
      <c r="X499" t="inlineStr">
        <is>
          <t>OK</t>
        </is>
      </c>
      <c r="Y499" t="inlineStr">
        <is>
          <t>ziva magnolya | talent/event</t>
        </is>
      </c>
    </row>
    <row r="500">
      <c r="A500" t="n">
        <v>496</v>
      </c>
      <c r="B500" t="inlineStr">
        <is>
          <t>🎤 TALENT DB</t>
        </is>
      </c>
      <c r="C500" t="n">
        <v>27</v>
      </c>
      <c r="D500" t="inlineStr">
        <is>
          <t>Talent DB</t>
        </is>
      </c>
      <c r="F500" t="inlineStr">
        <is>
          <t>Talent &amp; Entertainment</t>
        </is>
      </c>
      <c r="G500" t="inlineStr">
        <is>
          <t>Komedi/MC</t>
        </is>
      </c>
      <c r="H500" t="inlineStr">
        <is>
          <t>Boris Bokir</t>
        </is>
      </c>
      <c r="J500" t="inlineStr">
        <is>
          <t>talent/event</t>
        </is>
      </c>
      <c r="N500">
        <f>IF(COUNT(L500:M500)=0,"",AVERAGE(L500:M500))</f>
        <v/>
      </c>
      <c r="O500" t="n">
        <v>55000000</v>
      </c>
      <c r="P500" t="n">
        <v>55000000</v>
      </c>
      <c r="Q500">
        <f>IF(COUNT(O500:P500)=0,"",AVERAGE(O500:P500))</f>
        <v/>
      </c>
      <c r="R500">
        <f>IF(Q500&lt;&gt;"",Q500,IF(N500&lt;&gt;"",ROUND(N500*(1+$B$2),0),""))</f>
        <v/>
      </c>
      <c r="S500">
        <f>IF(AND(N500&lt;&gt;"",Q500&lt;&gt;"",N500&lt;&gt;0),(Q500-N500)/N500,"")</f>
        <v/>
      </c>
      <c r="T500" t="inlineStr">
        <is>
          <t>2025</t>
        </is>
      </c>
      <c r="V500" t="inlineStr">
        <is>
          <t>Talent DB</t>
        </is>
      </c>
      <c r="W500" t="inlineStr">
        <is>
          <t>Est. Riders: 10000000</t>
        </is>
      </c>
      <c r="X500" t="inlineStr">
        <is>
          <t>OK</t>
        </is>
      </c>
      <c r="Y500" t="inlineStr">
        <is>
          <t>boris bokir | talent/event</t>
        </is>
      </c>
    </row>
    <row r="501">
      <c r="A501" t="n">
        <v>497</v>
      </c>
      <c r="B501" t="inlineStr">
        <is>
          <t>🎤 TALENT DB</t>
        </is>
      </c>
      <c r="C501" t="n">
        <v>8</v>
      </c>
      <c r="D501" t="inlineStr">
        <is>
          <t>Talent DB</t>
        </is>
      </c>
      <c r="F501" t="inlineStr">
        <is>
          <t>Talent &amp; Entertainment</t>
        </is>
      </c>
      <c r="G501" t="inlineStr">
        <is>
          <t>MC</t>
        </is>
      </c>
      <c r="H501" t="inlineStr">
        <is>
          <t>Aditya Permana (Godit)</t>
        </is>
      </c>
      <c r="J501" t="inlineStr">
        <is>
          <t>talent/event</t>
        </is>
      </c>
      <c r="N501">
        <f>IF(COUNT(L501:M501)=0,"",AVERAGE(L501:M501))</f>
        <v/>
      </c>
      <c r="O501" t="n">
        <v>10000000</v>
      </c>
      <c r="P501" t="n">
        <v>10000000</v>
      </c>
      <c r="Q501">
        <f>IF(COUNT(O501:P501)=0,"",AVERAGE(O501:P501))</f>
        <v/>
      </c>
      <c r="R501">
        <f>IF(Q501&lt;&gt;"",Q501,IF(N501&lt;&gt;"",ROUND(N501*(1+$B$2),0),""))</f>
        <v/>
      </c>
      <c r="S501">
        <f>IF(AND(N501&lt;&gt;"",Q501&lt;&gt;"",N501&lt;&gt;0),(Q501-N501)/N501,"")</f>
        <v/>
      </c>
      <c r="T501" t="inlineStr">
        <is>
          <t>2025</t>
        </is>
      </c>
      <c r="V501" t="inlineStr">
        <is>
          <t>Talent DB</t>
        </is>
      </c>
      <c r="W501" t="inlineStr">
        <is>
          <t>Est. Riders: 5000000</t>
        </is>
      </c>
      <c r="X501" t="inlineStr">
        <is>
          <t>OK</t>
        </is>
      </c>
      <c r="Y501" t="inlineStr">
        <is>
          <t>aditya permana (godit) | talent/event</t>
        </is>
      </c>
    </row>
    <row r="502">
      <c r="A502" t="n">
        <v>498</v>
      </c>
      <c r="B502" t="inlineStr">
        <is>
          <t>🎤 TALENT DB</t>
        </is>
      </c>
      <c r="C502" t="n">
        <v>7</v>
      </c>
      <c r="D502" t="inlineStr">
        <is>
          <t>Talent DB</t>
        </is>
      </c>
      <c r="F502" t="inlineStr">
        <is>
          <t>Talent &amp; Entertainment</t>
        </is>
      </c>
      <c r="G502" t="inlineStr">
        <is>
          <t>MC</t>
        </is>
      </c>
      <c r="H502" t="inlineStr">
        <is>
          <t>Angelique Tiara</t>
        </is>
      </c>
      <c r="J502" t="inlineStr">
        <is>
          <t>talent/event</t>
        </is>
      </c>
      <c r="N502">
        <f>IF(COUNT(L502:M502)=0,"",AVERAGE(L502:M502))</f>
        <v/>
      </c>
      <c r="O502" t="n">
        <v>10000000</v>
      </c>
      <c r="P502" t="n">
        <v>10000000</v>
      </c>
      <c r="Q502">
        <f>IF(COUNT(O502:P502)=0,"",AVERAGE(O502:P502))</f>
        <v/>
      </c>
      <c r="R502">
        <f>IF(Q502&lt;&gt;"",Q502,IF(N502&lt;&gt;"",ROUND(N502*(1+$B$2),0),""))</f>
        <v/>
      </c>
      <c r="S502">
        <f>IF(AND(N502&lt;&gt;"",Q502&lt;&gt;"",N502&lt;&gt;0),(Q502-N502)/N502,"")</f>
        <v/>
      </c>
      <c r="T502" t="inlineStr">
        <is>
          <t>2025</t>
        </is>
      </c>
      <c r="V502" t="inlineStr">
        <is>
          <t>Talent DB</t>
        </is>
      </c>
      <c r="W502" t="inlineStr">
        <is>
          <t>Est. Riders: 5000000</t>
        </is>
      </c>
      <c r="X502" t="inlineStr">
        <is>
          <t>OK</t>
        </is>
      </c>
      <c r="Y502" t="inlineStr">
        <is>
          <t>angelique tiara | talent/event</t>
        </is>
      </c>
    </row>
    <row r="503">
      <c r="A503" t="n">
        <v>499</v>
      </c>
      <c r="B503" t="inlineStr">
        <is>
          <t>🎤 TALENT DB</t>
        </is>
      </c>
      <c r="C503" t="n">
        <v>6</v>
      </c>
      <c r="D503" t="inlineStr">
        <is>
          <t>Talent DB</t>
        </is>
      </c>
      <c r="F503" t="inlineStr">
        <is>
          <t>Talent &amp; Entertainment</t>
        </is>
      </c>
      <c r="G503" t="inlineStr">
        <is>
          <t>MC</t>
        </is>
      </c>
      <c r="H503" t="inlineStr">
        <is>
          <t>Asabila Aprilia</t>
        </is>
      </c>
      <c r="J503" t="inlineStr">
        <is>
          <t>talent/event</t>
        </is>
      </c>
      <c r="N503">
        <f>IF(COUNT(L503:M503)=0,"",AVERAGE(L503:M503))</f>
        <v/>
      </c>
      <c r="O503" t="n">
        <v>10000000</v>
      </c>
      <c r="P503" t="n">
        <v>10000000</v>
      </c>
      <c r="Q503">
        <f>IF(COUNT(O503:P503)=0,"",AVERAGE(O503:P503))</f>
        <v/>
      </c>
      <c r="R503">
        <f>IF(Q503&lt;&gt;"",Q503,IF(N503&lt;&gt;"",ROUND(N503*(1+$B$2),0),""))</f>
        <v/>
      </c>
      <c r="S503">
        <f>IF(AND(N503&lt;&gt;"",Q503&lt;&gt;"",N503&lt;&gt;0),(Q503-N503)/N503,"")</f>
        <v/>
      </c>
      <c r="T503" t="inlineStr">
        <is>
          <t>2025</t>
        </is>
      </c>
      <c r="V503" t="inlineStr">
        <is>
          <t>Talent DB</t>
        </is>
      </c>
      <c r="W503" t="inlineStr">
        <is>
          <t>Est. Riders: 7000000 | MUA, hairdo, wardrobe, hotel</t>
        </is>
      </c>
      <c r="X503" t="inlineStr">
        <is>
          <t>OK</t>
        </is>
      </c>
      <c r="Y503" t="inlineStr">
        <is>
          <t>asabila aprilia | talent/event</t>
        </is>
      </c>
    </row>
    <row r="504">
      <c r="A504" t="n">
        <v>500</v>
      </c>
      <c r="B504" t="inlineStr">
        <is>
          <t>🎤 TALENT DB</t>
        </is>
      </c>
      <c r="C504" t="n">
        <v>4</v>
      </c>
      <c r="D504" t="inlineStr">
        <is>
          <t>Talent DB</t>
        </is>
      </c>
      <c r="F504" t="inlineStr">
        <is>
          <t>Talent &amp; Entertainment</t>
        </is>
      </c>
      <c r="G504" t="inlineStr">
        <is>
          <t>MC</t>
        </is>
      </c>
      <c r="H504" t="inlineStr">
        <is>
          <t>Bobbi Teguh</t>
        </is>
      </c>
      <c r="J504" t="inlineStr">
        <is>
          <t>talent/event</t>
        </is>
      </c>
      <c r="N504">
        <f>IF(COUNT(L504:M504)=0,"",AVERAGE(L504:M504))</f>
        <v/>
      </c>
      <c r="O504" t="n">
        <v>10000000</v>
      </c>
      <c r="P504" t="n">
        <v>10000000</v>
      </c>
      <c r="Q504">
        <f>IF(COUNT(O504:P504)=0,"",AVERAGE(O504:P504))</f>
        <v/>
      </c>
      <c r="R504">
        <f>IF(Q504&lt;&gt;"",Q504,IF(N504&lt;&gt;"",ROUND(N504*(1+$B$2),0),""))</f>
        <v/>
      </c>
      <c r="S504">
        <f>IF(AND(N504&lt;&gt;"",Q504&lt;&gt;"",N504&lt;&gt;0),(Q504-N504)/N504,"")</f>
        <v/>
      </c>
      <c r="T504" t="inlineStr">
        <is>
          <t>2025</t>
        </is>
      </c>
      <c r="V504" t="inlineStr">
        <is>
          <t>Talent DB</t>
        </is>
      </c>
      <c r="W504" t="inlineStr">
        <is>
          <t>Est. Riders: 7000000 | MUA, hairdo, wardrobe, hotel</t>
        </is>
      </c>
      <c r="X504" t="inlineStr">
        <is>
          <t>OK</t>
        </is>
      </c>
      <c r="Y504" t="inlineStr">
        <is>
          <t>bobbi teguh | talent/event</t>
        </is>
      </c>
    </row>
    <row r="505">
      <c r="A505" t="n">
        <v>501</v>
      </c>
      <c r="B505" t="inlineStr">
        <is>
          <t>🎤 TALENT DB</t>
        </is>
      </c>
      <c r="C505" t="n">
        <v>10</v>
      </c>
      <c r="D505" t="inlineStr">
        <is>
          <t>Talent DB</t>
        </is>
      </c>
      <c r="F505" t="inlineStr">
        <is>
          <t>Talent &amp; Entertainment</t>
        </is>
      </c>
      <c r="G505" t="inlineStr">
        <is>
          <t>MC</t>
        </is>
      </c>
      <c r="H505" t="inlineStr">
        <is>
          <t>Caesar Gunawan</t>
        </is>
      </c>
      <c r="J505" t="inlineStr">
        <is>
          <t>talent/event</t>
        </is>
      </c>
      <c r="N505">
        <f>IF(COUNT(L505:M505)=0,"",AVERAGE(L505:M505))</f>
        <v/>
      </c>
      <c r="O505" t="n">
        <v>20000000</v>
      </c>
      <c r="P505" t="n">
        <v>20000000</v>
      </c>
      <c r="Q505">
        <f>IF(COUNT(O505:P505)=0,"",AVERAGE(O505:P505))</f>
        <v/>
      </c>
      <c r="R505">
        <f>IF(Q505&lt;&gt;"",Q505,IF(N505&lt;&gt;"",ROUND(N505*(1+$B$2),0),""))</f>
        <v/>
      </c>
      <c r="S505">
        <f>IF(AND(N505&lt;&gt;"",Q505&lt;&gt;"",N505&lt;&gt;0),(Q505-N505)/N505,"")</f>
        <v/>
      </c>
      <c r="T505" t="inlineStr">
        <is>
          <t>2025</t>
        </is>
      </c>
      <c r="V505" t="inlineStr">
        <is>
          <t>Talent DB</t>
        </is>
      </c>
      <c r="W505" t="inlineStr">
        <is>
          <t>Est. Riders: 8000000 | Rate per 3 jam</t>
        </is>
      </c>
      <c r="X505" t="inlineStr">
        <is>
          <t>OK</t>
        </is>
      </c>
      <c r="Y505" t="inlineStr">
        <is>
          <t>caesar gunawan | talent/event</t>
        </is>
      </c>
    </row>
    <row r="506">
      <c r="A506" t="n">
        <v>502</v>
      </c>
      <c r="B506" t="inlineStr">
        <is>
          <t>🎤 TALENT DB</t>
        </is>
      </c>
      <c r="C506" t="n">
        <v>9</v>
      </c>
      <c r="D506" t="inlineStr">
        <is>
          <t>Talent DB</t>
        </is>
      </c>
      <c r="F506" t="inlineStr">
        <is>
          <t>Talent &amp; Entertainment</t>
        </is>
      </c>
      <c r="G506" t="inlineStr">
        <is>
          <t>MC</t>
        </is>
      </c>
      <c r="H506" t="inlineStr">
        <is>
          <t>Gita Ginezza</t>
        </is>
      </c>
      <c r="J506" t="inlineStr">
        <is>
          <t>talent/event</t>
        </is>
      </c>
      <c r="N506">
        <f>IF(COUNT(L506:M506)=0,"",AVERAGE(L506:M506))</f>
        <v/>
      </c>
      <c r="O506" t="n">
        <v>10000000</v>
      </c>
      <c r="P506" t="n">
        <v>10000000</v>
      </c>
      <c r="Q506">
        <f>IF(COUNT(O506:P506)=0,"",AVERAGE(O506:P506))</f>
        <v/>
      </c>
      <c r="R506">
        <f>IF(Q506&lt;&gt;"",Q506,IF(N506&lt;&gt;"",ROUND(N506*(1+$B$2),0),""))</f>
        <v/>
      </c>
      <c r="S506">
        <f>IF(AND(N506&lt;&gt;"",Q506&lt;&gt;"",N506&lt;&gt;0),(Q506-N506)/N506,"")</f>
        <v/>
      </c>
      <c r="T506" t="inlineStr">
        <is>
          <t>2025</t>
        </is>
      </c>
      <c r="V506" t="inlineStr">
        <is>
          <t>Talent DB</t>
        </is>
      </c>
      <c r="W506" t="inlineStr">
        <is>
          <t>Est. Riders: 5000000</t>
        </is>
      </c>
      <c r="X506" t="inlineStr">
        <is>
          <t>OK</t>
        </is>
      </c>
      <c r="Y506" t="inlineStr">
        <is>
          <t>gita ginezza | talent/event</t>
        </is>
      </c>
    </row>
    <row r="507">
      <c r="A507" t="n">
        <v>503</v>
      </c>
      <c r="B507" t="inlineStr">
        <is>
          <t>🎤 TALENT DB</t>
        </is>
      </c>
      <c r="C507" t="n">
        <v>3</v>
      </c>
      <c r="D507" t="inlineStr">
        <is>
          <t>Talent DB</t>
        </is>
      </c>
      <c r="F507" t="inlineStr">
        <is>
          <t>Talent &amp; Entertainment</t>
        </is>
      </c>
      <c r="G507" t="inlineStr">
        <is>
          <t>MC</t>
        </is>
      </c>
      <c r="H507" t="inlineStr">
        <is>
          <t>Monsieur Mansyah</t>
        </is>
      </c>
      <c r="J507" t="inlineStr">
        <is>
          <t>talent/event</t>
        </is>
      </c>
      <c r="N507">
        <f>IF(COUNT(L507:M507)=0,"",AVERAGE(L507:M507))</f>
        <v/>
      </c>
      <c r="O507" t="n">
        <v>10000000</v>
      </c>
      <c r="P507" t="n">
        <v>10000000</v>
      </c>
      <c r="Q507">
        <f>IF(COUNT(O507:P507)=0,"",AVERAGE(O507:P507))</f>
        <v/>
      </c>
      <c r="R507">
        <f>IF(Q507&lt;&gt;"",Q507,IF(N507&lt;&gt;"",ROUND(N507*(1+$B$2),0),""))</f>
        <v/>
      </c>
      <c r="S507">
        <f>IF(AND(N507&lt;&gt;"",Q507&lt;&gt;"",N507&lt;&gt;0),(Q507-N507)/N507,"")</f>
        <v/>
      </c>
      <c r="T507" t="inlineStr">
        <is>
          <t>2025</t>
        </is>
      </c>
      <c r="V507" t="inlineStr">
        <is>
          <t>Talent DB</t>
        </is>
      </c>
      <c r="W507" t="inlineStr">
        <is>
          <t>Est. Riders: 7000000 | MUA, hairdo, wardrobe, hotel</t>
        </is>
      </c>
      <c r="X507" t="inlineStr">
        <is>
          <t>OK</t>
        </is>
      </c>
      <c r="Y507" t="inlineStr">
        <is>
          <t>monsieur mansyah | talent/event</t>
        </is>
      </c>
    </row>
    <row r="508">
      <c r="A508" t="n">
        <v>504</v>
      </c>
      <c r="B508" t="inlineStr">
        <is>
          <t>🎤 TALENT DB</t>
        </is>
      </c>
      <c r="C508" t="n">
        <v>5</v>
      </c>
      <c r="D508" t="inlineStr">
        <is>
          <t>Talent DB</t>
        </is>
      </c>
      <c r="F508" t="inlineStr">
        <is>
          <t>Talent &amp; Entertainment</t>
        </is>
      </c>
      <c r="G508" t="inlineStr">
        <is>
          <t>MC</t>
        </is>
      </c>
      <c r="H508" t="inlineStr">
        <is>
          <t>Saira Saima</t>
        </is>
      </c>
      <c r="J508" t="inlineStr">
        <is>
          <t>talent/event</t>
        </is>
      </c>
      <c r="N508">
        <f>IF(COUNT(L508:M508)=0,"",AVERAGE(L508:M508))</f>
        <v/>
      </c>
      <c r="O508" t="n">
        <v>10000000</v>
      </c>
      <c r="P508" t="n">
        <v>10000000</v>
      </c>
      <c r="Q508">
        <f>IF(COUNT(O508:P508)=0,"",AVERAGE(O508:P508))</f>
        <v/>
      </c>
      <c r="R508">
        <f>IF(Q508&lt;&gt;"",Q508,IF(N508&lt;&gt;"",ROUND(N508*(1+$B$2),0),""))</f>
        <v/>
      </c>
      <c r="S508">
        <f>IF(AND(N508&lt;&gt;"",Q508&lt;&gt;"",N508&lt;&gt;0),(Q508-N508)/N508,"")</f>
        <v/>
      </c>
      <c r="T508" t="inlineStr">
        <is>
          <t>2025</t>
        </is>
      </c>
      <c r="V508" t="inlineStr">
        <is>
          <t>Talent DB</t>
        </is>
      </c>
      <c r="W508" t="inlineStr">
        <is>
          <t>Est. Riders: 7000000 | MUA, hairdo, wardrobe, hotel</t>
        </is>
      </c>
      <c r="X508" t="inlineStr">
        <is>
          <t>OK</t>
        </is>
      </c>
      <c r="Y508" t="inlineStr">
        <is>
          <t>saira saima | talent/event</t>
        </is>
      </c>
    </row>
    <row r="509">
      <c r="A509" t="n">
        <v>505</v>
      </c>
      <c r="B509" t="inlineStr">
        <is>
          <t>🎤 TALENT DB</t>
        </is>
      </c>
      <c r="C509" t="n">
        <v>31</v>
      </c>
      <c r="D509" t="inlineStr">
        <is>
          <t>Talent DB</t>
        </is>
      </c>
      <c r="F509" t="inlineStr">
        <is>
          <t>Talent &amp; Entertainment</t>
        </is>
      </c>
      <c r="G509" t="inlineStr">
        <is>
          <t>Talkshow/Host</t>
        </is>
      </c>
      <c r="H509" t="inlineStr">
        <is>
          <t>Husein Ja'far Al Hadar</t>
        </is>
      </c>
      <c r="J509" t="inlineStr">
        <is>
          <t>talent/event</t>
        </is>
      </c>
      <c r="N509">
        <f>IF(COUNT(L509:M509)=0,"",AVERAGE(L509:M509))</f>
        <v/>
      </c>
      <c r="O509" t="n">
        <v>100000000</v>
      </c>
      <c r="P509" t="n">
        <v>100000000</v>
      </c>
      <c r="Q509">
        <f>IF(COUNT(O509:P509)=0,"",AVERAGE(O509:P509))</f>
        <v/>
      </c>
      <c r="R509">
        <f>IF(Q509&lt;&gt;"",Q509,IF(N509&lt;&gt;"",ROUND(N509*(1+$B$2),0),""))</f>
        <v/>
      </c>
      <c r="S509">
        <f>IF(AND(N509&lt;&gt;"",Q509&lt;&gt;"",N509&lt;&gt;0),(Q509-N509)/N509,"")</f>
        <v/>
      </c>
      <c r="T509" t="inlineStr">
        <is>
          <t>2025</t>
        </is>
      </c>
      <c r="V509" t="inlineStr">
        <is>
          <t>Talent DB</t>
        </is>
      </c>
      <c r="W509" t="inlineStr">
        <is>
          <t>Est. Riders: 70000000 | riders pembuatan konten IG Reels</t>
        </is>
      </c>
      <c r="X509" t="inlineStr">
        <is>
          <t>OK</t>
        </is>
      </c>
      <c r="Y509" t="inlineStr">
        <is>
          <t>husein ja'far al hadar | talent/event</t>
        </is>
      </c>
    </row>
    <row r="510">
      <c r="A510" t="n">
        <v>506</v>
      </c>
      <c r="B510" t="inlineStr">
        <is>
          <t>🕌 MUI EVENT DATA</t>
        </is>
      </c>
      <c r="C510" t="n">
        <v>54</v>
      </c>
      <c r="D510" t="inlineStr">
        <is>
          <t>MUI Real Cost</t>
        </is>
      </c>
      <c r="E510" t="inlineStr">
        <is>
          <t>MUI/EO</t>
        </is>
      </c>
      <c r="F510" t="inlineStr">
        <is>
          <t>Talent - MC</t>
        </is>
      </c>
      <c r="H510" t="inlineStr">
        <is>
          <t>MC Laki-laki (David Chalik)</t>
        </is>
      </c>
      <c r="J510" t="inlineStr">
        <is>
          <t>pax</t>
        </is>
      </c>
      <c r="K510" t="inlineStr">
        <is>
          <t>1</t>
        </is>
      </c>
      <c r="L510" t="n">
        <v>10000000</v>
      </c>
      <c r="M510" t="n">
        <v>10000000</v>
      </c>
      <c r="N510">
        <f>IF(COUNT(L510:M510)=0,"",AVERAGE(L510:M510))</f>
        <v/>
      </c>
      <c r="Q510">
        <f>IF(COUNT(O510:P510)=0,"",AVERAGE(O510:P510))</f>
        <v/>
      </c>
      <c r="R510">
        <f>IF(Q510&lt;&gt;"",Q510,IF(N510&lt;&gt;"",ROUND(N510*(1+$B$2),0),""))</f>
        <v/>
      </c>
      <c r="S510">
        <f>IF(AND(N510&lt;&gt;"",Q510&lt;&gt;"",N510&lt;&gt;0),(Q510-N510)/N510,"")</f>
        <v/>
      </c>
      <c r="T510" t="inlineStr">
        <is>
          <t>2026</t>
        </is>
      </c>
      <c r="U510" t="inlineStr">
        <is>
          <t>MUI Istiqlal 2026</t>
        </is>
      </c>
      <c r="V510" t="inlineStr">
        <is>
          <t>Real-CE MUI</t>
        </is>
      </c>
      <c r="X510" t="inlineStr">
        <is>
          <t>OK</t>
        </is>
      </c>
      <c r="Y510" t="inlineStr">
        <is>
          <t>mc laki-laki (david chalik) | pax</t>
        </is>
      </c>
    </row>
    <row r="511">
      <c r="A511" t="n">
        <v>507</v>
      </c>
      <c r="B511" t="inlineStr">
        <is>
          <t>🕌 MUI EVENT DATA</t>
        </is>
      </c>
      <c r="C511" t="n">
        <v>55</v>
      </c>
      <c r="D511" t="inlineStr">
        <is>
          <t>MUI Real Cost</t>
        </is>
      </c>
      <c r="E511" t="inlineStr">
        <is>
          <t>MUI/EO</t>
        </is>
      </c>
      <c r="F511" t="inlineStr">
        <is>
          <t>Talent - MC</t>
        </is>
      </c>
      <c r="H511" t="inlineStr">
        <is>
          <t>Riders MC (meals+refreshment)</t>
        </is>
      </c>
      <c r="I511" t="inlineStr">
        <is>
          <t>GR + hari H</t>
        </is>
      </c>
      <c r="J511" t="inlineStr">
        <is>
          <t>pckg</t>
        </is>
      </c>
      <c r="K511" t="inlineStr">
        <is>
          <t>1</t>
        </is>
      </c>
      <c r="L511" t="n">
        <v>1000000</v>
      </c>
      <c r="M511" t="n">
        <v>1000000</v>
      </c>
      <c r="N511">
        <f>IF(COUNT(L511:M511)=0,"",AVERAGE(L511:M511))</f>
        <v/>
      </c>
      <c r="Q511">
        <f>IF(COUNT(O511:P511)=0,"",AVERAGE(O511:P511))</f>
        <v/>
      </c>
      <c r="R511">
        <f>IF(Q511&lt;&gt;"",Q511,IF(N511&lt;&gt;"",ROUND(N511*(1+$B$2),0),""))</f>
        <v/>
      </c>
      <c r="S511">
        <f>IF(AND(N511&lt;&gt;"",Q511&lt;&gt;"",N511&lt;&gt;0),(Q511-N511)/N511,"")</f>
        <v/>
      </c>
      <c r="T511" t="inlineStr">
        <is>
          <t>2026</t>
        </is>
      </c>
      <c r="U511" t="inlineStr">
        <is>
          <t>MUI Istiqlal 2026</t>
        </is>
      </c>
      <c r="V511" t="inlineStr">
        <is>
          <t>per MC per event</t>
        </is>
      </c>
      <c r="X511" t="inlineStr">
        <is>
          <t>OK</t>
        </is>
      </c>
      <c r="Y511" t="inlineStr">
        <is>
          <t>riders mc (meals+refreshment) | pckg</t>
        </is>
      </c>
    </row>
    <row r="512">
      <c r="A512" t="n">
        <v>508</v>
      </c>
      <c r="B512" t="inlineStr">
        <is>
          <t>💰 HPP VENDOR</t>
        </is>
      </c>
      <c r="C512" t="n">
        <v>44</v>
      </c>
      <c r="D512" t="inlineStr">
        <is>
          <t>Vendor HPP</t>
        </is>
      </c>
      <c r="E512" t="inlineStr">
        <is>
          <t>Unlimited Paz Entertainment</t>
        </is>
      </c>
      <c r="F512" t="inlineStr">
        <is>
          <t>Talent/Dancer</t>
        </is>
      </c>
      <c r="H512" t="inlineStr">
        <is>
          <t>GR H-1 (15 penari)</t>
        </is>
      </c>
      <c r="I512" t="inlineStr">
        <is>
          <t>general rehearsal hari sebelumnya</t>
        </is>
      </c>
      <c r="J512" t="inlineStr">
        <is>
          <t>paket</t>
        </is>
      </c>
      <c r="K512" t="inlineStr">
        <is>
          <t>1</t>
        </is>
      </c>
      <c r="L512" t="n">
        <v>1500000</v>
      </c>
      <c r="M512" t="n">
        <v>1500000</v>
      </c>
      <c r="N512">
        <f>IF(COUNT(L512:M512)=0,"",AVERAGE(L512:M512))</f>
        <v/>
      </c>
      <c r="Q512">
        <f>IF(COUNT(O512:P512)=0,"",AVERAGE(O512:P512))</f>
        <v/>
      </c>
      <c r="R512">
        <f>IF(Q512&lt;&gt;"",Q512,IF(N512&lt;&gt;"",ROUND(N512*(1+$B$2),0),""))</f>
        <v/>
      </c>
      <c r="S512">
        <f>IF(AND(N512&lt;&gt;"",Q512&lt;&gt;"",N512&lt;&gt;0),(Q512-N512)/N512,"")</f>
        <v/>
      </c>
      <c r="T512" t="inlineStr">
        <is>
          <t>2026</t>
        </is>
      </c>
      <c r="U512" t="inlineStr">
        <is>
          <t>GEPEMPI Mandarin Oriental 2026</t>
        </is>
      </c>
      <c r="V512" t="inlineStr">
        <is>
          <t>HPP Vendor</t>
        </is>
      </c>
      <c r="X512" t="inlineStr">
        <is>
          <t>OK</t>
        </is>
      </c>
      <c r="Y512" t="inlineStr">
        <is>
          <t>gr h-1 (15 penari) | paket</t>
        </is>
      </c>
    </row>
    <row r="513">
      <c r="A513" t="n">
        <v>509</v>
      </c>
      <c r="B513" t="inlineStr">
        <is>
          <t>💰 HPP VENDOR</t>
        </is>
      </c>
      <c r="C513" t="n">
        <v>45</v>
      </c>
      <c r="D513" t="inlineStr">
        <is>
          <t>Vendor HPP</t>
        </is>
      </c>
      <c r="E513" t="inlineStr">
        <is>
          <t>Unlimited Paz Entertainment</t>
        </is>
      </c>
      <c r="F513" t="inlineStr">
        <is>
          <t>Talent/Dancer</t>
        </is>
      </c>
      <c r="H513" t="inlineStr">
        <is>
          <t>Grand Total Paket Dancer</t>
        </is>
      </c>
      <c r="I513" t="inlineStr">
        <is>
          <t>incl. GR H-1</t>
        </is>
      </c>
      <c r="J513" t="inlineStr">
        <is>
          <t>paket</t>
        </is>
      </c>
      <c r="K513" t="inlineStr">
        <is>
          <t>1</t>
        </is>
      </c>
      <c r="L513" t="n">
        <v>25500000</v>
      </c>
      <c r="M513" t="n">
        <v>25500000</v>
      </c>
      <c r="N513">
        <f>IF(COUNT(L513:M513)=0,"",AVERAGE(L513:M513))</f>
        <v/>
      </c>
      <c r="Q513">
        <f>IF(COUNT(O513:P513)=0,"",AVERAGE(O513:P513))</f>
        <v/>
      </c>
      <c r="R513">
        <f>IF(Q513&lt;&gt;"",Q513,IF(N513&lt;&gt;"",ROUND(N513*(1+$B$2),0),""))</f>
        <v/>
      </c>
      <c r="S513">
        <f>IF(AND(N513&lt;&gt;"",Q513&lt;&gt;"",N513&lt;&gt;0),(Q513-N513)/N513,"")</f>
        <v/>
      </c>
      <c r="T513" t="inlineStr">
        <is>
          <t>2026</t>
        </is>
      </c>
      <c r="U513" t="inlineStr">
        <is>
          <t>GEPEMPI Mandarin Oriental 2026</t>
        </is>
      </c>
      <c r="V513" t="inlineStr">
        <is>
          <t>HPP Vendor</t>
        </is>
      </c>
      <c r="W513" t="inlineStr">
        <is>
          <t>DP 50% sebelum mulai</t>
        </is>
      </c>
      <c r="X513" t="inlineStr">
        <is>
          <t>OK</t>
        </is>
      </c>
      <c r="Y513" t="inlineStr">
        <is>
          <t>grand total paket dancer | paket</t>
        </is>
      </c>
    </row>
    <row r="514">
      <c r="A514" t="n">
        <v>510</v>
      </c>
      <c r="B514" t="inlineStr">
        <is>
          <t>💰 HPP VENDOR</t>
        </is>
      </c>
      <c r="C514" t="n">
        <v>43</v>
      </c>
      <c r="D514" t="inlineStr">
        <is>
          <t>Vendor HPP</t>
        </is>
      </c>
      <c r="E514" t="inlineStr">
        <is>
          <t>Unlimited Paz Entertainment</t>
        </is>
      </c>
      <c r="F514" t="inlineStr">
        <is>
          <t>Talent/Dancer</t>
        </is>
      </c>
      <c r="H514" t="inlineStr">
        <is>
          <t>Tari Kontemporer (15 penari)</t>
        </is>
      </c>
      <c r="I514" t="inlineStr">
        <is>
          <t>GR H-1 included</t>
        </is>
      </c>
      <c r="J514" t="inlineStr">
        <is>
          <t>paket</t>
        </is>
      </c>
      <c r="K514" t="inlineStr">
        <is>
          <t>1</t>
        </is>
      </c>
      <c r="L514" t="n">
        <v>24000000</v>
      </c>
      <c r="M514" t="n">
        <v>24000000</v>
      </c>
      <c r="N514">
        <f>IF(COUNT(L514:M514)=0,"",AVERAGE(L514:M514))</f>
        <v/>
      </c>
      <c r="Q514">
        <f>IF(COUNT(O514:P514)=0,"",AVERAGE(O514:P514))</f>
        <v/>
      </c>
      <c r="R514">
        <f>IF(Q514&lt;&gt;"",Q514,IF(N514&lt;&gt;"",ROUND(N514*(1+$B$2),0),""))</f>
        <v/>
      </c>
      <c r="S514">
        <f>IF(AND(N514&lt;&gt;"",Q514&lt;&gt;"",N514&lt;&gt;0),(Q514-N514)/N514,"")</f>
        <v/>
      </c>
      <c r="T514" t="inlineStr">
        <is>
          <t>2026</t>
        </is>
      </c>
      <c r="U514" t="inlineStr">
        <is>
          <t>GEPEMPI Mandarin Oriental 2026</t>
        </is>
      </c>
      <c r="V514" t="inlineStr">
        <is>
          <t>HPP Vendor</t>
        </is>
      </c>
      <c r="W514" t="inlineStr">
        <is>
          <t>INV 23 March 2026</t>
        </is>
      </c>
      <c r="X514" t="inlineStr">
        <is>
          <t>OK</t>
        </is>
      </c>
      <c r="Y514" t="inlineStr">
        <is>
          <t>tari kontemporer (15 penari) | paket</t>
        </is>
      </c>
    </row>
    <row r="515">
      <c r="A515" t="n">
        <v>511</v>
      </c>
      <c r="B515" t="inlineStr">
        <is>
          <t>💰 HPP VENDOR</t>
        </is>
      </c>
      <c r="C515" t="n">
        <v>42</v>
      </c>
      <c r="D515" t="inlineStr">
        <is>
          <t>Vendor HPP</t>
        </is>
      </c>
      <c r="E515" t="inlineStr">
        <is>
          <t>Yayasan Belantara Budaya Indonesia</t>
        </is>
      </c>
      <c r="F515" t="inlineStr">
        <is>
          <t>Talent/Tari</t>
        </is>
      </c>
      <c r="H515" t="inlineStr">
        <is>
          <t>2 Grup Tari Tradisional</t>
        </is>
      </c>
      <c r="I515" t="inlineStr">
        <is>
          <t>Tari Bali + Medley Nusantara | incl. kostum &amp; transport</t>
        </is>
      </c>
      <c r="J515" t="inlineStr">
        <is>
          <t>paket</t>
        </is>
      </c>
      <c r="K515" t="inlineStr">
        <is>
          <t>1</t>
        </is>
      </c>
      <c r="L515" t="n">
        <v>7179487</v>
      </c>
      <c r="M515" t="n">
        <v>7179487</v>
      </c>
      <c r="N515">
        <f>IF(COUNT(L515:M515)=0,"",AVERAGE(L515:M515))</f>
        <v/>
      </c>
      <c r="Q515">
        <f>IF(COUNT(O515:P515)=0,"",AVERAGE(O515:P515))</f>
        <v/>
      </c>
      <c r="R515">
        <f>IF(Q515&lt;&gt;"",Q515,IF(N515&lt;&gt;"",ROUND(N515*(1+$B$2),0),""))</f>
        <v/>
      </c>
      <c r="S515">
        <f>IF(AND(N515&lt;&gt;"",Q515&lt;&gt;"",N515&lt;&gt;0),(Q515-N515)/N515,"")</f>
        <v/>
      </c>
      <c r="T515" t="inlineStr">
        <is>
          <t>2025</t>
        </is>
      </c>
      <c r="U515" t="inlineStr">
        <is>
          <t>Sarawak Energy di Kunstkring</t>
        </is>
      </c>
      <c r="V515" t="inlineStr">
        <is>
          <t>HPP Vendor</t>
        </is>
      </c>
      <c r="W515" t="inlineStr">
        <is>
          <t>INV 016/INV/BBI/1/2025; nett inc. tax</t>
        </is>
      </c>
      <c r="X515" t="inlineStr">
        <is>
          <t>OK</t>
        </is>
      </c>
      <c r="Y515" t="inlineStr">
        <is>
          <t>2 grup tari tradisional | paket</t>
        </is>
      </c>
    </row>
    <row r="516">
      <c r="A516" t="n">
        <v>512</v>
      </c>
      <c r="B516" t="inlineStr">
        <is>
          <t>💰 HPP VENDOR</t>
        </is>
      </c>
      <c r="C516" t="n">
        <v>87</v>
      </c>
      <c r="D516" t="inlineStr">
        <is>
          <t>Vendor HPP</t>
        </is>
      </c>
      <c r="F516" t="inlineStr">
        <is>
          <t>Tangerang</t>
        </is>
      </c>
      <c r="H516" t="inlineStr">
        <is>
          <t>Internet Dedicated Event (50Mbps Main+Backup)</t>
        </is>
      </c>
      <c r="N516">
        <f>IF(COUNT(L516:M516)=0,"",AVERAGE(L516:M516))</f>
        <v/>
      </c>
      <c r="Q516">
        <f>IF(COUNT(O516:P516)=0,"",AVERAGE(O516:P516))</f>
        <v/>
      </c>
      <c r="R516">
        <f>IF(Q516&lt;&gt;"",Q516,IF(N516&lt;&gt;"",ROUND(N516*(1+$B$2),0),""))</f>
        <v/>
      </c>
      <c r="S516">
        <f>IF(AND(N516&lt;&gt;"",Q516&lt;&gt;"",N516&lt;&gt;0),(Q516-N516)/N516,"")</f>
        <v/>
      </c>
      <c r="U516" t="inlineStr">
        <is>
          <t>ict-services@ias.id</t>
        </is>
      </c>
      <c r="V516" t="inlineStr">
        <is>
          <t>HPP Vendor</t>
        </is>
      </c>
      <c r="X516" t="inlineStr">
        <is>
          <t>Missing unit; Missing price</t>
        </is>
      </c>
      <c r="Y516" t="inlineStr">
        <is>
          <t xml:space="preserve">internet dedicated event (50mbps main+backup) | </t>
        </is>
      </c>
    </row>
    <row r="517">
      <c r="A517" t="n">
        <v>513</v>
      </c>
      <c r="B517" t="inlineStr">
        <is>
          <t>💰 HPP VENDOR</t>
        </is>
      </c>
      <c r="C517" t="n">
        <v>82</v>
      </c>
      <c r="D517" t="inlineStr">
        <is>
          <t>Vendor HPP</t>
        </is>
      </c>
      <c r="F517" t="inlineStr">
        <is>
          <t>Tangerang Selatan</t>
        </is>
      </c>
      <c r="H517" t="inlineStr">
        <is>
          <t>Catering Crew (Meals siang, malam, sarapan)</t>
        </is>
      </c>
      <c r="N517">
        <f>IF(COUNT(L517:M517)=0,"",AVERAGE(L517:M517))</f>
        <v/>
      </c>
      <c r="Q517">
        <f>IF(COUNT(O517:P517)=0,"",AVERAGE(O517:P517))</f>
        <v/>
      </c>
      <c r="R517">
        <f>IF(Q517&lt;&gt;"",Q517,IF(N517&lt;&gt;"",ROUND(N517*(1+$B$2),0),""))</f>
        <v/>
      </c>
      <c r="S517">
        <f>IF(AND(N517&lt;&gt;"",Q517&lt;&gt;"",N517&lt;&gt;0),(Q517-N517)/N517,"")</f>
        <v/>
      </c>
      <c r="U517" t="inlineStr">
        <is>
          <t>BCA 7105236760</t>
        </is>
      </c>
      <c r="V517" t="inlineStr">
        <is>
          <t>HPP Vendor</t>
        </is>
      </c>
      <c r="X517" t="inlineStr">
        <is>
          <t>Missing unit; Missing price</t>
        </is>
      </c>
      <c r="Y517" t="inlineStr">
        <is>
          <t xml:space="preserve">catering crew (meals siang, malam, sarapan) | </t>
        </is>
      </c>
    </row>
    <row r="518">
      <c r="A518" t="n">
        <v>514</v>
      </c>
      <c r="B518" t="inlineStr">
        <is>
          <t>💰 HPP VENDOR</t>
        </is>
      </c>
      <c r="C518" t="n">
        <v>11</v>
      </c>
      <c r="D518" t="inlineStr">
        <is>
          <t>Vendor HPP</t>
        </is>
      </c>
      <c r="E518" t="inlineStr">
        <is>
          <t>Dinamix Production</t>
        </is>
      </c>
      <c r="F518" t="inlineStr">
        <is>
          <t>Tenda</t>
        </is>
      </c>
      <c r="H518" t="inlineStr">
        <is>
          <t>Tenda Plafon 4x4m incl. Lampu</t>
        </is>
      </c>
      <c r="I518" t="inlineStr">
        <is>
          <t>untuk meals area</t>
        </is>
      </c>
      <c r="J518" t="inlineStr">
        <is>
          <t>package</t>
        </is>
      </c>
      <c r="K518" t="inlineStr">
        <is>
          <t>1</t>
        </is>
      </c>
      <c r="L518" t="n">
        <v>960000</v>
      </c>
      <c r="M518" t="n">
        <v>960000</v>
      </c>
      <c r="N518">
        <f>IF(COUNT(L518:M518)=0,"",AVERAGE(L518:M518))</f>
        <v/>
      </c>
      <c r="Q518">
        <f>IF(COUNT(O518:P518)=0,"",AVERAGE(O518:P518))</f>
        <v/>
      </c>
      <c r="R518">
        <f>IF(Q518&lt;&gt;"",Q518,IF(N518&lt;&gt;"",ROUND(N518*(1+$B$2),0),""))</f>
        <v/>
      </c>
      <c r="S518">
        <f>IF(AND(N518&lt;&gt;"",Q518&lt;&gt;"",N518&lt;&gt;0),(Q518-N518)/N518,"")</f>
        <v/>
      </c>
      <c r="T518" t="inlineStr">
        <is>
          <t>2025</t>
        </is>
      </c>
      <c r="U518" t="inlineStr">
        <is>
          <t>Sunpride Bandung</t>
        </is>
      </c>
      <c r="V518" t="inlineStr">
        <is>
          <t>HPP Vendor</t>
        </is>
      </c>
      <c r="X518" t="inlineStr">
        <is>
          <t>OK</t>
        </is>
      </c>
      <c r="Y518" t="inlineStr">
        <is>
          <t>tenda plafon 4x4m incl. lampu | package</t>
        </is>
      </c>
    </row>
    <row r="519">
      <c r="A519" t="n">
        <v>515</v>
      </c>
      <c r="B519" t="inlineStr">
        <is>
          <t>💰 HPP VENDOR</t>
        </is>
      </c>
      <c r="C519" t="n">
        <v>10</v>
      </c>
      <c r="D519" t="inlineStr">
        <is>
          <t>Vendor HPP</t>
        </is>
      </c>
      <c r="E519" t="inlineStr">
        <is>
          <t>Dinamix Production</t>
        </is>
      </c>
      <c r="F519" t="inlineStr">
        <is>
          <t>Tenda</t>
        </is>
      </c>
      <c r="H519" t="inlineStr">
        <is>
          <t>Tenda Plafon 8x12m incl. Lampu</t>
        </is>
      </c>
      <c r="I519" t="inlineStr">
        <is>
          <t>untuk peserta</t>
        </is>
      </c>
      <c r="J519" t="inlineStr">
        <is>
          <t>package</t>
        </is>
      </c>
      <c r="K519" t="inlineStr">
        <is>
          <t>1</t>
        </is>
      </c>
      <c r="L519" t="n">
        <v>3840000</v>
      </c>
      <c r="M519" t="n">
        <v>3840000</v>
      </c>
      <c r="N519">
        <f>IF(COUNT(L519:M519)=0,"",AVERAGE(L519:M519))</f>
        <v/>
      </c>
      <c r="Q519">
        <f>IF(COUNT(O519:P519)=0,"",AVERAGE(O519:P519))</f>
        <v/>
      </c>
      <c r="R519">
        <f>IF(Q519&lt;&gt;"",Q519,IF(N519&lt;&gt;"",ROUND(N519*(1+$B$2),0),""))</f>
        <v/>
      </c>
      <c r="S519">
        <f>IF(AND(N519&lt;&gt;"",Q519&lt;&gt;"",N519&lt;&gt;0),(Q519-N519)/N519,"")</f>
        <v/>
      </c>
      <c r="T519" t="inlineStr">
        <is>
          <t>2025</t>
        </is>
      </c>
      <c r="U519" t="inlineStr">
        <is>
          <t>Sunpride Bandung</t>
        </is>
      </c>
      <c r="V519" t="inlineStr">
        <is>
          <t>HPP Vendor</t>
        </is>
      </c>
      <c r="X519" t="inlineStr">
        <is>
          <t>OK</t>
        </is>
      </c>
      <c r="Y519" t="inlineStr">
        <is>
          <t>tenda plafon 8x12m incl. lampu | package</t>
        </is>
      </c>
    </row>
    <row r="520">
      <c r="A520" t="n">
        <v>516</v>
      </c>
      <c r="B520" t="inlineStr">
        <is>
          <t>💰 HPP VENDOR</t>
        </is>
      </c>
      <c r="C520" t="n">
        <v>9</v>
      </c>
      <c r="D520" t="inlineStr">
        <is>
          <t>Vendor HPP</t>
        </is>
      </c>
      <c r="E520" t="inlineStr">
        <is>
          <t>Dinamix Production</t>
        </is>
      </c>
      <c r="F520" t="inlineStr">
        <is>
          <t>Tenda</t>
        </is>
      </c>
      <c r="H520" t="inlineStr">
        <is>
          <t>Tenda Sarnafil 3x3m (FOH)</t>
        </is>
      </c>
      <c r="J520" t="inlineStr">
        <is>
          <t>package</t>
        </is>
      </c>
      <c r="K520" t="inlineStr">
        <is>
          <t>1</t>
        </is>
      </c>
      <c r="L520" t="n">
        <v>400000</v>
      </c>
      <c r="M520" t="n">
        <v>400000</v>
      </c>
      <c r="N520">
        <f>IF(COUNT(L520:M520)=0,"",AVERAGE(L520:M520))</f>
        <v/>
      </c>
      <c r="Q520">
        <f>IF(COUNT(O520:P520)=0,"",AVERAGE(O520:P520))</f>
        <v/>
      </c>
      <c r="R520">
        <f>IF(Q520&lt;&gt;"",Q520,IF(N520&lt;&gt;"",ROUND(N520*(1+$B$2),0),""))</f>
        <v/>
      </c>
      <c r="S520">
        <f>IF(AND(N520&lt;&gt;"",Q520&lt;&gt;"",N520&lt;&gt;0),(Q520-N520)/N520,"")</f>
        <v/>
      </c>
      <c r="T520" t="inlineStr">
        <is>
          <t>2025</t>
        </is>
      </c>
      <c r="U520" t="inlineStr">
        <is>
          <t>Sunpride Bandung</t>
        </is>
      </c>
      <c r="V520" t="inlineStr">
        <is>
          <t>HPP Vendor</t>
        </is>
      </c>
      <c r="X520" t="inlineStr">
        <is>
          <t>OK</t>
        </is>
      </c>
      <c r="Y520" t="inlineStr">
        <is>
          <t>tenda sarnafil 3x3m (foh) | package</t>
        </is>
      </c>
    </row>
    <row r="521">
      <c r="A521" t="n">
        <v>517</v>
      </c>
      <c r="B521" t="inlineStr">
        <is>
          <t>🕌 MUI EVENT DATA</t>
        </is>
      </c>
      <c r="C521" t="n">
        <v>50</v>
      </c>
      <c r="D521" t="inlineStr">
        <is>
          <t>MUI Real Cost</t>
        </is>
      </c>
      <c r="E521" t="inlineStr">
        <is>
          <t>MUI/EO</t>
        </is>
      </c>
      <c r="F521" t="inlineStr">
        <is>
          <t>Tenda</t>
        </is>
      </c>
      <c r="H521" t="inlineStr">
        <is>
          <t>Tenda Sarnaville 3x3m (server)</t>
        </is>
      </c>
      <c r="J521" t="inlineStr">
        <is>
          <t>unit/day</t>
        </is>
      </c>
      <c r="K521" t="inlineStr">
        <is>
          <t>1</t>
        </is>
      </c>
      <c r="L521" t="n">
        <v>550000</v>
      </c>
      <c r="M521" t="n">
        <v>550000</v>
      </c>
      <c r="N521">
        <f>IF(COUNT(L521:M521)=0,"",AVERAGE(L521:M521))</f>
        <v/>
      </c>
      <c r="Q521">
        <f>IF(COUNT(O521:P521)=0,"",AVERAGE(O521:P521))</f>
        <v/>
      </c>
      <c r="R521">
        <f>IF(Q521&lt;&gt;"",Q521,IF(N521&lt;&gt;"",ROUND(N521*(1+$B$2),0),""))</f>
        <v/>
      </c>
      <c r="S521">
        <f>IF(AND(N521&lt;&gt;"",Q521&lt;&gt;"",N521&lt;&gt;0),(Q521-N521)/N521,"")</f>
        <v/>
      </c>
      <c r="T521" t="inlineStr">
        <is>
          <t>2026</t>
        </is>
      </c>
      <c r="U521" t="inlineStr">
        <is>
          <t>MUI Istiqlal 2026</t>
        </is>
      </c>
      <c r="V521" t="inlineStr">
        <is>
          <t>Real-CE MUI</t>
        </is>
      </c>
      <c r="X521" t="inlineStr">
        <is>
          <t>OK</t>
        </is>
      </c>
      <c r="Y521" t="inlineStr">
        <is>
          <t>tenda sarnaville 3x3m (server) | unit/day</t>
        </is>
      </c>
    </row>
    <row r="522">
      <c r="A522" t="n">
        <v>518</v>
      </c>
      <c r="B522" t="inlineStr">
        <is>
          <t>🕌 MUI EVENT DATA</t>
        </is>
      </c>
      <c r="C522" t="n">
        <v>49</v>
      </c>
      <c r="D522" t="inlineStr">
        <is>
          <t>MUI Real Cost</t>
        </is>
      </c>
      <c r="E522" t="inlineStr">
        <is>
          <t>MUI/EO</t>
        </is>
      </c>
      <c r="F522" t="inlineStr">
        <is>
          <t>Tenda</t>
        </is>
      </c>
      <c r="H522" t="inlineStr">
        <is>
          <t>Tenda Sarnaville 5x5m (pengamanan)</t>
        </is>
      </c>
      <c r="J522" t="inlineStr">
        <is>
          <t>unit/day</t>
        </is>
      </c>
      <c r="K522" t="inlineStr">
        <is>
          <t>1</t>
        </is>
      </c>
      <c r="L522" t="n">
        <v>950000</v>
      </c>
      <c r="M522" t="n">
        <v>950000</v>
      </c>
      <c r="N522">
        <f>IF(COUNT(L522:M522)=0,"",AVERAGE(L522:M522))</f>
        <v/>
      </c>
      <c r="Q522">
        <f>IF(COUNT(O522:P522)=0,"",AVERAGE(O522:P522))</f>
        <v/>
      </c>
      <c r="R522">
        <f>IF(Q522&lt;&gt;"",Q522,IF(N522&lt;&gt;"",ROUND(N522*(1+$B$2),0),""))</f>
        <v/>
      </c>
      <c r="S522">
        <f>IF(AND(N522&lt;&gt;"",Q522&lt;&gt;"",N522&lt;&gt;0),(Q522-N522)/N522,"")</f>
        <v/>
      </c>
      <c r="T522" t="inlineStr">
        <is>
          <t>2026</t>
        </is>
      </c>
      <c r="U522" t="inlineStr">
        <is>
          <t>MUI Istiqlal 2026</t>
        </is>
      </c>
      <c r="V522" t="inlineStr">
        <is>
          <t>Real-CE MUI</t>
        </is>
      </c>
      <c r="X522" t="inlineStr">
        <is>
          <t>OK</t>
        </is>
      </c>
      <c r="Y522" t="inlineStr">
        <is>
          <t>tenda sarnaville 5x5m (pengamanan) | unit/day</t>
        </is>
      </c>
    </row>
    <row r="523">
      <c r="A523" t="n">
        <v>519</v>
      </c>
      <c r="B523" t="inlineStr">
        <is>
          <t>🕌 MUI EVENT DATA</t>
        </is>
      </c>
      <c r="C523" t="n">
        <v>152</v>
      </c>
      <c r="D523" t="inlineStr">
        <is>
          <t>MUI Real Cost</t>
        </is>
      </c>
      <c r="E523" t="inlineStr">
        <is>
          <t>Jim Hendra</t>
        </is>
      </c>
      <c r="F523" t="inlineStr">
        <is>
          <t>Toilet</t>
        </is>
      </c>
      <c r="H523" t="inlineStr">
        <is>
          <t>Sewa Toilet Portable</t>
        </is>
      </c>
      <c r="J523" t="inlineStr">
        <is>
          <t>event</t>
        </is>
      </c>
      <c r="K523" t="inlineStr">
        <is>
          <t>1</t>
        </is>
      </c>
      <c r="L523" t="n">
        <v>33000000</v>
      </c>
      <c r="M523" t="n">
        <v>33000000</v>
      </c>
      <c r="N523">
        <f>IF(COUNT(L523:M523)=0,"",AVERAGE(L523:M523))</f>
        <v/>
      </c>
      <c r="Q523">
        <f>IF(COUNT(O523:P523)=0,"",AVERAGE(O523:P523))</f>
        <v/>
      </c>
      <c r="R523">
        <f>IF(Q523&lt;&gt;"",Q523,IF(N523&lt;&gt;"",ROUND(N523*(1+$B$2),0),""))</f>
        <v/>
      </c>
      <c r="S523">
        <f>IF(AND(N523&lt;&gt;"",Q523&lt;&gt;"",N523&lt;&gt;0),(Q523-N523)/N523,"")</f>
        <v/>
      </c>
      <c r="T523" t="inlineStr">
        <is>
          <t>2026</t>
        </is>
      </c>
      <c r="U523" t="inlineStr">
        <is>
          <t>MUI Istiqlal 2026</t>
        </is>
      </c>
      <c r="V523" t="inlineStr">
        <is>
          <t>RFP MUI.xlsx mutation</t>
        </is>
      </c>
      <c r="X523" t="inlineStr">
        <is>
          <t>OK</t>
        </is>
      </c>
      <c r="Y523" t="inlineStr">
        <is>
          <t>sewa toilet portable | event</t>
        </is>
      </c>
    </row>
    <row r="524">
      <c r="A524" t="n">
        <v>520</v>
      </c>
      <c r="B524" t="inlineStr">
        <is>
          <t>💰 HPP VENDOR</t>
        </is>
      </c>
      <c r="C524" t="n">
        <v>70</v>
      </c>
      <c r="D524" t="inlineStr">
        <is>
          <t>Vendor HPP</t>
        </is>
      </c>
      <c r="E524" t="inlineStr">
        <is>
          <t>PT Olia Trans Wisata</t>
        </is>
      </c>
      <c r="F524" t="inlineStr">
        <is>
          <t>Transport</t>
        </is>
      </c>
      <c r="H524" t="inlineStr">
        <is>
          <t>Hiace Premio 14 Seat (12 jam + 6 jam OT)</t>
        </is>
      </c>
      <c r="I524" t="inlineStr">
        <is>
          <t>incl. overtime 6 jam</t>
        </is>
      </c>
      <c r="J524" t="inlineStr">
        <is>
          <t>unit/day</t>
        </is>
      </c>
      <c r="K524" t="inlineStr">
        <is>
          <t>1</t>
        </is>
      </c>
      <c r="L524" t="n">
        <v>3200000</v>
      </c>
      <c r="M524" t="n">
        <v>3200000</v>
      </c>
      <c r="N524">
        <f>IF(COUNT(L524:M524)=0,"",AVERAGE(L524:M524))</f>
        <v/>
      </c>
      <c r="Q524">
        <f>IF(COUNT(O524:P524)=0,"",AVERAGE(O524:P524))</f>
        <v/>
      </c>
      <c r="R524">
        <f>IF(Q524&lt;&gt;"",Q524,IF(N524&lt;&gt;"",ROUND(N524*(1+$B$2),0),""))</f>
        <v/>
      </c>
      <c r="S524">
        <f>IF(AND(N524&lt;&gt;"",Q524&lt;&gt;"",N524&lt;&gt;0),(Q524-N524)/N524,"")</f>
        <v/>
      </c>
      <c r="T524" t="inlineStr">
        <is>
          <t>2025</t>
        </is>
      </c>
      <c r="U524" t="inlineStr">
        <is>
          <t>Juara Event Jan 2025</t>
        </is>
      </c>
      <c r="V524" t="inlineStr">
        <is>
          <t>HPP Vendor</t>
        </is>
      </c>
      <c r="W524" t="inlineStr">
        <is>
          <t>overtimenya 10%/jam dari harga sewa</t>
        </is>
      </c>
      <c r="X524" t="inlineStr">
        <is>
          <t>OK</t>
        </is>
      </c>
      <c r="Y524" t="inlineStr">
        <is>
          <t>hiace premio 14 seat (12 jam + 6 jam ot) | unit/day</t>
        </is>
      </c>
    </row>
    <row r="525">
      <c r="A525" t="n">
        <v>521</v>
      </c>
      <c r="B525" t="inlineStr">
        <is>
          <t>💰 HPP VENDOR</t>
        </is>
      </c>
      <c r="C525" t="n">
        <v>69</v>
      </c>
      <c r="D525" t="inlineStr">
        <is>
          <t>Vendor HPP</t>
        </is>
      </c>
      <c r="E525" t="inlineStr">
        <is>
          <t>PT Olia Trans Wisata</t>
        </is>
      </c>
      <c r="F525" t="inlineStr">
        <is>
          <t>Transport</t>
        </is>
      </c>
      <c r="H525" t="inlineStr">
        <is>
          <t>Hiace Premio 14 Seat (12 jam)</t>
        </is>
      </c>
      <c r="I525" t="inlineStr">
        <is>
          <t>tanpa overtime</t>
        </is>
      </c>
      <c r="J525" t="inlineStr">
        <is>
          <t>unit/day</t>
        </is>
      </c>
      <c r="K525" t="inlineStr">
        <is>
          <t>1</t>
        </is>
      </c>
      <c r="L525" t="n">
        <v>2000000</v>
      </c>
      <c r="M525" t="n">
        <v>2000000</v>
      </c>
      <c r="N525">
        <f>IF(COUNT(L525:M525)=0,"",AVERAGE(L525:M525))</f>
        <v/>
      </c>
      <c r="Q525">
        <f>IF(COUNT(O525:P525)=0,"",AVERAGE(O525:P525))</f>
        <v/>
      </c>
      <c r="R525">
        <f>IF(Q525&lt;&gt;"",Q525,IF(N525&lt;&gt;"",ROUND(N525*(1+$B$2),0),""))</f>
        <v/>
      </c>
      <c r="S525">
        <f>IF(AND(N525&lt;&gt;"",Q525&lt;&gt;"",N525&lt;&gt;0),(Q525-N525)/N525,"")</f>
        <v/>
      </c>
      <c r="T525" t="inlineStr">
        <is>
          <t>2025</t>
        </is>
      </c>
      <c r="U525" t="inlineStr">
        <is>
          <t>Juara Event Jan 2025</t>
        </is>
      </c>
      <c r="V525" t="inlineStr">
        <is>
          <t>HPP Vendor</t>
        </is>
      </c>
      <c r="W525" t="inlineStr">
        <is>
          <t>INV 001/INV/OTW27/01/2025</t>
        </is>
      </c>
      <c r="X525" t="inlineStr">
        <is>
          <t>OK</t>
        </is>
      </c>
      <c r="Y525" t="inlineStr">
        <is>
          <t>hiace premio 14 seat (12 jam) | unit/day</t>
        </is>
      </c>
    </row>
    <row r="526">
      <c r="A526" t="n">
        <v>522</v>
      </c>
      <c r="B526" t="inlineStr">
        <is>
          <t>💰 HPP VENDOR</t>
        </is>
      </c>
      <c r="C526" t="n">
        <v>68</v>
      </c>
      <c r="D526" t="inlineStr">
        <is>
          <t>Vendor HPP</t>
        </is>
      </c>
      <c r="E526" t="inlineStr">
        <is>
          <t>Inge Milasari Sanjaya (Vendor Lokal)</t>
        </is>
      </c>
      <c r="F526" t="inlineStr">
        <is>
          <t>Transport</t>
        </is>
      </c>
      <c r="H526" t="inlineStr">
        <is>
          <t>Transportasi Panitia/EO</t>
        </is>
      </c>
      <c r="I526" t="inlineStr">
        <is>
          <t>per paket</t>
        </is>
      </c>
      <c r="J526" t="inlineStr">
        <is>
          <t>paket/2x</t>
        </is>
      </c>
      <c r="K526" t="inlineStr">
        <is>
          <t>1</t>
        </is>
      </c>
      <c r="L526" t="n">
        <v>500000</v>
      </c>
      <c r="M526" t="n">
        <v>500000</v>
      </c>
      <c r="N526">
        <f>IF(COUNT(L526:M526)=0,"",AVERAGE(L526:M526))</f>
        <v/>
      </c>
      <c r="Q526">
        <f>IF(COUNT(O526:P526)=0,"",AVERAGE(O526:P526))</f>
        <v/>
      </c>
      <c r="R526">
        <f>IF(Q526&lt;&gt;"",Q526,IF(N526&lt;&gt;"",ROUND(N526*(1+$B$2),0),""))</f>
        <v/>
      </c>
      <c r="S526">
        <f>IF(AND(N526&lt;&gt;"",Q526&lt;&gt;"",N526&lt;&gt;0),(Q526-N526)/N526,"")</f>
        <v/>
      </c>
      <c r="T526" t="inlineStr">
        <is>
          <t>2026</t>
        </is>
      </c>
      <c r="U526" t="inlineStr">
        <is>
          <t>Safari Ramadhan PGN Bogor</t>
        </is>
      </c>
      <c r="V526" t="inlineStr">
        <is>
          <t>HPP Vendor</t>
        </is>
      </c>
      <c r="X526" t="inlineStr">
        <is>
          <t>OK</t>
        </is>
      </c>
      <c r="Y526" t="inlineStr">
        <is>
          <t>transportasi panitia/eo | paket/2x</t>
        </is>
      </c>
    </row>
    <row r="527">
      <c r="A527" t="n">
        <v>523</v>
      </c>
      <c r="B527" t="inlineStr">
        <is>
          <t>📊 SUMMARY</t>
        </is>
      </c>
      <c r="C527" t="n">
        <v>23</v>
      </c>
      <c r="D527" t="inlineStr">
        <is>
          <t>Summary Range</t>
        </is>
      </c>
      <c r="F527" t="inlineStr">
        <is>
          <t>VENUE SETUP</t>
        </is>
      </c>
      <c r="H527" t="inlineStr">
        <is>
          <t>Backdrop 366x244cm</t>
        </is>
      </c>
      <c r="J527" t="inlineStr">
        <is>
          <t>set/project</t>
        </is>
      </c>
      <c r="N527">
        <f>IF(COUNT(L527:M527)=0,"",AVERAGE(L527:M527))</f>
        <v/>
      </c>
      <c r="O527" t="n">
        <v>4500000</v>
      </c>
      <c r="P527" t="n">
        <v>6000000</v>
      </c>
      <c r="Q527">
        <f>IF(COUNT(O527:P527)=0,"",AVERAGE(O527:P527))</f>
        <v/>
      </c>
      <c r="R527">
        <f>IF(Q527&lt;&gt;"",Q527,IF(N527&lt;&gt;"",ROUND(N527*(1+$B$2),0),""))</f>
        <v/>
      </c>
      <c r="S527">
        <f>IF(AND(N527&lt;&gt;"",Q527&lt;&gt;"",N527&lt;&gt;0),(Q527-N527)/N527,"")</f>
        <v/>
      </c>
      <c r="V527" t="inlineStr">
        <is>
          <t>Summary Ratecard</t>
        </is>
      </c>
      <c r="W527" t="inlineStr">
        <is>
          <t>flexy print</t>
        </is>
      </c>
      <c r="X527" t="inlineStr">
        <is>
          <t>OK</t>
        </is>
      </c>
      <c r="Y527" t="inlineStr">
        <is>
          <t>backdrop 366x244cm | set/project</t>
        </is>
      </c>
    </row>
    <row r="528">
      <c r="A528" t="n">
        <v>524</v>
      </c>
      <c r="B528" t="inlineStr">
        <is>
          <t>📊 SUMMARY</t>
        </is>
      </c>
      <c r="C528" t="n">
        <v>22</v>
      </c>
      <c r="D528" t="inlineStr">
        <is>
          <t>Summary Range</t>
        </is>
      </c>
      <c r="F528" t="inlineStr">
        <is>
          <t>VENUE SETUP</t>
        </is>
      </c>
      <c r="H528" t="inlineStr">
        <is>
          <t>Futura Chair incl. Cover</t>
        </is>
      </c>
      <c r="J528" t="inlineStr">
        <is>
          <t>unit/day</t>
        </is>
      </c>
      <c r="N528">
        <f>IF(COUNT(L528:M528)=0,"",AVERAGE(L528:M528))</f>
        <v/>
      </c>
      <c r="O528" t="n">
        <v>30000</v>
      </c>
      <c r="P528" t="n">
        <v>40000</v>
      </c>
      <c r="Q528">
        <f>IF(COUNT(O528:P528)=0,"",AVERAGE(O528:P528))</f>
        <v/>
      </c>
      <c r="R528">
        <f>IF(Q528&lt;&gt;"",Q528,IF(N528&lt;&gt;"",ROUND(N528*(1+$B$2),0),""))</f>
        <v/>
      </c>
      <c r="S528">
        <f>IF(AND(N528&lt;&gt;"",Q528&lt;&gt;"",N528&lt;&gt;0),(Q528-N528)/N528,"")</f>
        <v/>
      </c>
      <c r="V528" t="inlineStr">
        <is>
          <t>Summary Ratecard</t>
        </is>
      </c>
      <c r="X528" t="inlineStr">
        <is>
          <t>Potential duplicate x2</t>
        </is>
      </c>
      <c r="Y528" t="inlineStr">
        <is>
          <t>futura chair incl. cover | unit/day</t>
        </is>
      </c>
    </row>
    <row r="529">
      <c r="A529" t="n">
        <v>525</v>
      </c>
      <c r="B529" t="inlineStr">
        <is>
          <t>📊 SUMMARY</t>
        </is>
      </c>
      <c r="C529" t="n">
        <v>21</v>
      </c>
      <c r="D529" t="inlineStr">
        <is>
          <t>Summary Range</t>
        </is>
      </c>
      <c r="F529" t="inlineStr">
        <is>
          <t>VENUE SETUP</t>
        </is>
      </c>
      <c r="H529" t="inlineStr">
        <is>
          <t>IBM Table incl. Skirting</t>
        </is>
      </c>
      <c r="J529" t="inlineStr">
        <is>
          <t>unit/day</t>
        </is>
      </c>
      <c r="N529">
        <f>IF(COUNT(L529:M529)=0,"",AVERAGE(L529:M529))</f>
        <v/>
      </c>
      <c r="O529" t="n">
        <v>100000</v>
      </c>
      <c r="P529" t="n">
        <v>120000</v>
      </c>
      <c r="Q529">
        <f>IF(COUNT(O529:P529)=0,"",AVERAGE(O529:P529))</f>
        <v/>
      </c>
      <c r="R529">
        <f>IF(Q529&lt;&gt;"",Q529,IF(N529&lt;&gt;"",ROUND(N529*(1+$B$2),0),""))</f>
        <v/>
      </c>
      <c r="S529">
        <f>IF(AND(N529&lt;&gt;"",Q529&lt;&gt;"",N529&lt;&gt;0),(Q529-N529)/N529,"")</f>
        <v/>
      </c>
      <c r="V529" t="inlineStr">
        <is>
          <t>Summary Ratecard</t>
        </is>
      </c>
      <c r="X529" t="inlineStr">
        <is>
          <t>OK</t>
        </is>
      </c>
      <c r="Y529" t="inlineStr">
        <is>
          <t>ibm table incl. skirting | unit/day</t>
        </is>
      </c>
    </row>
    <row r="530">
      <c r="A530" t="n">
        <v>526</v>
      </c>
      <c r="B530" t="inlineStr">
        <is>
          <t>📊 SUMMARY</t>
        </is>
      </c>
      <c r="C530" t="n">
        <v>17</v>
      </c>
      <c r="D530" t="inlineStr">
        <is>
          <t>Summary Range</t>
        </is>
      </c>
      <c r="F530" t="inlineStr">
        <is>
          <t>VENUE SETUP</t>
        </is>
      </c>
      <c r="H530" t="inlineStr">
        <is>
          <t>Stage 10x12m</t>
        </is>
      </c>
      <c r="J530" t="inlineStr">
        <is>
          <t>package/day</t>
        </is>
      </c>
      <c r="N530">
        <f>IF(COUNT(L530:M530)=0,"",AVERAGE(L530:M530))</f>
        <v/>
      </c>
      <c r="O530" t="n">
        <v>12000000</v>
      </c>
      <c r="P530" t="n">
        <v>16000000</v>
      </c>
      <c r="Q530">
        <f>IF(COUNT(O530:P530)=0,"",AVERAGE(O530:P530))</f>
        <v/>
      </c>
      <c r="R530">
        <f>IF(Q530&lt;&gt;"",Q530,IF(N530&lt;&gt;"",ROUND(N530*(1+$B$2),0),""))</f>
        <v/>
      </c>
      <c r="S530">
        <f>IF(AND(N530&lt;&gt;"",Q530&lt;&gt;"",N530&lt;&gt;0),(Q530-N530)/N530,"")</f>
        <v/>
      </c>
      <c r="V530" t="inlineStr">
        <is>
          <t>Summary Ratecard</t>
        </is>
      </c>
      <c r="X530" t="inlineStr">
        <is>
          <t>OK</t>
        </is>
      </c>
      <c r="Y530" t="inlineStr">
        <is>
          <t>stage 10x12m | package/day</t>
        </is>
      </c>
    </row>
    <row r="531">
      <c r="A531" t="n">
        <v>527</v>
      </c>
      <c r="B531" t="inlineStr">
        <is>
          <t>📊 SUMMARY</t>
        </is>
      </c>
      <c r="C531" t="n">
        <v>18</v>
      </c>
      <c r="D531" t="inlineStr">
        <is>
          <t>Summary Range</t>
        </is>
      </c>
      <c r="F531" t="inlineStr">
        <is>
          <t>VENUE SETUP</t>
        </is>
      </c>
      <c r="H531" t="inlineStr">
        <is>
          <t>Stage 12x14m</t>
        </is>
      </c>
      <c r="J531" t="inlineStr">
        <is>
          <t>package/day</t>
        </is>
      </c>
      <c r="N531">
        <f>IF(COUNT(L531:M531)=0,"",AVERAGE(L531:M531))</f>
        <v/>
      </c>
      <c r="O531" t="n">
        <v>17000000</v>
      </c>
      <c r="P531" t="n">
        <v>22000000</v>
      </c>
      <c r="Q531">
        <f>IF(COUNT(O531:P531)=0,"",AVERAGE(O531:P531))</f>
        <v/>
      </c>
      <c r="R531">
        <f>IF(Q531&lt;&gt;"",Q531,IF(N531&lt;&gt;"",ROUND(N531*(1+$B$2),0),""))</f>
        <v/>
      </c>
      <c r="S531">
        <f>IF(AND(N531&lt;&gt;"",Q531&lt;&gt;"",N531&lt;&gt;0),(Q531-N531)/N531,"")</f>
        <v/>
      </c>
      <c r="V531" t="inlineStr">
        <is>
          <t>Summary Ratecard</t>
        </is>
      </c>
      <c r="X531" t="inlineStr">
        <is>
          <t>OK</t>
        </is>
      </c>
      <c r="Y531" t="inlineStr">
        <is>
          <t>stage 12x14m | package/day</t>
        </is>
      </c>
    </row>
    <row r="532">
      <c r="A532" t="n">
        <v>528</v>
      </c>
      <c r="B532" t="inlineStr">
        <is>
          <t>📊 SUMMARY</t>
        </is>
      </c>
      <c r="C532" t="n">
        <v>15</v>
      </c>
      <c r="D532" t="inlineStr">
        <is>
          <t>Summary Range</t>
        </is>
      </c>
      <c r="F532" t="inlineStr">
        <is>
          <t>VENUE SETUP</t>
        </is>
      </c>
      <c r="H532" t="inlineStr">
        <is>
          <t>Stage 6x8m (Trust 60)</t>
        </is>
      </c>
      <c r="J532" t="inlineStr">
        <is>
          <t>package/day</t>
        </is>
      </c>
      <c r="N532">
        <f>IF(COUNT(L532:M532)=0,"",AVERAGE(L532:M532))</f>
        <v/>
      </c>
      <c r="O532" t="n">
        <v>6000000</v>
      </c>
      <c r="P532" t="n">
        <v>8000000</v>
      </c>
      <c r="Q532">
        <f>IF(COUNT(O532:P532)=0,"",AVERAGE(O532:P532))</f>
        <v/>
      </c>
      <c r="R532">
        <f>IF(Q532&lt;&gt;"",Q532,IF(N532&lt;&gt;"",ROUND(N532*(1+$B$2),0),""))</f>
        <v/>
      </c>
      <c r="S532">
        <f>IF(AND(N532&lt;&gt;"",Q532&lt;&gt;"",N532&lt;&gt;0),(Q532-N532)/N532,"")</f>
        <v/>
      </c>
      <c r="V532" t="inlineStr">
        <is>
          <t>Summary Ratecard</t>
        </is>
      </c>
      <c r="W532" t="inlineStr">
        <is>
          <t>incl. lidah</t>
        </is>
      </c>
      <c r="X532" t="inlineStr">
        <is>
          <t>OK</t>
        </is>
      </c>
      <c r="Y532" t="inlineStr">
        <is>
          <t>stage 6x8m (trust 60) | package/day</t>
        </is>
      </c>
    </row>
    <row r="533">
      <c r="A533" t="n">
        <v>529</v>
      </c>
      <c r="B533" t="inlineStr">
        <is>
          <t>📊 SUMMARY</t>
        </is>
      </c>
      <c r="C533" t="n">
        <v>16</v>
      </c>
      <c r="D533" t="inlineStr">
        <is>
          <t>Summary Range</t>
        </is>
      </c>
      <c r="F533" t="inlineStr">
        <is>
          <t>VENUE SETUP</t>
        </is>
      </c>
      <c r="H533" t="inlineStr">
        <is>
          <t>Stage 8x10m</t>
        </is>
      </c>
      <c r="J533" t="inlineStr">
        <is>
          <t>package/day</t>
        </is>
      </c>
      <c r="N533">
        <f>IF(COUNT(L533:M533)=0,"",AVERAGE(L533:M533))</f>
        <v/>
      </c>
      <c r="O533" t="n">
        <v>9000000</v>
      </c>
      <c r="P533" t="n">
        <v>12000000</v>
      </c>
      <c r="Q533">
        <f>IF(COUNT(O533:P533)=0,"",AVERAGE(O533:P533))</f>
        <v/>
      </c>
      <c r="R533">
        <f>IF(Q533&lt;&gt;"",Q533,IF(N533&lt;&gt;"",ROUND(N533*(1+$B$2),0),""))</f>
        <v/>
      </c>
      <c r="S533">
        <f>IF(AND(N533&lt;&gt;"",Q533&lt;&gt;"",N533&lt;&gt;0),(Q533-N533)/N533,"")</f>
        <v/>
      </c>
      <c r="V533" t="inlineStr">
        <is>
          <t>Summary Ratecard</t>
        </is>
      </c>
      <c r="X533" t="inlineStr">
        <is>
          <t>OK</t>
        </is>
      </c>
      <c r="Y533" t="inlineStr">
        <is>
          <t>stage 8x10m | package/day</t>
        </is>
      </c>
    </row>
    <row r="534">
      <c r="A534" t="n">
        <v>530</v>
      </c>
      <c r="B534" t="inlineStr">
        <is>
          <t>📊 SUMMARY</t>
        </is>
      </c>
      <c r="C534" t="n">
        <v>19</v>
      </c>
      <c r="D534" t="inlineStr">
        <is>
          <t>Summary Range</t>
        </is>
      </c>
      <c r="F534" t="inlineStr">
        <is>
          <t>VENUE SETUP</t>
        </is>
      </c>
      <c r="H534" t="inlineStr">
        <is>
          <t>Tenda Sarnafil 3x3 (incl. flooring)</t>
        </is>
      </c>
      <c r="J534" t="inlineStr">
        <is>
          <t>unit/day</t>
        </is>
      </c>
      <c r="N534">
        <f>IF(COUNT(L534:M534)=0,"",AVERAGE(L534:M534))</f>
        <v/>
      </c>
      <c r="O534" t="n">
        <v>1000000</v>
      </c>
      <c r="P534" t="n">
        <v>1200000</v>
      </c>
      <c r="Q534">
        <f>IF(COUNT(O534:P534)=0,"",AVERAGE(O534:P534))</f>
        <v/>
      </c>
      <c r="R534">
        <f>IF(Q534&lt;&gt;"",Q534,IF(N534&lt;&gt;"",ROUND(N534*(1+$B$2),0),""))</f>
        <v/>
      </c>
      <c r="S534">
        <f>IF(AND(N534&lt;&gt;"",Q534&lt;&gt;"",N534&lt;&gt;0),(Q534-N534)/N534,"")</f>
        <v/>
      </c>
      <c r="V534" t="inlineStr">
        <is>
          <t>Summary Ratecard</t>
        </is>
      </c>
      <c r="X534" t="inlineStr">
        <is>
          <t>OK</t>
        </is>
      </c>
      <c r="Y534" t="inlineStr">
        <is>
          <t>tenda sarnafil 3x3 (incl. flooring) | unit/day</t>
        </is>
      </c>
    </row>
    <row r="535">
      <c r="A535" t="n">
        <v>531</v>
      </c>
      <c r="B535" t="inlineStr">
        <is>
          <t>📊 SUMMARY</t>
        </is>
      </c>
      <c r="C535" t="n">
        <v>20</v>
      </c>
      <c r="D535" t="inlineStr">
        <is>
          <t>Summary Range</t>
        </is>
      </c>
      <c r="F535" t="inlineStr">
        <is>
          <t>VENUE SETUP</t>
        </is>
      </c>
      <c r="H535" t="inlineStr">
        <is>
          <t>Tenda Sarnafil 5x5 (incl. flooring)</t>
        </is>
      </c>
      <c r="J535" t="inlineStr">
        <is>
          <t>unit/day</t>
        </is>
      </c>
      <c r="N535">
        <f>IF(COUNT(L535:M535)=0,"",AVERAGE(L535:M535))</f>
        <v/>
      </c>
      <c r="O535" t="n">
        <v>1500000</v>
      </c>
      <c r="P535" t="n">
        <v>1700000</v>
      </c>
      <c r="Q535">
        <f>IF(COUNT(O535:P535)=0,"",AVERAGE(O535:P535))</f>
        <v/>
      </c>
      <c r="R535">
        <f>IF(Q535&lt;&gt;"",Q535,IF(N535&lt;&gt;"",ROUND(N535*(1+$B$2),0),""))</f>
        <v/>
      </c>
      <c r="S535">
        <f>IF(AND(N535&lt;&gt;"",Q535&lt;&gt;"",N535&lt;&gt;0),(Q535-N535)/N535,"")</f>
        <v/>
      </c>
      <c r="V535" t="inlineStr">
        <is>
          <t>Summary Ratecard</t>
        </is>
      </c>
      <c r="X535" t="inlineStr">
        <is>
          <t>OK</t>
        </is>
      </c>
      <c r="Y535" t="inlineStr">
        <is>
          <t>tenda sarnafil 5x5 (incl. flooring) | unit/day</t>
        </is>
      </c>
    </row>
    <row r="536">
      <c r="A536" t="n">
        <v>532</v>
      </c>
      <c r="B536" t="inlineStr">
        <is>
          <t>📦 RATECARD DB</t>
        </is>
      </c>
      <c r="C536" t="n">
        <v>43</v>
      </c>
      <c r="D536" t="inlineStr">
        <is>
          <t>Master Ratecard</t>
        </is>
      </c>
      <c r="F536" t="inlineStr">
        <is>
          <t>VENUE SETUP</t>
        </is>
      </c>
      <c r="G536" t="inlineStr">
        <is>
          <t>AC &amp; Support</t>
        </is>
      </c>
      <c r="H536" t="inlineStr">
        <is>
          <t>AC Portable 3PK</t>
        </is>
      </c>
      <c r="J536" t="inlineStr">
        <is>
          <t>unit/day</t>
        </is>
      </c>
      <c r="L536" t="n">
        <v>450000</v>
      </c>
      <c r="M536" t="n">
        <v>450000</v>
      </c>
      <c r="N536">
        <f>IF(COUNT(L536:M536)=0,"",AVERAGE(L536:M536))</f>
        <v/>
      </c>
      <c r="O536" t="n">
        <v>700000</v>
      </c>
      <c r="P536" t="n">
        <v>700000</v>
      </c>
      <c r="Q536">
        <f>IF(COUNT(O536:P536)=0,"",AVERAGE(O536:P536))</f>
        <v/>
      </c>
      <c r="R536">
        <f>IF(Q536&lt;&gt;"",Q536,IF(N536&lt;&gt;"",ROUND(N536*(1+$B$2),0),""))</f>
        <v/>
      </c>
      <c r="S536">
        <f>IF(AND(N536&lt;&gt;"",Q536&lt;&gt;"",N536&lt;&gt;0),(Q536-N536)/N536,"")</f>
        <v/>
      </c>
      <c r="T536" t="inlineStr">
        <is>
          <t>2024</t>
        </is>
      </c>
      <c r="V536" t="inlineStr">
        <is>
          <t>Standard Quot 2024</t>
        </is>
      </c>
      <c r="X536" t="inlineStr">
        <is>
          <t>OK</t>
        </is>
      </c>
      <c r="Y536" t="inlineStr">
        <is>
          <t>ac portable 3pk | unit/day</t>
        </is>
      </c>
    </row>
    <row r="537">
      <c r="A537" t="n">
        <v>533</v>
      </c>
      <c r="B537" t="inlineStr">
        <is>
          <t>📦 RATECARD DB</t>
        </is>
      </c>
      <c r="C537" t="n">
        <v>42</v>
      </c>
      <c r="D537" t="inlineStr">
        <is>
          <t>Master Ratecard</t>
        </is>
      </c>
      <c r="F537" t="inlineStr">
        <is>
          <t>VENUE SETUP</t>
        </is>
      </c>
      <c r="G537" t="inlineStr">
        <is>
          <t>AC &amp; Support</t>
        </is>
      </c>
      <c r="H537" t="inlineStr">
        <is>
          <t>AC Portable 5PK</t>
        </is>
      </c>
      <c r="J537" t="inlineStr">
        <is>
          <t>unit/day</t>
        </is>
      </c>
      <c r="L537" t="n">
        <v>650000</v>
      </c>
      <c r="M537" t="n">
        <v>650000</v>
      </c>
      <c r="N537">
        <f>IF(COUNT(L537:M537)=0,"",AVERAGE(L537:M537))</f>
        <v/>
      </c>
      <c r="O537" t="n">
        <v>950000</v>
      </c>
      <c r="P537" t="n">
        <v>950000</v>
      </c>
      <c r="Q537">
        <f>IF(COUNT(O537:P537)=0,"",AVERAGE(O537:P537))</f>
        <v/>
      </c>
      <c r="R537">
        <f>IF(Q537&lt;&gt;"",Q537,IF(N537&lt;&gt;"",ROUND(N537*(1+$B$2),0),""))</f>
        <v/>
      </c>
      <c r="S537">
        <f>IF(AND(N537&lt;&gt;"",Q537&lt;&gt;"",N537&lt;&gt;0),(Q537-N537)/N537,"")</f>
        <v/>
      </c>
      <c r="T537" t="inlineStr">
        <is>
          <t>2025</t>
        </is>
      </c>
      <c r="V537" t="inlineStr">
        <is>
          <t>Multi event</t>
        </is>
      </c>
      <c r="X537" t="inlineStr">
        <is>
          <t>OK</t>
        </is>
      </c>
      <c r="Y537" t="inlineStr">
        <is>
          <t>ac portable 5pk | unit/day</t>
        </is>
      </c>
    </row>
    <row r="538">
      <c r="A538" t="n">
        <v>534</v>
      </c>
      <c r="B538" t="inlineStr">
        <is>
          <t>📦 RATECARD DB</t>
        </is>
      </c>
      <c r="C538" t="n">
        <v>30</v>
      </c>
      <c r="D538" t="inlineStr">
        <is>
          <t>Master Ratecard</t>
        </is>
      </c>
      <c r="F538" t="inlineStr">
        <is>
          <t>VENUE SETUP</t>
        </is>
      </c>
      <c r="G538" t="inlineStr">
        <is>
          <t>Branding</t>
        </is>
      </c>
      <c r="H538" t="inlineStr">
        <is>
          <t>Backdrop / Photowall (366x244cm)</t>
        </is>
      </c>
      <c r="I538" t="inlineStr">
        <is>
          <t>multiplek + flexy printing</t>
        </is>
      </c>
      <c r="J538" t="inlineStr">
        <is>
          <t>set/project</t>
        </is>
      </c>
      <c r="L538" t="n">
        <v>3500000</v>
      </c>
      <c r="M538" t="n">
        <v>3500000</v>
      </c>
      <c r="N538">
        <f>IF(COUNT(L538:M538)=0,"",AVERAGE(L538:M538))</f>
        <v/>
      </c>
      <c r="O538" t="n">
        <v>5000000</v>
      </c>
      <c r="P538" t="n">
        <v>5000000</v>
      </c>
      <c r="Q538">
        <f>IF(COUNT(O538:P538)=0,"",AVERAGE(O538:P538))</f>
        <v/>
      </c>
      <c r="R538">
        <f>IF(Q538&lt;&gt;"",Q538,IF(N538&lt;&gt;"",ROUND(N538*(1+$B$2),0),""))</f>
        <v/>
      </c>
      <c r="S538">
        <f>IF(AND(N538&lt;&gt;"",Q538&lt;&gt;"",N538&lt;&gt;0),(Q538-N538)/N538,"")</f>
        <v/>
      </c>
      <c r="T538" t="inlineStr">
        <is>
          <t>2025</t>
        </is>
      </c>
      <c r="V538" t="inlineStr">
        <is>
          <t>CE GAPEMPI</t>
        </is>
      </c>
      <c r="X538" t="inlineStr">
        <is>
          <t>OK</t>
        </is>
      </c>
      <c r="Y538" t="inlineStr">
        <is>
          <t>backdrop / photowall (366x244cm) | set/project</t>
        </is>
      </c>
    </row>
    <row r="539">
      <c r="A539" t="n">
        <v>535</v>
      </c>
      <c r="B539" t="inlineStr">
        <is>
          <t>📦 RATECARD DB</t>
        </is>
      </c>
      <c r="C539" t="n">
        <v>34</v>
      </c>
      <c r="D539" t="inlineStr">
        <is>
          <t>Master Ratecard</t>
        </is>
      </c>
      <c r="F539" t="inlineStr">
        <is>
          <t>VENUE SETUP</t>
        </is>
      </c>
      <c r="G539" t="inlineStr">
        <is>
          <t>Branding</t>
        </is>
      </c>
      <c r="H539" t="inlineStr">
        <is>
          <t>Queue Line / Baricade Antrian</t>
        </is>
      </c>
      <c r="I539" t="inlineStr">
        <is>
          <t>bank queue line</t>
        </is>
      </c>
      <c r="J539" t="inlineStr">
        <is>
          <t>unit/day</t>
        </is>
      </c>
      <c r="L539" t="n">
        <v>130000</v>
      </c>
      <c r="M539" t="n">
        <v>130000</v>
      </c>
      <c r="N539">
        <f>IF(COUNT(L539:M539)=0,"",AVERAGE(L539:M539))</f>
        <v/>
      </c>
      <c r="O539" t="n">
        <v>195000</v>
      </c>
      <c r="P539" t="n">
        <v>195000</v>
      </c>
      <c r="Q539">
        <f>IF(COUNT(O539:P539)=0,"",AVERAGE(O539:P539))</f>
        <v/>
      </c>
      <c r="R539">
        <f>IF(Q539&lt;&gt;"",Q539,IF(N539&lt;&gt;"",ROUND(N539*(1+$B$2),0),""))</f>
        <v/>
      </c>
      <c r="S539">
        <f>IF(AND(N539&lt;&gt;"",Q539&lt;&gt;"",N539&lt;&gt;0),(Q539-N539)/N539,"")</f>
        <v/>
      </c>
      <c r="T539" t="inlineStr">
        <is>
          <t>2025</t>
        </is>
      </c>
      <c r="V539" t="inlineStr">
        <is>
          <t>Multi event</t>
        </is>
      </c>
      <c r="X539" t="inlineStr">
        <is>
          <t>OK</t>
        </is>
      </c>
      <c r="Y539" t="inlineStr">
        <is>
          <t>queue line / baricade antrian | unit/day</t>
        </is>
      </c>
    </row>
    <row r="540">
      <c r="A540" t="n">
        <v>536</v>
      </c>
      <c r="B540" t="inlineStr">
        <is>
          <t>📦 RATECARD DB</t>
        </is>
      </c>
      <c r="C540" t="n">
        <v>35</v>
      </c>
      <c r="D540" t="inlineStr">
        <is>
          <t>Master Ratecard</t>
        </is>
      </c>
      <c r="F540" t="inlineStr">
        <is>
          <t>VENUE SETUP</t>
        </is>
      </c>
      <c r="G540" t="inlineStr">
        <is>
          <t>Branding</t>
        </is>
      </c>
      <c r="H540" t="inlineStr">
        <is>
          <t>Rowing Baricade</t>
        </is>
      </c>
      <c r="I540" t="inlineStr">
        <is>
          <t>per meter</t>
        </is>
      </c>
      <c r="J540" t="inlineStr">
        <is>
          <t>meter/day</t>
        </is>
      </c>
      <c r="L540" t="n">
        <v>35000</v>
      </c>
      <c r="M540" t="n">
        <v>35000</v>
      </c>
      <c r="N540">
        <f>IF(COUNT(L540:M540)=0,"",AVERAGE(L540:M540))</f>
        <v/>
      </c>
      <c r="O540" t="n">
        <v>45000</v>
      </c>
      <c r="P540" t="n">
        <v>45000</v>
      </c>
      <c r="Q540">
        <f>IF(COUNT(O540:P540)=0,"",AVERAGE(O540:P540))</f>
        <v/>
      </c>
      <c r="R540">
        <f>IF(Q540&lt;&gt;"",Q540,IF(N540&lt;&gt;"",ROUND(N540*(1+$B$2),0),""))</f>
        <v/>
      </c>
      <c r="S540">
        <f>IF(AND(N540&lt;&gt;"",Q540&lt;&gt;"",N540&lt;&gt;0),(Q540-N540)/N540,"")</f>
        <v/>
      </c>
      <c r="T540" t="inlineStr">
        <is>
          <t>2025</t>
        </is>
      </c>
      <c r="V540" t="inlineStr">
        <is>
          <t>Heppiii Skate Day</t>
        </is>
      </c>
      <c r="X540" t="inlineStr">
        <is>
          <t>OK</t>
        </is>
      </c>
      <c r="Y540" t="inlineStr">
        <is>
          <t>rowing baricade | meter/day</t>
        </is>
      </c>
    </row>
    <row r="541">
      <c r="A541" t="n">
        <v>537</v>
      </c>
      <c r="B541" t="inlineStr">
        <is>
          <t>📦 RATECARD DB</t>
        </is>
      </c>
      <c r="C541" t="n">
        <v>33</v>
      </c>
      <c r="D541" t="inlineStr">
        <is>
          <t>Master Ratecard</t>
        </is>
      </c>
      <c r="F541" t="inlineStr">
        <is>
          <t>VENUE SETUP</t>
        </is>
      </c>
      <c r="G541" t="inlineStr">
        <is>
          <t>Branding</t>
        </is>
      </c>
      <c r="H541" t="inlineStr">
        <is>
          <t>Signage (Foam + Sticker)</t>
        </is>
      </c>
      <c r="I541" t="inlineStr">
        <is>
          <t>dim 122x244</t>
        </is>
      </c>
      <c r="J541" t="inlineStr">
        <is>
          <t>unit/project</t>
        </is>
      </c>
      <c r="L541" t="n">
        <v>600000</v>
      </c>
      <c r="M541" t="n">
        <v>600000</v>
      </c>
      <c r="N541">
        <f>IF(COUNT(L541:M541)=0,"",AVERAGE(L541:M541))</f>
        <v/>
      </c>
      <c r="O541" t="n">
        <v>875000</v>
      </c>
      <c r="P541" t="n">
        <v>875000</v>
      </c>
      <c r="Q541">
        <f>IF(COUNT(O541:P541)=0,"",AVERAGE(O541:P541))</f>
        <v/>
      </c>
      <c r="R541">
        <f>IF(Q541&lt;&gt;"",Q541,IF(N541&lt;&gt;"",ROUND(N541*(1+$B$2),0),""))</f>
        <v/>
      </c>
      <c r="S541">
        <f>IF(AND(N541&lt;&gt;"",Q541&lt;&gt;"",N541&lt;&gt;0),(Q541-N541)/N541,"")</f>
        <v/>
      </c>
      <c r="T541" t="inlineStr">
        <is>
          <t>2025</t>
        </is>
      </c>
      <c r="V541" t="inlineStr">
        <is>
          <t>Kemendikdasmen</t>
        </is>
      </c>
      <c r="X541" t="inlineStr">
        <is>
          <t>OK</t>
        </is>
      </c>
      <c r="Y541" t="inlineStr">
        <is>
          <t>signage (foam + sticker) | unit/project</t>
        </is>
      </c>
    </row>
    <row r="542">
      <c r="A542" t="n">
        <v>538</v>
      </c>
      <c r="B542" t="inlineStr">
        <is>
          <t>📦 RATECARD DB</t>
        </is>
      </c>
      <c r="C542" t="n">
        <v>31</v>
      </c>
      <c r="D542" t="inlineStr">
        <is>
          <t>Master Ratecard</t>
        </is>
      </c>
      <c r="F542" t="inlineStr">
        <is>
          <t>VENUE SETUP</t>
        </is>
      </c>
      <c r="G542" t="inlineStr">
        <is>
          <t>Branding</t>
        </is>
      </c>
      <c r="H542" t="inlineStr">
        <is>
          <t>T-Banner (3x1m, iron frame)</t>
        </is>
      </c>
      <c r="J542" t="inlineStr">
        <is>
          <t>unit/project</t>
        </is>
      </c>
      <c r="L542" t="n">
        <v>250000</v>
      </c>
      <c r="M542" t="n">
        <v>250000</v>
      </c>
      <c r="N542">
        <f>IF(COUNT(L542:M542)=0,"",AVERAGE(L542:M542))</f>
        <v/>
      </c>
      <c r="O542" t="n">
        <v>375000</v>
      </c>
      <c r="P542" t="n">
        <v>375000</v>
      </c>
      <c r="Q542">
        <f>IF(COUNT(O542:P542)=0,"",AVERAGE(O542:P542))</f>
        <v/>
      </c>
      <c r="R542">
        <f>IF(Q542&lt;&gt;"",Q542,IF(N542&lt;&gt;"",ROUND(N542*(1+$B$2),0),""))</f>
        <v/>
      </c>
      <c r="S542">
        <f>IF(AND(N542&lt;&gt;"",Q542&lt;&gt;"",N542&lt;&gt;0),(Q542-N542)/N542,"")</f>
        <v/>
      </c>
      <c r="T542" t="inlineStr">
        <is>
          <t>2026</t>
        </is>
      </c>
      <c r="V542" t="inlineStr">
        <is>
          <t>CE GAPEMPI 2026</t>
        </is>
      </c>
      <c r="X542" t="inlineStr">
        <is>
          <t>OK</t>
        </is>
      </c>
      <c r="Y542" t="inlineStr">
        <is>
          <t>t-banner (3x1m, iron frame) | unit/project</t>
        </is>
      </c>
    </row>
    <row r="543">
      <c r="A543" t="n">
        <v>539</v>
      </c>
      <c r="B543" t="inlineStr">
        <is>
          <t>📦 RATECARD DB</t>
        </is>
      </c>
      <c r="C543" t="n">
        <v>32</v>
      </c>
      <c r="D543" t="inlineStr">
        <is>
          <t>Master Ratecard</t>
        </is>
      </c>
      <c r="F543" t="inlineStr">
        <is>
          <t>VENUE SETUP</t>
        </is>
      </c>
      <c r="G543" t="inlineStr">
        <is>
          <t>Branding</t>
        </is>
      </c>
      <c r="H543" t="inlineStr">
        <is>
          <t>Tripod Banner</t>
        </is>
      </c>
      <c r="J543" t="inlineStr">
        <is>
          <t>unit/project</t>
        </is>
      </c>
      <c r="L543" t="n">
        <v>200000</v>
      </c>
      <c r="M543" t="n">
        <v>200000</v>
      </c>
      <c r="N543">
        <f>IF(COUNT(L543:M543)=0,"",AVERAGE(L543:M543))</f>
        <v/>
      </c>
      <c r="O543" t="n">
        <v>400000</v>
      </c>
      <c r="P543" t="n">
        <v>400000</v>
      </c>
      <c r="Q543">
        <f>IF(COUNT(O543:P543)=0,"",AVERAGE(O543:P543))</f>
        <v/>
      </c>
      <c r="R543">
        <f>IF(Q543&lt;&gt;"",Q543,IF(N543&lt;&gt;"",ROUND(N543*(1+$B$2),0),""))</f>
        <v/>
      </c>
      <c r="S543">
        <f>IF(AND(N543&lt;&gt;"",Q543&lt;&gt;"",N543&lt;&gt;0),(Q543-N543)/N543,"")</f>
        <v/>
      </c>
      <c r="T543" t="inlineStr">
        <is>
          <t>2025</t>
        </is>
      </c>
      <c r="V543" t="inlineStr">
        <is>
          <t>Multi event</t>
        </is>
      </c>
      <c r="X543" t="inlineStr">
        <is>
          <t>OK</t>
        </is>
      </c>
      <c r="Y543" t="inlineStr">
        <is>
          <t>tripod banner | unit/project</t>
        </is>
      </c>
    </row>
    <row r="544">
      <c r="A544" t="n">
        <v>540</v>
      </c>
      <c r="B544" t="inlineStr">
        <is>
          <t>📦 RATECARD DB</t>
        </is>
      </c>
      <c r="C544" t="n">
        <v>46</v>
      </c>
      <c r="D544" t="inlineStr">
        <is>
          <t>Master Ratecard</t>
        </is>
      </c>
      <c r="F544" t="inlineStr">
        <is>
          <t>VENUE SETUP</t>
        </is>
      </c>
      <c r="G544" t="inlineStr">
        <is>
          <t>Dekorasi</t>
        </is>
      </c>
      <c r="H544" t="inlineStr">
        <is>
          <t>Centerpiece Meja</t>
        </is>
      </c>
      <c r="I544" t="inlineStr">
        <is>
          <t>per meja</t>
        </is>
      </c>
      <c r="J544" t="inlineStr">
        <is>
          <t>unit/event</t>
        </is>
      </c>
      <c r="L544" t="n">
        <v>150000</v>
      </c>
      <c r="M544" t="n">
        <v>150000</v>
      </c>
      <c r="N544">
        <f>IF(COUNT(L544:M544)=0,"",AVERAGE(L544:M544))</f>
        <v/>
      </c>
      <c r="O544" t="n">
        <v>250000</v>
      </c>
      <c r="P544" t="n">
        <v>250000</v>
      </c>
      <c r="Q544">
        <f>IF(COUNT(O544:P544)=0,"",AVERAGE(O544:P544))</f>
        <v/>
      </c>
      <c r="R544">
        <f>IF(Q544&lt;&gt;"",Q544,IF(N544&lt;&gt;"",ROUND(N544*(1+$B$2),0),""))</f>
        <v/>
      </c>
      <c r="S544">
        <f>IF(AND(N544&lt;&gt;"",Q544&lt;&gt;"",N544&lt;&gt;0),(Q544-N544)/N544,"")</f>
        <v/>
      </c>
      <c r="T544" t="inlineStr">
        <is>
          <t>2025</t>
        </is>
      </c>
      <c r="V544" t="inlineStr">
        <is>
          <t>Multi event</t>
        </is>
      </c>
      <c r="X544" t="inlineStr">
        <is>
          <t>OK</t>
        </is>
      </c>
      <c r="Y544" t="inlineStr">
        <is>
          <t>centerpiece meja | unit/event</t>
        </is>
      </c>
    </row>
    <row r="545">
      <c r="A545" t="n">
        <v>541</v>
      </c>
      <c r="B545" t="inlineStr">
        <is>
          <t>📦 RATECARD DB</t>
        </is>
      </c>
      <c r="C545" t="n">
        <v>44</v>
      </c>
      <c r="D545" t="inlineStr">
        <is>
          <t>Master Ratecard</t>
        </is>
      </c>
      <c r="F545" t="inlineStr">
        <is>
          <t>VENUE SETUP</t>
        </is>
      </c>
      <c r="G545" t="inlineStr">
        <is>
          <t>Dekorasi</t>
        </is>
      </c>
      <c r="H545" t="inlineStr">
        <is>
          <t>Mini Garden / Tanaman Hias</t>
        </is>
      </c>
      <c r="I545" t="inlineStr">
        <is>
          <t>per meter</t>
        </is>
      </c>
      <c r="J545" t="inlineStr">
        <is>
          <t>meter/day</t>
        </is>
      </c>
      <c r="L545" t="n">
        <v>400000</v>
      </c>
      <c r="M545" t="n">
        <v>400000</v>
      </c>
      <c r="N545">
        <f>IF(COUNT(L545:M545)=0,"",AVERAGE(L545:M545))</f>
        <v/>
      </c>
      <c r="O545" t="n">
        <v>750000</v>
      </c>
      <c r="P545" t="n">
        <v>750000</v>
      </c>
      <c r="Q545">
        <f>IF(COUNT(O545:P545)=0,"",AVERAGE(O545:P545))</f>
        <v/>
      </c>
      <c r="R545">
        <f>IF(Q545&lt;&gt;"",Q545,IF(N545&lt;&gt;"",ROUND(N545*(1+$B$2),0),""))</f>
        <v/>
      </c>
      <c r="S545">
        <f>IF(AND(N545&lt;&gt;"",Q545&lt;&gt;"",N545&lt;&gt;0),(Q545-N545)/N545,"")</f>
        <v/>
      </c>
      <c r="T545" t="inlineStr">
        <is>
          <t>2026</t>
        </is>
      </c>
      <c r="V545" t="inlineStr">
        <is>
          <t>CE GAPEMPI 2026</t>
        </is>
      </c>
      <c r="X545" t="inlineStr">
        <is>
          <t>OK</t>
        </is>
      </c>
      <c r="Y545" t="inlineStr">
        <is>
          <t>mini garden / tanaman hias | meter/day</t>
        </is>
      </c>
    </row>
    <row r="546">
      <c r="A546" t="n">
        <v>542</v>
      </c>
      <c r="B546" t="inlineStr">
        <is>
          <t>📦 RATECARD DB</t>
        </is>
      </c>
      <c r="C546" t="n">
        <v>45</v>
      </c>
      <c r="D546" t="inlineStr">
        <is>
          <t>Master Ratecard</t>
        </is>
      </c>
      <c r="F546" t="inlineStr">
        <is>
          <t>VENUE SETUP</t>
        </is>
      </c>
      <c r="G546" t="inlineStr">
        <is>
          <t>Dekorasi</t>
        </is>
      </c>
      <c r="H546" t="inlineStr">
        <is>
          <t>Pataka + Flag</t>
        </is>
      </c>
      <c r="I546" t="inlineStr">
        <is>
          <t>merah putih + event</t>
        </is>
      </c>
      <c r="J546" t="inlineStr">
        <is>
          <t>set/day</t>
        </is>
      </c>
      <c r="L546" t="n">
        <v>500000</v>
      </c>
      <c r="M546" t="n">
        <v>500000</v>
      </c>
      <c r="N546">
        <f>IF(COUNT(L546:M546)=0,"",AVERAGE(L546:M546))</f>
        <v/>
      </c>
      <c r="O546" t="n">
        <v>750000</v>
      </c>
      <c r="P546" t="n">
        <v>750000</v>
      </c>
      <c r="Q546">
        <f>IF(COUNT(O546:P546)=0,"",AVERAGE(O546:P546))</f>
        <v/>
      </c>
      <c r="R546">
        <f>IF(Q546&lt;&gt;"",Q546,IF(N546&lt;&gt;"",ROUND(N546*(1+$B$2),0),""))</f>
        <v/>
      </c>
      <c r="S546">
        <f>IF(AND(N546&lt;&gt;"",Q546&lt;&gt;"",N546&lt;&gt;0),(Q546-N546)/N546,"")</f>
        <v/>
      </c>
      <c r="T546" t="inlineStr">
        <is>
          <t>2025</t>
        </is>
      </c>
      <c r="V546" t="inlineStr">
        <is>
          <t>CE GAPEMPI</t>
        </is>
      </c>
      <c r="X546" t="inlineStr">
        <is>
          <t>OK</t>
        </is>
      </c>
      <c r="Y546" t="inlineStr">
        <is>
          <t>pataka + flag | set/day</t>
        </is>
      </c>
    </row>
    <row r="547">
      <c r="A547" t="n">
        <v>543</v>
      </c>
      <c r="B547" t="inlineStr">
        <is>
          <t>📦 RATECARD DB</t>
        </is>
      </c>
      <c r="C547" t="n">
        <v>37</v>
      </c>
      <c r="D547" t="inlineStr">
        <is>
          <t>Master Ratecard</t>
        </is>
      </c>
      <c r="F547" t="inlineStr">
        <is>
          <t>VENUE SETUP</t>
        </is>
      </c>
      <c r="G547" t="inlineStr">
        <is>
          <t>Flooring</t>
        </is>
      </c>
      <c r="H547" t="inlineStr">
        <is>
          <t>Carpet per m2</t>
        </is>
      </c>
      <c r="J547" t="inlineStr">
        <is>
          <t>m2/day</t>
        </is>
      </c>
      <c r="L547" t="n">
        <v>20000</v>
      </c>
      <c r="M547" t="n">
        <v>20000</v>
      </c>
      <c r="N547">
        <f>IF(COUNT(L547:M547)=0,"",AVERAGE(L547:M547))</f>
        <v/>
      </c>
      <c r="O547" t="n">
        <v>35000</v>
      </c>
      <c r="P547" t="n">
        <v>35000</v>
      </c>
      <c r="Q547">
        <f>IF(COUNT(O547:P547)=0,"",AVERAGE(O547:P547))</f>
        <v/>
      </c>
      <c r="R547">
        <f>IF(Q547&lt;&gt;"",Q547,IF(N547&lt;&gt;"",ROUND(N547*(1+$B$2),0),""))</f>
        <v/>
      </c>
      <c r="S547">
        <f>IF(AND(N547&lt;&gt;"",Q547&lt;&gt;"",N547&lt;&gt;0),(Q547-N547)/N547,"")</f>
        <v/>
      </c>
      <c r="T547" t="inlineStr">
        <is>
          <t>2024</t>
        </is>
      </c>
      <c r="V547" t="inlineStr">
        <is>
          <t>Standard Quot 2024</t>
        </is>
      </c>
      <c r="X547" t="inlineStr">
        <is>
          <t>OK</t>
        </is>
      </c>
      <c r="Y547" t="inlineStr">
        <is>
          <t>carpet per m2 | m2/day</t>
        </is>
      </c>
    </row>
    <row r="548">
      <c r="A548" t="n">
        <v>544</v>
      </c>
      <c r="B548" t="inlineStr">
        <is>
          <t>📦 RATECARD DB</t>
        </is>
      </c>
      <c r="C548" t="n">
        <v>36</v>
      </c>
      <c r="D548" t="inlineStr">
        <is>
          <t>Master Ratecard</t>
        </is>
      </c>
      <c r="F548" t="inlineStr">
        <is>
          <t>VENUE SETUP</t>
        </is>
      </c>
      <c r="G548" t="inlineStr">
        <is>
          <t>Flooring</t>
        </is>
      </c>
      <c r="H548" t="inlineStr">
        <is>
          <t>Flooring Multiplek</t>
        </is>
      </c>
      <c r="I548" t="inlineStr">
        <is>
          <t>per m2</t>
        </is>
      </c>
      <c r="J548" t="inlineStr">
        <is>
          <t>m2/project</t>
        </is>
      </c>
      <c r="L548" t="n">
        <v>60000</v>
      </c>
      <c r="M548" t="n">
        <v>60000</v>
      </c>
      <c r="N548">
        <f>IF(COUNT(L548:M548)=0,"",AVERAGE(L548:M548))</f>
        <v/>
      </c>
      <c r="O548" t="n">
        <v>75000</v>
      </c>
      <c r="P548" t="n">
        <v>75000</v>
      </c>
      <c r="Q548">
        <f>IF(COUNT(O548:P548)=0,"",AVERAGE(O548:P548))</f>
        <v/>
      </c>
      <c r="R548">
        <f>IF(Q548&lt;&gt;"",Q548,IF(N548&lt;&gt;"",ROUND(N548*(1+$B$2),0),""))</f>
        <v/>
      </c>
      <c r="S548">
        <f>IF(AND(N548&lt;&gt;"",Q548&lt;&gt;"",N548&lt;&gt;0),(Q548-N548)/N548,"")</f>
        <v/>
      </c>
      <c r="T548" t="inlineStr">
        <is>
          <t>2025</t>
        </is>
      </c>
      <c r="V548" t="inlineStr">
        <is>
          <t>Heppiii Skate Day</t>
        </is>
      </c>
      <c r="X548" t="inlineStr">
        <is>
          <t>OK</t>
        </is>
      </c>
      <c r="Y548" t="inlineStr">
        <is>
          <t>flooring multiplek | m2/project</t>
        </is>
      </c>
    </row>
    <row r="549">
      <c r="A549" t="n">
        <v>545</v>
      </c>
      <c r="B549" t="inlineStr">
        <is>
          <t>📦 RATECARD DB</t>
        </is>
      </c>
      <c r="C549" t="n">
        <v>39</v>
      </c>
      <c r="D549" t="inlineStr">
        <is>
          <t>Master Ratecard</t>
        </is>
      </c>
      <c r="F549" t="inlineStr">
        <is>
          <t>VENUE SETUP</t>
        </is>
      </c>
      <c r="G549" t="inlineStr">
        <is>
          <t>Furniture</t>
        </is>
      </c>
      <c r="H549" t="inlineStr">
        <is>
          <t>Futura Chair incl. cover</t>
        </is>
      </c>
      <c r="J549" t="inlineStr">
        <is>
          <t>unit/day</t>
        </is>
      </c>
      <c r="L549" t="n">
        <v>20000</v>
      </c>
      <c r="M549" t="n">
        <v>20000</v>
      </c>
      <c r="N549">
        <f>IF(COUNT(L549:M549)=0,"",AVERAGE(L549:M549))</f>
        <v/>
      </c>
      <c r="O549" t="n">
        <v>35000</v>
      </c>
      <c r="P549" t="n">
        <v>35000</v>
      </c>
      <c r="Q549">
        <f>IF(COUNT(O549:P549)=0,"",AVERAGE(O549:P549))</f>
        <v/>
      </c>
      <c r="R549">
        <f>IF(Q549&lt;&gt;"",Q549,IF(N549&lt;&gt;"",ROUND(N549*(1+$B$2),0),""))</f>
        <v/>
      </c>
      <c r="S549">
        <f>IF(AND(N549&lt;&gt;"",Q549&lt;&gt;"",N549&lt;&gt;0),(Q549-N549)/N549,"")</f>
        <v/>
      </c>
      <c r="T549" t="inlineStr">
        <is>
          <t>2025</t>
        </is>
      </c>
      <c r="V549" t="inlineStr">
        <is>
          <t>Multi event</t>
        </is>
      </c>
      <c r="X549" t="inlineStr">
        <is>
          <t>Potential duplicate x2</t>
        </is>
      </c>
      <c r="Y549" t="inlineStr">
        <is>
          <t>futura chair incl. cover | unit/day</t>
        </is>
      </c>
    </row>
    <row r="550">
      <c r="A550" t="n">
        <v>546</v>
      </c>
      <c r="B550" t="inlineStr">
        <is>
          <t>📦 RATECARD DB</t>
        </is>
      </c>
      <c r="C550" t="n">
        <v>38</v>
      </c>
      <c r="D550" t="inlineStr">
        <is>
          <t>Master Ratecard</t>
        </is>
      </c>
      <c r="F550" t="inlineStr">
        <is>
          <t>VENUE SETUP</t>
        </is>
      </c>
      <c r="G550" t="inlineStr">
        <is>
          <t>Furniture</t>
        </is>
      </c>
      <c r="H550" t="inlineStr">
        <is>
          <t>IBM Table (180x60cm) incl. skirting</t>
        </is>
      </c>
      <c r="J550" t="inlineStr">
        <is>
          <t>unit/day</t>
        </is>
      </c>
      <c r="L550" t="n">
        <v>80000</v>
      </c>
      <c r="M550" t="n">
        <v>80000</v>
      </c>
      <c r="N550">
        <f>IF(COUNT(L550:M550)=0,"",AVERAGE(L550:M550))</f>
        <v/>
      </c>
      <c r="O550" t="n">
        <v>120000</v>
      </c>
      <c r="P550" t="n">
        <v>120000</v>
      </c>
      <c r="Q550">
        <f>IF(COUNT(O550:P550)=0,"",AVERAGE(O550:P550))</f>
        <v/>
      </c>
      <c r="R550">
        <f>IF(Q550&lt;&gt;"",Q550,IF(N550&lt;&gt;"",ROUND(N550*(1+$B$2),0),""))</f>
        <v/>
      </c>
      <c r="S550">
        <f>IF(AND(N550&lt;&gt;"",Q550&lt;&gt;"",N550&lt;&gt;0),(Q550-N550)/N550,"")</f>
        <v/>
      </c>
      <c r="T550" t="inlineStr">
        <is>
          <t>2025</t>
        </is>
      </c>
      <c r="V550" t="inlineStr">
        <is>
          <t>Multi event</t>
        </is>
      </c>
      <c r="X550" t="inlineStr">
        <is>
          <t>OK</t>
        </is>
      </c>
      <c r="Y550" t="inlineStr">
        <is>
          <t>ibm table (180x60cm) incl. skirting | unit/day</t>
        </is>
      </c>
    </row>
    <row r="551">
      <c r="A551" t="n">
        <v>547</v>
      </c>
      <c r="B551" t="inlineStr">
        <is>
          <t>📦 RATECARD DB</t>
        </is>
      </c>
      <c r="C551" t="n">
        <v>40</v>
      </c>
      <c r="D551" t="inlineStr">
        <is>
          <t>Master Ratecard</t>
        </is>
      </c>
      <c r="F551" t="inlineStr">
        <is>
          <t>VENUE SETUP</t>
        </is>
      </c>
      <c r="G551" t="inlineStr">
        <is>
          <t>Furniture</t>
        </is>
      </c>
      <c r="H551" t="inlineStr">
        <is>
          <t>Round Table</t>
        </is>
      </c>
      <c r="I551" t="inlineStr">
        <is>
          <t>per venue</t>
        </is>
      </c>
      <c r="J551" t="inlineStr">
        <is>
          <t>unit/day</t>
        </is>
      </c>
      <c r="L551" t="n">
        <v>60000</v>
      </c>
      <c r="M551" t="n">
        <v>60000</v>
      </c>
      <c r="N551">
        <f>IF(COUNT(L551:M551)=0,"",AVERAGE(L551:M551))</f>
        <v/>
      </c>
      <c r="O551" t="n">
        <v>100000</v>
      </c>
      <c r="P551" t="n">
        <v>100000</v>
      </c>
      <c r="Q551">
        <f>IF(COUNT(O551:P551)=0,"",AVERAGE(O551:P551))</f>
        <v/>
      </c>
      <c r="R551">
        <f>IF(Q551&lt;&gt;"",Q551,IF(N551&lt;&gt;"",ROUND(N551*(1+$B$2),0),""))</f>
        <v/>
      </c>
      <c r="S551">
        <f>IF(AND(N551&lt;&gt;"",Q551&lt;&gt;"",N551&lt;&gt;0),(Q551-N551)/N551,"")</f>
        <v/>
      </c>
      <c r="T551" t="inlineStr">
        <is>
          <t>2025</t>
        </is>
      </c>
      <c r="V551" t="inlineStr">
        <is>
          <t>Multi event</t>
        </is>
      </c>
      <c r="X551" t="inlineStr">
        <is>
          <t>OK</t>
        </is>
      </c>
      <c r="Y551" t="inlineStr">
        <is>
          <t>round table | unit/day</t>
        </is>
      </c>
    </row>
    <row r="552">
      <c r="A552" t="n">
        <v>548</v>
      </c>
      <c r="B552" t="inlineStr">
        <is>
          <t>📦 RATECARD DB</t>
        </is>
      </c>
      <c r="C552" t="n">
        <v>41</v>
      </c>
      <c r="D552" t="inlineStr">
        <is>
          <t>Master Ratecard</t>
        </is>
      </c>
      <c r="F552" t="inlineStr">
        <is>
          <t>VENUE SETUP</t>
        </is>
      </c>
      <c r="G552" t="inlineStr">
        <is>
          <t>Furniture</t>
        </is>
      </c>
      <c r="H552" t="inlineStr">
        <is>
          <t>Sofa</t>
        </is>
      </c>
      <c r="I552" t="inlineStr">
        <is>
          <t>per venue</t>
        </is>
      </c>
      <c r="J552" t="inlineStr">
        <is>
          <t>unit/day</t>
        </is>
      </c>
      <c r="L552" t="n">
        <v>200000</v>
      </c>
      <c r="M552" t="n">
        <v>200000</v>
      </c>
      <c r="N552">
        <f>IF(COUNT(L552:M552)=0,"",AVERAGE(L552:M552))</f>
        <v/>
      </c>
      <c r="O552" t="n">
        <v>300000</v>
      </c>
      <c r="P552" t="n">
        <v>300000</v>
      </c>
      <c r="Q552">
        <f>IF(COUNT(O552:P552)=0,"",AVERAGE(O552:P552))</f>
        <v/>
      </c>
      <c r="R552">
        <f>IF(Q552&lt;&gt;"",Q552,IF(N552&lt;&gt;"",ROUND(N552*(1+$B$2),0),""))</f>
        <v/>
      </c>
      <c r="S552">
        <f>IF(AND(N552&lt;&gt;"",Q552&lt;&gt;"",N552&lt;&gt;0),(Q552-N552)/N552,"")</f>
        <v/>
      </c>
      <c r="T552" t="inlineStr">
        <is>
          <t>2025</t>
        </is>
      </c>
      <c r="V552" t="inlineStr">
        <is>
          <t>Multi event</t>
        </is>
      </c>
      <c r="X552" t="inlineStr">
        <is>
          <t>OK</t>
        </is>
      </c>
      <c r="Y552" t="inlineStr">
        <is>
          <t>sofa | unit/day</t>
        </is>
      </c>
    </row>
    <row r="553">
      <c r="A553" t="n">
        <v>549</v>
      </c>
      <c r="B553" t="inlineStr">
        <is>
          <t>📦 RATECARD DB</t>
        </is>
      </c>
      <c r="C553" t="n">
        <v>24</v>
      </c>
      <c r="D553" t="inlineStr">
        <is>
          <t>Master Ratecard</t>
        </is>
      </c>
      <c r="F553" t="inlineStr">
        <is>
          <t>VENUE SETUP</t>
        </is>
      </c>
      <c r="G553" t="inlineStr">
        <is>
          <t>Stage</t>
        </is>
      </c>
      <c r="H553" t="inlineStr">
        <is>
          <t>Dekorasi Stage (Multiplek+Sticker)</t>
        </is>
      </c>
      <c r="I553" t="inlineStr">
        <is>
          <t>bahan multiplek &amp; impraboard</t>
        </is>
      </c>
      <c r="J553" t="inlineStr">
        <is>
          <t>set/project</t>
        </is>
      </c>
      <c r="L553" t="n">
        <v>5000000</v>
      </c>
      <c r="M553" t="n">
        <v>5000000</v>
      </c>
      <c r="N553">
        <f>IF(COUNT(L553:M553)=0,"",AVERAGE(L553:M553))</f>
        <v/>
      </c>
      <c r="O553" t="n">
        <v>6500000</v>
      </c>
      <c r="P553" t="n">
        <v>6500000</v>
      </c>
      <c r="Q553">
        <f>IF(COUNT(O553:P553)=0,"",AVERAGE(O553:P553))</f>
        <v/>
      </c>
      <c r="R553">
        <f>IF(Q553&lt;&gt;"",Q553,IF(N553&lt;&gt;"",ROUND(N553*(1+$B$2),0),""))</f>
        <v/>
      </c>
      <c r="S553">
        <f>IF(AND(N553&lt;&gt;"",Q553&lt;&gt;"",N553&lt;&gt;0),(Q553-N553)/N553,"")</f>
        <v/>
      </c>
      <c r="T553" t="inlineStr">
        <is>
          <t>2025</t>
        </is>
      </c>
      <c r="V553" t="inlineStr">
        <is>
          <t>Heppiii Skate Day</t>
        </is>
      </c>
      <c r="X553" t="inlineStr">
        <is>
          <t>OK</t>
        </is>
      </c>
      <c r="Y553" t="inlineStr">
        <is>
          <t>dekorasi stage (multiplek+sticker) | set/project</t>
        </is>
      </c>
    </row>
    <row r="554">
      <c r="A554" t="n">
        <v>550</v>
      </c>
      <c r="B554" t="inlineStr">
        <is>
          <t>📦 RATECARD DB</t>
        </is>
      </c>
      <c r="C554" t="n">
        <v>23</v>
      </c>
      <c r="D554" t="inlineStr">
        <is>
          <t>Master Ratecard</t>
        </is>
      </c>
      <c r="F554" t="inlineStr">
        <is>
          <t>VENUE SETUP</t>
        </is>
      </c>
      <c r="G554" t="inlineStr">
        <is>
          <t>Stage</t>
        </is>
      </c>
      <c r="H554" t="inlineStr">
        <is>
          <t>FOH 5x5m (Single Deck)</t>
        </is>
      </c>
      <c r="I554" t="inlineStr">
        <is>
          <t>Trust 60</t>
        </is>
      </c>
      <c r="J554" t="inlineStr">
        <is>
          <t>package/day</t>
        </is>
      </c>
      <c r="L554" t="n">
        <v>2500000</v>
      </c>
      <c r="M554" t="n">
        <v>2500000</v>
      </c>
      <c r="N554">
        <f>IF(COUNT(L554:M554)=0,"",AVERAGE(L554:M554))</f>
        <v/>
      </c>
      <c r="O554" t="n">
        <v>3500000</v>
      </c>
      <c r="P554" t="n">
        <v>3500000</v>
      </c>
      <c r="Q554">
        <f>IF(COUNT(O554:P554)=0,"",AVERAGE(O554:P554))</f>
        <v/>
      </c>
      <c r="R554">
        <f>IF(Q554&lt;&gt;"",Q554,IF(N554&lt;&gt;"",ROUND(N554*(1+$B$2),0),""))</f>
        <v/>
      </c>
      <c r="S554">
        <f>IF(AND(N554&lt;&gt;"",Q554&lt;&gt;"",N554&lt;&gt;0),(Q554-N554)/N554,"")</f>
        <v/>
      </c>
      <c r="T554" t="inlineStr">
        <is>
          <t>2024</t>
        </is>
      </c>
      <c r="V554" t="inlineStr">
        <is>
          <t>Standard Quot 2024</t>
        </is>
      </c>
      <c r="X554" t="inlineStr">
        <is>
          <t>OK</t>
        </is>
      </c>
      <c r="Y554" t="inlineStr">
        <is>
          <t>foh 5x5m (single deck) | package/day</t>
        </is>
      </c>
    </row>
    <row r="555">
      <c r="A555" t="n">
        <v>551</v>
      </c>
      <c r="B555" t="inlineStr">
        <is>
          <t>📦 RATECARD DB</t>
        </is>
      </c>
      <c r="C555" t="n">
        <v>22</v>
      </c>
      <c r="D555" t="inlineStr">
        <is>
          <t>Master Ratecard</t>
        </is>
      </c>
      <c r="F555" t="inlineStr">
        <is>
          <t>VENUE SETUP</t>
        </is>
      </c>
      <c r="G555" t="inlineStr">
        <is>
          <t>Stage</t>
        </is>
      </c>
      <c r="H555" t="inlineStr">
        <is>
          <t>FOH 6x4m (Single Deck)</t>
        </is>
      </c>
      <c r="I555" t="inlineStr">
        <is>
          <t>Trust 60</t>
        </is>
      </c>
      <c r="J555" t="inlineStr">
        <is>
          <t>package/day</t>
        </is>
      </c>
      <c r="L555" t="n">
        <v>3000000</v>
      </c>
      <c r="M555" t="n">
        <v>3000000</v>
      </c>
      <c r="N555">
        <f>IF(COUNT(L555:M555)=0,"",AVERAGE(L555:M555))</f>
        <v/>
      </c>
      <c r="O555" t="n">
        <v>4500000</v>
      </c>
      <c r="P555" t="n">
        <v>4500000</v>
      </c>
      <c r="Q555">
        <f>IF(COUNT(O555:P555)=0,"",AVERAGE(O555:P555))</f>
        <v/>
      </c>
      <c r="R555">
        <f>IF(Q555&lt;&gt;"",Q555,IF(N555&lt;&gt;"",ROUND(N555*(1+$B$2),0),""))</f>
        <v/>
      </c>
      <c r="S555">
        <f>IF(AND(N555&lt;&gt;"",Q555&lt;&gt;"",N555&lt;&gt;0),(Q555-N555)/N555,"")</f>
        <v/>
      </c>
      <c r="T555" t="inlineStr">
        <is>
          <t>2024</t>
        </is>
      </c>
      <c r="V555" t="inlineStr">
        <is>
          <t>Standard Quot 2024</t>
        </is>
      </c>
      <c r="X555" t="inlineStr">
        <is>
          <t>OK</t>
        </is>
      </c>
      <c r="Y555" t="inlineStr">
        <is>
          <t>foh 6x4m (single deck) | package/day</t>
        </is>
      </c>
    </row>
    <row r="556">
      <c r="A556" t="n">
        <v>552</v>
      </c>
      <c r="B556" t="inlineStr">
        <is>
          <t>📦 RATECARD DB</t>
        </is>
      </c>
      <c r="C556" t="n">
        <v>19</v>
      </c>
      <c r="D556" t="inlineStr">
        <is>
          <t>Master Ratecard</t>
        </is>
      </c>
      <c r="F556" t="inlineStr">
        <is>
          <t>VENUE SETUP</t>
        </is>
      </c>
      <c r="G556" t="inlineStr">
        <is>
          <t>Stage</t>
        </is>
      </c>
      <c r="H556" t="inlineStr">
        <is>
          <t>Stage 10x12m (Trust 60 + Lidah)</t>
        </is>
      </c>
      <c r="I556" t="inlineStr">
        <is>
          <t>rigging system</t>
        </is>
      </c>
      <c r="J556" t="inlineStr">
        <is>
          <t>package/day</t>
        </is>
      </c>
      <c r="L556" t="n">
        <v>9000000</v>
      </c>
      <c r="M556" t="n">
        <v>9000000</v>
      </c>
      <c r="N556">
        <f>IF(COUNT(L556:M556)=0,"",AVERAGE(L556:M556))</f>
        <v/>
      </c>
      <c r="O556" t="n">
        <v>12000000</v>
      </c>
      <c r="P556" t="n">
        <v>12000000</v>
      </c>
      <c r="Q556">
        <f>IF(COUNT(O556:P556)=0,"",AVERAGE(O556:P556))</f>
        <v/>
      </c>
      <c r="R556">
        <f>IF(Q556&lt;&gt;"",Q556,IF(N556&lt;&gt;"",ROUND(N556*(1+$B$2),0),""))</f>
        <v/>
      </c>
      <c r="S556">
        <f>IF(AND(N556&lt;&gt;"",Q556&lt;&gt;"",N556&lt;&gt;0),(Q556-N556)/N556,"")</f>
        <v/>
      </c>
      <c r="T556" t="inlineStr">
        <is>
          <t>2024</t>
        </is>
      </c>
      <c r="V556" t="inlineStr">
        <is>
          <t>Standard Quot 2024</t>
        </is>
      </c>
      <c r="X556" t="inlineStr">
        <is>
          <t>OK</t>
        </is>
      </c>
      <c r="Y556" t="inlineStr">
        <is>
          <t>stage 10x12m (trust 60 + lidah) | package/day</t>
        </is>
      </c>
    </row>
    <row r="557">
      <c r="A557" t="n">
        <v>553</v>
      </c>
      <c r="B557" t="inlineStr">
        <is>
          <t>📦 RATECARD DB</t>
        </is>
      </c>
      <c r="C557" t="n">
        <v>20</v>
      </c>
      <c r="D557" t="inlineStr">
        <is>
          <t>Master Ratecard</t>
        </is>
      </c>
      <c r="F557" t="inlineStr">
        <is>
          <t>VENUE SETUP</t>
        </is>
      </c>
      <c r="G557" t="inlineStr">
        <is>
          <t>Stage</t>
        </is>
      </c>
      <c r="H557" t="inlineStr">
        <is>
          <t>Stage 12x14m (Trust 60 + Lidah)</t>
        </is>
      </c>
      <c r="I557" t="inlineStr">
        <is>
          <t>rigging system</t>
        </is>
      </c>
      <c r="J557" t="inlineStr">
        <is>
          <t>package/day</t>
        </is>
      </c>
      <c r="L557" t="n">
        <v>12000000</v>
      </c>
      <c r="M557" t="n">
        <v>12000000</v>
      </c>
      <c r="N557">
        <f>IF(COUNT(L557:M557)=0,"",AVERAGE(L557:M557))</f>
        <v/>
      </c>
      <c r="O557" t="n">
        <v>17000000</v>
      </c>
      <c r="P557" t="n">
        <v>17000000</v>
      </c>
      <c r="Q557">
        <f>IF(COUNT(O557:P557)=0,"",AVERAGE(O557:P557))</f>
        <v/>
      </c>
      <c r="R557">
        <f>IF(Q557&lt;&gt;"",Q557,IF(N557&lt;&gt;"",ROUND(N557*(1+$B$2),0),""))</f>
        <v/>
      </c>
      <c r="S557">
        <f>IF(AND(N557&lt;&gt;"",Q557&lt;&gt;"",N557&lt;&gt;0),(Q557-N557)/N557,"")</f>
        <v/>
      </c>
      <c r="T557" t="inlineStr">
        <is>
          <t>2024</t>
        </is>
      </c>
      <c r="V557" t="inlineStr">
        <is>
          <t>Standard Quot 2024</t>
        </is>
      </c>
      <c r="X557" t="inlineStr">
        <is>
          <t>OK</t>
        </is>
      </c>
      <c r="Y557" t="inlineStr">
        <is>
          <t>stage 12x14m (trust 60 + lidah) | package/day</t>
        </is>
      </c>
    </row>
    <row r="558">
      <c r="A558" t="n">
        <v>554</v>
      </c>
      <c r="B558" t="inlineStr">
        <is>
          <t>📦 RATECARD DB</t>
        </is>
      </c>
      <c r="C558" t="n">
        <v>17</v>
      </c>
      <c r="D558" t="inlineStr">
        <is>
          <t>Master Ratecard</t>
        </is>
      </c>
      <c r="F558" t="inlineStr">
        <is>
          <t>VENUE SETUP</t>
        </is>
      </c>
      <c r="G558" t="inlineStr">
        <is>
          <t>Stage</t>
        </is>
      </c>
      <c r="H558" t="inlineStr">
        <is>
          <t>Stage 6x8m (Trust 60 + Lidah)</t>
        </is>
      </c>
      <c r="I558" t="inlineStr">
        <is>
          <t>rigging system</t>
        </is>
      </c>
      <c r="J558" t="inlineStr">
        <is>
          <t>package/day</t>
        </is>
      </c>
      <c r="L558" t="n">
        <v>4500000</v>
      </c>
      <c r="M558" t="n">
        <v>4500000</v>
      </c>
      <c r="N558">
        <f>IF(COUNT(L558:M558)=0,"",AVERAGE(L558:M558))</f>
        <v/>
      </c>
      <c r="O558" t="n">
        <v>6000000</v>
      </c>
      <c r="P558" t="n">
        <v>6000000</v>
      </c>
      <c r="Q558">
        <f>IF(COUNT(O558:P558)=0,"",AVERAGE(O558:P558))</f>
        <v/>
      </c>
      <c r="R558">
        <f>IF(Q558&lt;&gt;"",Q558,IF(N558&lt;&gt;"",ROUND(N558*(1+$B$2),0),""))</f>
        <v/>
      </c>
      <c r="S558">
        <f>IF(AND(N558&lt;&gt;"",Q558&lt;&gt;"",N558&lt;&gt;0),(Q558-N558)/N558,"")</f>
        <v/>
      </c>
      <c r="T558" t="inlineStr">
        <is>
          <t>2025</t>
        </is>
      </c>
      <c r="V558" t="inlineStr">
        <is>
          <t>Heppiii Skate Day</t>
        </is>
      </c>
      <c r="X558" t="inlineStr">
        <is>
          <t>OK</t>
        </is>
      </c>
      <c r="Y558" t="inlineStr">
        <is>
          <t>stage 6x8m (trust 60 + lidah) | package/day</t>
        </is>
      </c>
    </row>
    <row r="559">
      <c r="A559" t="n">
        <v>555</v>
      </c>
      <c r="B559" t="inlineStr">
        <is>
          <t>📦 RATECARD DB</t>
        </is>
      </c>
      <c r="C559" t="n">
        <v>18</v>
      </c>
      <c r="D559" t="inlineStr">
        <is>
          <t>Master Ratecard</t>
        </is>
      </c>
      <c r="F559" t="inlineStr">
        <is>
          <t>VENUE SETUP</t>
        </is>
      </c>
      <c r="G559" t="inlineStr">
        <is>
          <t>Stage</t>
        </is>
      </c>
      <c r="H559" t="inlineStr">
        <is>
          <t>Stage 8x10m (Trust 60 + Lidah)</t>
        </is>
      </c>
      <c r="I559" t="inlineStr">
        <is>
          <t>rigging system</t>
        </is>
      </c>
      <c r="J559" t="inlineStr">
        <is>
          <t>package/day</t>
        </is>
      </c>
      <c r="L559" t="n">
        <v>6500000</v>
      </c>
      <c r="M559" t="n">
        <v>6500000</v>
      </c>
      <c r="N559">
        <f>IF(COUNT(L559:M559)=0,"",AVERAGE(L559:M559))</f>
        <v/>
      </c>
      <c r="O559" t="n">
        <v>9000000</v>
      </c>
      <c r="P559" t="n">
        <v>9000000</v>
      </c>
      <c r="Q559">
        <f>IF(COUNT(O559:P559)=0,"",AVERAGE(O559:P559))</f>
        <v/>
      </c>
      <c r="R559">
        <f>IF(Q559&lt;&gt;"",Q559,IF(N559&lt;&gt;"",ROUND(N559*(1+$B$2),0),""))</f>
        <v/>
      </c>
      <c r="S559">
        <f>IF(AND(N559&lt;&gt;"",Q559&lt;&gt;"",N559&lt;&gt;0),(Q559-N559)/N559,"")</f>
        <v/>
      </c>
      <c r="T559" t="inlineStr">
        <is>
          <t>2024</t>
        </is>
      </c>
      <c r="V559" t="inlineStr">
        <is>
          <t>Standard Quot 2024</t>
        </is>
      </c>
      <c r="X559" t="inlineStr">
        <is>
          <t>OK</t>
        </is>
      </c>
      <c r="Y559" t="inlineStr">
        <is>
          <t>stage 8x10m (trust 60 + lidah) | package/day</t>
        </is>
      </c>
    </row>
    <row r="560">
      <c r="A560" t="n">
        <v>556</v>
      </c>
      <c r="B560" t="inlineStr">
        <is>
          <t>📦 RATECARD DB</t>
        </is>
      </c>
      <c r="C560" t="n">
        <v>21</v>
      </c>
      <c r="D560" t="inlineStr">
        <is>
          <t>Master Ratecard</t>
        </is>
      </c>
      <c r="F560" t="inlineStr">
        <is>
          <t>VENUE SETUP</t>
        </is>
      </c>
      <c r="G560" t="inlineStr">
        <is>
          <t>Stage</t>
        </is>
      </c>
      <c r="H560" t="inlineStr">
        <is>
          <t>Stage Orchestra 10x8 H1.6</t>
        </is>
      </c>
      <c r="I560" t="inlineStr">
        <is>
          <t>multiplek fin. melaminto</t>
        </is>
      </c>
      <c r="J560" t="inlineStr">
        <is>
          <t>package/day</t>
        </is>
      </c>
      <c r="L560" t="n">
        <v>40000000</v>
      </c>
      <c r="M560" t="n">
        <v>40000000</v>
      </c>
      <c r="N560">
        <f>IF(COUNT(L560:M560)=0,"",AVERAGE(L560:M560))</f>
        <v/>
      </c>
      <c r="O560" t="n">
        <v>55000000</v>
      </c>
      <c r="P560" t="n">
        <v>55000000</v>
      </c>
      <c r="Q560">
        <f>IF(COUNT(O560:P560)=0,"",AVERAGE(O560:P560))</f>
        <v/>
      </c>
      <c r="R560">
        <f>IF(Q560&lt;&gt;"",Q560,IF(N560&lt;&gt;"",ROUND(N560*(1+$B$2),0),""))</f>
        <v/>
      </c>
      <c r="S560">
        <f>IF(AND(N560&lt;&gt;"",Q560&lt;&gt;"",N560&lt;&gt;0),(Q560-N560)/N560,"")</f>
        <v/>
      </c>
      <c r="T560" t="inlineStr">
        <is>
          <t>2025</t>
        </is>
      </c>
      <c r="V560" t="inlineStr">
        <is>
          <t>Disney Concert OCBC</t>
        </is>
      </c>
      <c r="X560" t="inlineStr">
        <is>
          <t>OK</t>
        </is>
      </c>
      <c r="Y560" t="inlineStr">
        <is>
          <t>stage orchestra 10x8 h1.6 | package/day</t>
        </is>
      </c>
    </row>
    <row r="561">
      <c r="A561" t="n">
        <v>557</v>
      </c>
      <c r="B561" t="inlineStr">
        <is>
          <t>📦 RATECARD DB</t>
        </is>
      </c>
      <c r="C561" t="n">
        <v>29</v>
      </c>
      <c r="D561" t="inlineStr">
        <is>
          <t>Master Ratecard</t>
        </is>
      </c>
      <c r="F561" t="inlineStr">
        <is>
          <t>VENUE SETUP</t>
        </is>
      </c>
      <c r="G561" t="inlineStr">
        <is>
          <t>Tenda</t>
        </is>
      </c>
      <c r="H561" t="inlineStr">
        <is>
          <t>Tenda Plafon/Tratak per m2 (Standard)</t>
        </is>
      </c>
      <c r="I561" t="inlineStr">
        <is>
          <t>non dekor</t>
        </is>
      </c>
      <c r="J561" t="inlineStr">
        <is>
          <t>m2/day</t>
        </is>
      </c>
      <c r="L561" t="n">
        <v>50000</v>
      </c>
      <c r="M561" t="n">
        <v>50000</v>
      </c>
      <c r="N561">
        <f>IF(COUNT(L561:M561)=0,"",AVERAGE(L561:M561))</f>
        <v/>
      </c>
      <c r="O561" t="n">
        <v>75000</v>
      </c>
      <c r="P561" t="n">
        <v>75000</v>
      </c>
      <c r="Q561">
        <f>IF(COUNT(O561:P561)=0,"",AVERAGE(O561:P561))</f>
        <v/>
      </c>
      <c r="R561">
        <f>IF(Q561&lt;&gt;"",Q561,IF(N561&lt;&gt;"",ROUND(N561*(1+$B$2),0),""))</f>
        <v/>
      </c>
      <c r="S561">
        <f>IF(AND(N561&lt;&gt;"",Q561&lt;&gt;"",N561&lt;&gt;0),(Q561-N561)/N561,"")</f>
        <v/>
      </c>
      <c r="T561" t="inlineStr">
        <is>
          <t>2024</t>
        </is>
      </c>
      <c r="V561" t="inlineStr">
        <is>
          <t>Standard Quot 2024</t>
        </is>
      </c>
      <c r="X561" t="inlineStr">
        <is>
          <t>OK</t>
        </is>
      </c>
      <c r="Y561" t="inlineStr">
        <is>
          <t>tenda plafon/tratak per m2 (standard) | m2/day</t>
        </is>
      </c>
    </row>
    <row r="562">
      <c r="A562" t="n">
        <v>558</v>
      </c>
      <c r="B562" t="inlineStr">
        <is>
          <t>📦 RATECARD DB</t>
        </is>
      </c>
      <c r="C562" t="n">
        <v>25</v>
      </c>
      <c r="D562" t="inlineStr">
        <is>
          <t>Master Ratecard</t>
        </is>
      </c>
      <c r="F562" t="inlineStr">
        <is>
          <t>VENUE SETUP</t>
        </is>
      </c>
      <c r="G562" t="inlineStr">
        <is>
          <t>Tenda</t>
        </is>
      </c>
      <c r="H562" t="inlineStr">
        <is>
          <t>Tenda Sarnafil 3x3 (Putih, excl. flooring)</t>
        </is>
      </c>
      <c r="J562" t="inlineStr">
        <is>
          <t>unit/day</t>
        </is>
      </c>
      <c r="L562" t="n">
        <v>600000</v>
      </c>
      <c r="M562" t="n">
        <v>600000</v>
      </c>
      <c r="N562">
        <f>IF(COUNT(L562:M562)=0,"",AVERAGE(L562:M562))</f>
        <v/>
      </c>
      <c r="O562" t="n">
        <v>850000</v>
      </c>
      <c r="P562" t="n">
        <v>850000</v>
      </c>
      <c r="Q562">
        <f>IF(COUNT(O562:P562)=0,"",AVERAGE(O562:P562))</f>
        <v/>
      </c>
      <c r="R562">
        <f>IF(Q562&lt;&gt;"",Q562,IF(N562&lt;&gt;"",ROUND(N562*(1+$B$2),0),""))</f>
        <v/>
      </c>
      <c r="S562">
        <f>IF(AND(N562&lt;&gt;"",Q562&lt;&gt;"",N562&lt;&gt;0),(Q562-N562)/N562,"")</f>
        <v/>
      </c>
      <c r="T562" t="inlineStr">
        <is>
          <t>2025</t>
        </is>
      </c>
      <c r="V562" t="inlineStr">
        <is>
          <t>Multi event</t>
        </is>
      </c>
      <c r="X562" t="inlineStr">
        <is>
          <t>OK</t>
        </is>
      </c>
      <c r="Y562" t="inlineStr">
        <is>
          <t>tenda sarnafil 3x3 (putih, excl. flooring) | unit/day</t>
        </is>
      </c>
    </row>
    <row r="563">
      <c r="A563" t="n">
        <v>559</v>
      </c>
      <c r="B563" t="inlineStr">
        <is>
          <t>📦 RATECARD DB</t>
        </is>
      </c>
      <c r="C563" t="n">
        <v>26</v>
      </c>
      <c r="D563" t="inlineStr">
        <is>
          <t>Master Ratecard</t>
        </is>
      </c>
      <c r="F563" t="inlineStr">
        <is>
          <t>VENUE SETUP</t>
        </is>
      </c>
      <c r="G563" t="inlineStr">
        <is>
          <t>Tenda</t>
        </is>
      </c>
      <c r="H563" t="inlineStr">
        <is>
          <t>Tenda Sarnafil 3x3 (Putih, incl. flooring)</t>
        </is>
      </c>
      <c r="I563" t="inlineStr">
        <is>
          <t>incl. carpet + lighting</t>
        </is>
      </c>
      <c r="J563" t="inlineStr">
        <is>
          <t>unit/day</t>
        </is>
      </c>
      <c r="L563" t="n">
        <v>900000</v>
      </c>
      <c r="M563" t="n">
        <v>900000</v>
      </c>
      <c r="N563">
        <f>IF(COUNT(L563:M563)=0,"",AVERAGE(L563:M563))</f>
        <v/>
      </c>
      <c r="O563" t="n">
        <v>1200000</v>
      </c>
      <c r="P563" t="n">
        <v>1200000</v>
      </c>
      <c r="Q563">
        <f>IF(COUNT(O563:P563)=0,"",AVERAGE(O563:P563))</f>
        <v/>
      </c>
      <c r="R563">
        <f>IF(Q563&lt;&gt;"",Q563,IF(N563&lt;&gt;"",ROUND(N563*(1+$B$2),0),""))</f>
        <v/>
      </c>
      <c r="S563">
        <f>IF(AND(N563&lt;&gt;"",Q563&lt;&gt;"",N563&lt;&gt;0),(Q563-N563)/N563,"")</f>
        <v/>
      </c>
      <c r="T563" t="inlineStr">
        <is>
          <t>2025</t>
        </is>
      </c>
      <c r="V563" t="inlineStr">
        <is>
          <t>Multi event</t>
        </is>
      </c>
      <c r="X563" t="inlineStr">
        <is>
          <t>OK</t>
        </is>
      </c>
      <c r="Y563" t="inlineStr">
        <is>
          <t>tenda sarnafil 3x3 (putih, incl. flooring) | unit/day</t>
        </is>
      </c>
    </row>
    <row r="564">
      <c r="A564" t="n">
        <v>560</v>
      </c>
      <c r="B564" t="inlineStr">
        <is>
          <t>📦 RATECARD DB</t>
        </is>
      </c>
      <c r="C564" t="n">
        <v>28</v>
      </c>
      <c r="D564" t="inlineStr">
        <is>
          <t>Master Ratecard</t>
        </is>
      </c>
      <c r="F564" t="inlineStr">
        <is>
          <t>VENUE SETUP</t>
        </is>
      </c>
      <c r="G564" t="inlineStr">
        <is>
          <t>Tenda</t>
        </is>
      </c>
      <c r="H564" t="inlineStr">
        <is>
          <t>Tenda Sarnafil 5x5 (Hitam, incl. flooring)</t>
        </is>
      </c>
      <c r="I564" t="inlineStr">
        <is>
          <t>incl. carpet + lighting</t>
        </is>
      </c>
      <c r="J564" t="inlineStr">
        <is>
          <t>unit/day</t>
        </is>
      </c>
      <c r="L564" t="n">
        <v>1300000</v>
      </c>
      <c r="M564" t="n">
        <v>1300000</v>
      </c>
      <c r="N564">
        <f>IF(COUNT(L564:M564)=0,"",AVERAGE(L564:M564))</f>
        <v/>
      </c>
      <c r="O564" t="n">
        <v>1700000</v>
      </c>
      <c r="P564" t="n">
        <v>1700000</v>
      </c>
      <c r="Q564">
        <f>IF(COUNT(O564:P564)=0,"",AVERAGE(O564:P564))</f>
        <v/>
      </c>
      <c r="R564">
        <f>IF(Q564&lt;&gt;"",Q564,IF(N564&lt;&gt;"",ROUND(N564*(1+$B$2),0),""))</f>
        <v/>
      </c>
      <c r="S564">
        <f>IF(AND(N564&lt;&gt;"",Q564&lt;&gt;"",N564&lt;&gt;0),(Q564-N564)/N564,"")</f>
        <v/>
      </c>
      <c r="T564" t="inlineStr">
        <is>
          <t>2025</t>
        </is>
      </c>
      <c r="V564" t="inlineStr">
        <is>
          <t>Multi event</t>
        </is>
      </c>
      <c r="X564" t="inlineStr">
        <is>
          <t>OK</t>
        </is>
      </c>
      <c r="Y564" t="inlineStr">
        <is>
          <t>tenda sarnafil 5x5 (hitam, incl. flooring) | unit/day</t>
        </is>
      </c>
    </row>
    <row r="565">
      <c r="A565" t="n">
        <v>561</v>
      </c>
      <c r="B565" t="inlineStr">
        <is>
          <t>📦 RATECARD DB</t>
        </is>
      </c>
      <c r="C565" t="n">
        <v>27</v>
      </c>
      <c r="D565" t="inlineStr">
        <is>
          <t>Master Ratecard</t>
        </is>
      </c>
      <c r="F565" t="inlineStr">
        <is>
          <t>VENUE SETUP</t>
        </is>
      </c>
      <c r="G565" t="inlineStr">
        <is>
          <t>Tenda</t>
        </is>
      </c>
      <c r="H565" t="inlineStr">
        <is>
          <t>Tenda Sarnafil 5x5 (Putih, incl. flooring)</t>
        </is>
      </c>
      <c r="I565" t="inlineStr">
        <is>
          <t>incl. carpet + lighting</t>
        </is>
      </c>
      <c r="J565" t="inlineStr">
        <is>
          <t>unit/day</t>
        </is>
      </c>
      <c r="L565" t="n">
        <v>1200000</v>
      </c>
      <c r="M565" t="n">
        <v>1200000</v>
      </c>
      <c r="N565">
        <f>IF(COUNT(L565:M565)=0,"",AVERAGE(L565:M565))</f>
        <v/>
      </c>
      <c r="O565" t="n">
        <v>1500000</v>
      </c>
      <c r="P565" t="n">
        <v>1500000</v>
      </c>
      <c r="Q565">
        <f>IF(COUNT(O565:P565)=0,"",AVERAGE(O565:P565))</f>
        <v/>
      </c>
      <c r="R565">
        <f>IF(Q565&lt;&gt;"",Q565,IF(N565&lt;&gt;"",ROUND(N565*(1+$B$2),0),""))</f>
        <v/>
      </c>
      <c r="S565">
        <f>IF(AND(N565&lt;&gt;"",Q565&lt;&gt;"",N565&lt;&gt;0),(Q565-N565)/N565,"")</f>
        <v/>
      </c>
      <c r="T565" t="inlineStr">
        <is>
          <t>2025</t>
        </is>
      </c>
      <c r="V565" t="inlineStr">
        <is>
          <t>Disney Run OCBC</t>
        </is>
      </c>
      <c r="X565" t="inlineStr">
        <is>
          <t>OK</t>
        </is>
      </c>
      <c r="Y565" t="inlineStr">
        <is>
          <t>tenda sarnafil 5x5 (putih, incl. flooring) | unit/day</t>
        </is>
      </c>
    </row>
    <row r="566">
      <c r="A566" t="n">
        <v>562</v>
      </c>
      <c r="B566" t="inlineStr">
        <is>
          <t>🕌 MUI EVENT DATA</t>
        </is>
      </c>
      <c r="C566" t="n">
        <v>53</v>
      </c>
      <c r="D566" t="inlineStr">
        <is>
          <t>MUI Real Cost</t>
        </is>
      </c>
      <c r="E566" t="inlineStr">
        <is>
          <t>MUI/EO</t>
        </is>
      </c>
      <c r="F566" t="inlineStr">
        <is>
          <t>Venue Setup</t>
        </is>
      </c>
      <c r="H566" t="inlineStr">
        <is>
          <t>Cable Canal</t>
        </is>
      </c>
      <c r="I566" t="inlineStr">
        <is>
          <t>per meter</t>
        </is>
      </c>
      <c r="J566" t="inlineStr">
        <is>
          <t>meter/day</t>
        </is>
      </c>
      <c r="K566" t="inlineStr">
        <is>
          <t>1</t>
        </is>
      </c>
      <c r="L566" t="n">
        <v>0</v>
      </c>
      <c r="M566" t="n">
        <v>0</v>
      </c>
      <c r="N566">
        <f>IF(COUNT(L566:M566)=0,"",AVERAGE(L566:M566))</f>
        <v/>
      </c>
      <c r="Q566">
        <f>IF(COUNT(O566:P566)=0,"",AVERAGE(O566:P566))</f>
        <v/>
      </c>
      <c r="R566">
        <f>IF(Q566&lt;&gt;"",Q566,IF(N566&lt;&gt;"",ROUND(N566*(1+$B$2),0),""))</f>
        <v/>
      </c>
      <c r="S566">
        <f>IF(AND(N566&lt;&gt;"",Q566&lt;&gt;"",N566&lt;&gt;0),(Q566-N566)/N566,"")</f>
        <v/>
      </c>
      <c r="T566" t="inlineStr">
        <is>
          <t>2026</t>
        </is>
      </c>
      <c r="U566" t="inlineStr">
        <is>
          <t>MUI Istiqlal 2026</t>
        </is>
      </c>
      <c r="V566" t="inlineStr">
        <is>
          <t>Real-CE: cost included</t>
        </is>
      </c>
      <c r="X566" t="inlineStr">
        <is>
          <t>Zero HPP - included/package</t>
        </is>
      </c>
      <c r="Y566" t="inlineStr">
        <is>
          <t>cable canal | meter/day</t>
        </is>
      </c>
    </row>
    <row r="567">
      <c r="A567" t="n">
        <v>563</v>
      </c>
      <c r="B567" t="inlineStr">
        <is>
          <t>🕌 MUI EVENT DATA</t>
        </is>
      </c>
      <c r="C567" t="n">
        <v>51</v>
      </c>
      <c r="D567" t="inlineStr">
        <is>
          <t>MUI Real Cost</t>
        </is>
      </c>
      <c r="E567" t="inlineStr">
        <is>
          <t>MUI/EO</t>
        </is>
      </c>
      <c r="F567" t="inlineStr">
        <is>
          <t>Venue Setup</t>
        </is>
      </c>
      <c r="H567" t="inlineStr">
        <is>
          <t>Instalasi Listrik Area</t>
        </is>
      </c>
      <c r="I567" t="inlineStr">
        <is>
          <t>indoor + outdoor</t>
        </is>
      </c>
      <c r="J567" t="inlineStr">
        <is>
          <t>pckg</t>
        </is>
      </c>
      <c r="K567" t="inlineStr">
        <is>
          <t>1</t>
        </is>
      </c>
      <c r="L567" t="n">
        <v>3500000</v>
      </c>
      <c r="M567" t="n">
        <v>3500000</v>
      </c>
      <c r="N567">
        <f>IF(COUNT(L567:M567)=0,"",AVERAGE(L567:M567))</f>
        <v/>
      </c>
      <c r="Q567">
        <f>IF(COUNT(O567:P567)=0,"",AVERAGE(O567:P567))</f>
        <v/>
      </c>
      <c r="R567">
        <f>IF(Q567&lt;&gt;"",Q567,IF(N567&lt;&gt;"",ROUND(N567*(1+$B$2),0),""))</f>
        <v/>
      </c>
      <c r="S567">
        <f>IF(AND(N567&lt;&gt;"",Q567&lt;&gt;"",N567&lt;&gt;0),(Q567-N567)/N567,"")</f>
        <v/>
      </c>
      <c r="T567" t="inlineStr">
        <is>
          <t>2026</t>
        </is>
      </c>
      <c r="U567" t="inlineStr">
        <is>
          <t>MUI Istiqlal 2026</t>
        </is>
      </c>
      <c r="V567" t="inlineStr">
        <is>
          <t>Real-CE MUI</t>
        </is>
      </c>
      <c r="X567" t="inlineStr">
        <is>
          <t>OK</t>
        </is>
      </c>
      <c r="Y567" t="inlineStr">
        <is>
          <t>instalasi listrik area | pckg</t>
        </is>
      </c>
    </row>
    <row r="568">
      <c r="A568" t="n">
        <v>564</v>
      </c>
      <c r="B568" t="inlineStr">
        <is>
          <t>🕌 MUI EVENT DATA</t>
        </is>
      </c>
      <c r="C568" t="n">
        <v>15</v>
      </c>
      <c r="D568" t="inlineStr">
        <is>
          <t>MUI Real Cost</t>
        </is>
      </c>
      <c r="E568" t="inlineStr">
        <is>
          <t>MUI/EO</t>
        </is>
      </c>
      <c r="F568" t="inlineStr">
        <is>
          <t>Venue Setup</t>
        </is>
      </c>
      <c r="H568" t="inlineStr">
        <is>
          <t>Rowing (pagar pembatas area)</t>
        </is>
      </c>
      <c r="I568" t="inlineStr">
        <is>
          <t>per unit per hari</t>
        </is>
      </c>
      <c r="J568" t="inlineStr">
        <is>
          <t>unit/day</t>
        </is>
      </c>
      <c r="K568" t="inlineStr">
        <is>
          <t>200</t>
        </is>
      </c>
      <c r="L568" t="n">
        <v>110000</v>
      </c>
      <c r="M568" t="n">
        <v>110000</v>
      </c>
      <c r="N568">
        <f>IF(COUNT(L568:M568)=0,"",AVERAGE(L568:M568))</f>
        <v/>
      </c>
      <c r="Q568">
        <f>IF(COUNT(O568:P568)=0,"",AVERAGE(O568:P568))</f>
        <v/>
      </c>
      <c r="R568">
        <f>IF(Q568&lt;&gt;"",Q568,IF(N568&lt;&gt;"",ROUND(N568*(1+$B$2),0),""))</f>
        <v/>
      </c>
      <c r="S568">
        <f>IF(AND(N568&lt;&gt;"",Q568&lt;&gt;"",N568&lt;&gt;0),(Q568-N568)/N568,"")</f>
        <v/>
      </c>
      <c r="T568" t="inlineStr">
        <is>
          <t>2026</t>
        </is>
      </c>
      <c r="U568" t="inlineStr">
        <is>
          <t>MUI Istiqlal 2026</t>
        </is>
      </c>
      <c r="V568" t="inlineStr">
        <is>
          <t>Real-CE; Rp110rb/unit</t>
        </is>
      </c>
      <c r="X568" t="inlineStr">
        <is>
          <t>OK</t>
        </is>
      </c>
      <c r="Y568" t="inlineStr">
        <is>
          <t>rowing (pagar pembatas area) | unit/day</t>
        </is>
      </c>
    </row>
    <row r="569">
      <c r="A569" t="n">
        <v>565</v>
      </c>
      <c r="B569" t="inlineStr">
        <is>
          <t>🕌 MUI EVENT DATA</t>
        </is>
      </c>
      <c r="C569" t="n">
        <v>52</v>
      </c>
      <c r="D569" t="inlineStr">
        <is>
          <t>MUI Real Cost</t>
        </is>
      </c>
      <c r="E569" t="inlineStr">
        <is>
          <t>MUI/EO</t>
        </is>
      </c>
      <c r="F569" t="inlineStr">
        <is>
          <t>Venue Setup</t>
        </is>
      </c>
      <c r="H569" t="inlineStr">
        <is>
          <t>Totem Signage</t>
        </is>
      </c>
      <c r="J569" t="inlineStr">
        <is>
          <t>unit/day</t>
        </is>
      </c>
      <c r="K569" t="inlineStr">
        <is>
          <t>1</t>
        </is>
      </c>
      <c r="L569" t="n">
        <v>1000000</v>
      </c>
      <c r="M569" t="n">
        <v>1000000</v>
      </c>
      <c r="N569">
        <f>IF(COUNT(L569:M569)=0,"",AVERAGE(L569:M569))</f>
        <v/>
      </c>
      <c r="Q569">
        <f>IF(COUNT(O569:P569)=0,"",AVERAGE(O569:P569))</f>
        <v/>
      </c>
      <c r="R569">
        <f>IF(Q569&lt;&gt;"",Q569,IF(N569&lt;&gt;"",ROUND(N569*(1+$B$2),0),""))</f>
        <v/>
      </c>
      <c r="S569">
        <f>IF(AND(N569&lt;&gt;"",Q569&lt;&gt;"",N569&lt;&gt;0),(Q569-N569)/N569,"")</f>
        <v/>
      </c>
      <c r="T569" t="inlineStr">
        <is>
          <t>2026</t>
        </is>
      </c>
      <c r="U569" t="inlineStr">
        <is>
          <t>MUI Istiqlal 2026</t>
        </is>
      </c>
      <c r="V569" t="inlineStr">
        <is>
          <t>per unit</t>
        </is>
      </c>
      <c r="X569" t="inlineStr">
        <is>
          <t>OK</t>
        </is>
      </c>
      <c r="Y569" t="inlineStr">
        <is>
          <t>totem signage | unit/day</t>
        </is>
      </c>
    </row>
    <row r="570">
      <c r="A570" t="n">
        <v>566</v>
      </c>
      <c r="B570" t="inlineStr">
        <is>
          <t>🕌 MUI EVENT DATA</t>
        </is>
      </c>
      <c r="C570" t="n">
        <v>16</v>
      </c>
      <c r="D570" t="inlineStr">
        <is>
          <t>MUI Real Cost</t>
        </is>
      </c>
      <c r="E570" t="inlineStr">
        <is>
          <t>MUI/EO</t>
        </is>
      </c>
      <c r="F570" t="inlineStr">
        <is>
          <t>Venue Setup</t>
        </is>
      </c>
      <c r="H570" t="inlineStr">
        <is>
          <t>Venue Technical Support Istiqlal</t>
        </is>
      </c>
      <c r="I570" t="inlineStr">
        <is>
          <t>tim supporting masjid</t>
        </is>
      </c>
      <c r="J570" t="inlineStr">
        <is>
          <t>pckg</t>
        </is>
      </c>
      <c r="K570" t="inlineStr">
        <is>
          <t>1</t>
        </is>
      </c>
      <c r="L570" t="n">
        <v>10000000</v>
      </c>
      <c r="M570" t="n">
        <v>10000000</v>
      </c>
      <c r="N570">
        <f>IF(COUNT(L570:M570)=0,"",AVERAGE(L570:M570))</f>
        <v/>
      </c>
      <c r="Q570">
        <f>IF(COUNT(O570:P570)=0,"",AVERAGE(O570:P570))</f>
        <v/>
      </c>
      <c r="R570">
        <f>IF(Q570&lt;&gt;"",Q570,IF(N570&lt;&gt;"",ROUND(N570*(1+$B$2),0),""))</f>
        <v/>
      </c>
      <c r="S570">
        <f>IF(AND(N570&lt;&gt;"",Q570&lt;&gt;"",N570&lt;&gt;0),(Q570-N570)/N570,"")</f>
        <v/>
      </c>
      <c r="T570" t="inlineStr">
        <is>
          <t>2026</t>
        </is>
      </c>
      <c r="U570" t="inlineStr">
        <is>
          <t>MUI Istiqlal 2026</t>
        </is>
      </c>
      <c r="V570" t="inlineStr">
        <is>
          <t>Real-CE MUI</t>
        </is>
      </c>
      <c r="X570" t="inlineStr">
        <is>
          <t>OK</t>
        </is>
      </c>
      <c r="Y570" t="inlineStr">
        <is>
          <t>venue technical support istiqlal | pckg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2026-04-29T18:29:10Z</dcterms:created>
  <dcterms:modified xmlns:dcterms="http://purl.org/dc/terms/" xmlns:xsi="http://www.w3.org/2001/XMLSchema-instance" xsi:type="dcterms:W3CDTF">2026-04-29T18:55:08Z</dcterms:modified>
</cp:coreProperties>
</file>