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CARD" sheetId="1" state="visible" r:id="rId3"/>
    <sheet name="QUOTATION GENERATOR" sheetId="2" state="visible" r:id="rId4"/>
    <sheet name="CONTOH - PSI KONGRES" sheetId="3" state="visible" r:id="rId5"/>
  </sheets>
  <definedNames>
    <definedName function="false" hidden="true" localSheetId="0" name="_xlnm._FilterDatabase" vbProcedure="false">RATECARD!$A$3:$N$110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<sst xmlns="http://schemas.openxmlformats.org/spreadsheetml/2006/main" count="937" uniqueCount="318">
  <si>
    <t xml:space="preserve">DATABASE RATECARD — EVENT ORGANIZER</t>
  </si>
  <si>
    <t xml:space="preserve">PT Juara Berhasil Berkah Sejahtera  |  Last Updated: April 2025  |  Semua harga dalam Rupiah (IDR)</t>
  </si>
  <si>
    <t xml:space="preserve">ID</t>
  </si>
  <si>
    <t xml:space="preserve">KATEGORI</t>
  </si>
  <si>
    <t xml:space="preserve">SUB KATEGORI</t>
  </si>
  <si>
    <t xml:space="preserve">ITEM / LAYANAN</t>
  </si>
  <si>
    <t xml:space="preserve">SPESIFIKASI</t>
  </si>
  <si>
    <t xml:space="preserve">SATUAN</t>
  </si>
  <si>
    <t xml:space="preserve">HPP (Rp)</t>
  </si>
  <si>
    <t xml:space="preserve">SELL (Rp)</t>
  </si>
  <si>
    <t xml:space="preserve">MARGIN %</t>
  </si>
  <si>
    <t xml:space="preserve">VENDOR</t>
  </si>
  <si>
    <t xml:space="preserve">KOTA</t>
  </si>
  <si>
    <t xml:space="preserve">NOTES</t>
  </si>
  <si>
    <t xml:space="preserve">STATUS</t>
  </si>
  <si>
    <t xml:space="preserve">LAST UPDATE</t>
  </si>
  <si>
    <t xml:space="preserve">A — PLANNING &amp; REPORTING</t>
  </si>
  <si>
    <t xml:space="preserve">A</t>
  </si>
  <si>
    <t xml:space="preserve">PLANNING &amp; REPORTING</t>
  </si>
  <si>
    <t xml:space="preserve">Planning</t>
  </si>
  <si>
    <t xml:space="preserve">Project Plan</t>
  </si>
  <si>
    <t xml:space="preserve">Creative Plan, 3D Design, 2D Design</t>
  </si>
  <si>
    <t xml:space="preserve">paket</t>
  </si>
  <si>
    <t xml:space="preserve">Termasuk creative plan, 3D &amp; 2D design</t>
  </si>
  <si>
    <t xml:space="preserve">AKTIF</t>
  </si>
  <si>
    <t xml:space="preserve">Apr-2025</t>
  </si>
  <si>
    <t xml:space="preserve">Safety Security &amp; Services Plan</t>
  </si>
  <si>
    <t xml:space="preserve">Manual book, Registration flow, Animation</t>
  </si>
  <si>
    <t xml:space="preserve">Termasuk manual book kepesertaan &amp; flow planning</t>
  </si>
  <si>
    <t xml:space="preserve">Event Reporting</t>
  </si>
  <si>
    <t xml:space="preserve">Laporan akhir event</t>
  </si>
  <si>
    <t xml:space="preserve">B — PERMIT &amp; KEAMANAN</t>
  </si>
  <si>
    <t xml:space="preserve">B</t>
  </si>
  <si>
    <t xml:space="preserve">PERMIT &amp; KEAMANAN</t>
  </si>
  <si>
    <t xml:space="preserve">Perizinan</t>
  </si>
  <si>
    <t xml:space="preserve">Permit POLDA/POLRES/POLSEK</t>
  </si>
  <si>
    <t xml:space="preserve">Izin keramaian lengkap</t>
  </si>
  <si>
    <t xml:space="preserve">Includes POLDA, POLRES, POLSEK</t>
  </si>
  <si>
    <t xml:space="preserve">PAM (Pengamanan)</t>
  </si>
  <si>
    <t xml:space="preserve">Per personil per hari</t>
  </si>
  <si>
    <t xml:space="preserve">orang/hari</t>
  </si>
  <si>
    <t xml:space="preserve">Ambulance</t>
  </si>
  <si>
    <t xml:space="preserve">Per unit per shift</t>
  </si>
  <si>
    <t xml:space="preserve">unit/shift</t>
  </si>
  <si>
    <t xml:space="preserve">Damkar</t>
  </si>
  <si>
    <t xml:space="preserve">Per unit per hari</t>
  </si>
  <si>
    <t xml:space="preserve">unit/hari</t>
  </si>
  <si>
    <t xml:space="preserve">C — VENUE &amp; SETUP</t>
  </si>
  <si>
    <t xml:space="preserve">C</t>
  </si>
  <si>
    <t xml:space="preserve">VENUE &amp; SETUP</t>
  </si>
  <si>
    <t xml:space="preserve">Venue</t>
  </si>
  <si>
    <t xml:space="preserve">Sewa Venue (Weekday)</t>
  </si>
  <si>
    <t xml:space="preserve">lot/hari</t>
  </si>
  <si>
    <t xml:space="preserve">Harga sesuai negosiasi venue</t>
  </si>
  <si>
    <t xml:space="preserve">Sewa Venue (Weekend)</t>
  </si>
  <si>
    <t xml:space="preserve">Furniture</t>
  </si>
  <si>
    <t xml:space="preserve">Round Table</t>
  </si>
  <si>
    <t xml:space="preserve">Futura Chair</t>
  </si>
  <si>
    <t xml:space="preserve">IBM Table</t>
  </si>
  <si>
    <t xml:space="preserve">Centerpiece Fresh Flower</t>
  </si>
  <si>
    <t xml:space="preserve">Rangkaian bunga segar</t>
  </si>
  <si>
    <t xml:space="preserve">Technical - Stage</t>
  </si>
  <si>
    <t xml:space="preserve">Main Stage</t>
  </si>
  <si>
    <t xml:space="preserve">dim. 10x4 m</t>
  </si>
  <si>
    <t xml:space="preserve">paket/hari</t>
  </si>
  <si>
    <t xml:space="preserve">Main LED Screen</t>
  </si>
  <si>
    <t xml:space="preserve">Per meter persegi</t>
  </si>
  <si>
    <t xml:space="preserve">m2/hari</t>
  </si>
  <si>
    <t xml:space="preserve">Wing LED Screen</t>
  </si>
  <si>
    <t xml:space="preserve">Sound System</t>
  </si>
  <si>
    <t xml:space="preserve">40.000 watt</t>
  </si>
  <si>
    <t xml:space="preserve">Mic Gooseneck</t>
  </si>
  <si>
    <t xml:space="preserve">Per unit</t>
  </si>
  <si>
    <t xml:space="preserve">Lighting System</t>
  </si>
  <si>
    <t xml:space="preserve">Full rig</t>
  </si>
  <si>
    <t xml:space="preserve">Rigging System</t>
  </si>
  <si>
    <t xml:space="preserve">Live Camera System</t>
  </si>
  <si>
    <t xml:space="preserve">Multi-cam</t>
  </si>
  <si>
    <t xml:space="preserve">Pataka / Flagpole</t>
  </si>
  <si>
    <t xml:space="preserve">Power &amp; Utilities</t>
  </si>
  <si>
    <t xml:space="preserve">Generator 60 KVA</t>
  </si>
  <si>
    <t xml:space="preserve">Generator 80 KVA</t>
  </si>
  <si>
    <t xml:space="preserve">Listrik (Titik Daya)</t>
  </si>
  <si>
    <t xml:space="preserve">Per titik</t>
  </si>
  <si>
    <t xml:space="preserve">titik/hari</t>
  </si>
  <si>
    <t xml:space="preserve">Internet Dedicated 1:1</t>
  </si>
  <si>
    <t xml:space="preserve">Dedicated line</t>
  </si>
  <si>
    <t xml:space="preserve">Safety System</t>
  </si>
  <si>
    <t xml:space="preserve">CCTV System</t>
  </si>
  <si>
    <t xml:space="preserve">Full coverage</t>
  </si>
  <si>
    <t xml:space="preserve">Gate Entrance System</t>
  </si>
  <si>
    <t xml:space="preserve">Face recognition</t>
  </si>
  <si>
    <t xml:space="preserve">Area Setup</t>
  </si>
  <si>
    <t xml:space="preserve">Gate Lobby</t>
  </si>
  <si>
    <t xml:space="preserve">Pintu masuk utama</t>
  </si>
  <si>
    <t xml:space="preserve">Registrasi Backdrop</t>
  </si>
  <si>
    <t xml:space="preserve">dim. 488x244 cm</t>
  </si>
  <si>
    <t xml:space="preserve">Wall of Fame / Photobooth</t>
  </si>
  <si>
    <t xml:space="preserve">dim. 2x3 m</t>
  </si>
  <si>
    <t xml:space="preserve">Registrasi Table</t>
  </si>
  <si>
    <t xml:space="preserve">D — TALENT</t>
  </si>
  <si>
    <t xml:space="preserve">D</t>
  </si>
  <si>
    <t xml:space="preserve">TALENT</t>
  </si>
  <si>
    <t xml:space="preserve">MC / Pembawa Acara</t>
  </si>
  <si>
    <t xml:space="preserve">MC (Nasional)</t>
  </si>
  <si>
    <t xml:space="preserve">Fee + riders</t>
  </si>
  <si>
    <t xml:space="preserve">Riders MC</t>
  </si>
  <si>
    <t xml:space="preserve">Akomodasi &amp; transport MC</t>
  </si>
  <si>
    <t xml:space="preserve">Entertainer</t>
  </si>
  <si>
    <t xml:space="preserve">Dancer Opening Ceremony</t>
  </si>
  <si>
    <t xml:space="preserve">Grup dancer</t>
  </si>
  <si>
    <t xml:space="preserve">Riders Dancer</t>
  </si>
  <si>
    <t xml:space="preserve">Akomodasi &amp; transport dancer</t>
  </si>
  <si>
    <t xml:space="preserve">Band / Performer</t>
  </si>
  <si>
    <t xml:space="preserve">Harga menyesuaikan artis</t>
  </si>
  <si>
    <t xml:space="preserve">Comedian / Stand-up</t>
  </si>
  <si>
    <t xml:space="preserve">paket/show</t>
  </si>
  <si>
    <t xml:space="preserve">E — PARTICIPANT</t>
  </si>
  <si>
    <t xml:space="preserve">E</t>
  </si>
  <si>
    <t xml:space="preserve">PARTICIPANT</t>
  </si>
  <si>
    <t xml:space="preserve">ID Card &amp; Accreditation</t>
  </si>
  <si>
    <t xml:space="preserve">ID Card VIP / DPP (PVC)</t>
  </si>
  <si>
    <t xml:space="preserve">Per pcs</t>
  </si>
  <si>
    <t xml:space="preserve">pcs</t>
  </si>
  <si>
    <t xml:space="preserve">ID Card Peserta (PVC)</t>
  </si>
  <si>
    <t xml:space="preserve">Lanyard</t>
  </si>
  <si>
    <t xml:space="preserve">Catering</t>
  </si>
  <si>
    <t xml:space="preserve">Catering VIP</t>
  </si>
  <si>
    <t xml:space="preserve">Per pax per sesi</t>
  </si>
  <si>
    <t xml:space="preserve">pax/sesi</t>
  </si>
  <si>
    <t xml:space="preserve">Catering Peserta</t>
  </si>
  <si>
    <t xml:space="preserve">Coffee Break VIP</t>
  </si>
  <si>
    <t xml:space="preserve">Coffee Break Peserta</t>
  </si>
  <si>
    <t xml:space="preserve">Mineral Water Botol 600ml</t>
  </si>
  <si>
    <t xml:space="preserve">Per botol</t>
  </si>
  <si>
    <t xml:space="preserve">botol</t>
  </si>
  <si>
    <t xml:space="preserve">Meeting Kit</t>
  </si>
  <si>
    <t xml:space="preserve">Meeting Kit Peserta</t>
  </si>
  <si>
    <t xml:space="preserve">Alat tulis, buku, file folder</t>
  </si>
  <si>
    <t xml:space="preserve">set</t>
  </si>
  <si>
    <t xml:space="preserve">Goodie Bag / Souvenir</t>
  </si>
  <si>
    <t xml:space="preserve">Harga menyesuaikan spesifikasi</t>
  </si>
  <si>
    <t xml:space="preserve">F — COMMITTEE &amp; SDM</t>
  </si>
  <si>
    <t xml:space="preserve">F</t>
  </si>
  <si>
    <t xml:space="preserve">COMMITTEE &amp; SDM</t>
  </si>
  <si>
    <t xml:space="preserve">Project Team</t>
  </si>
  <si>
    <t xml:space="preserve">Project Officer</t>
  </si>
  <si>
    <t xml:space="preserve">Per event</t>
  </si>
  <si>
    <t xml:space="preserve">orang/event</t>
  </si>
  <si>
    <t xml:space="preserve">Traffic &amp; Administrator</t>
  </si>
  <si>
    <t xml:space="preserve">Production Manager</t>
  </si>
  <si>
    <t xml:space="preserve">Production Staff</t>
  </si>
  <si>
    <t xml:space="preserve">Per orang per hari</t>
  </si>
  <si>
    <t xml:space="preserve">Floor Manager</t>
  </si>
  <si>
    <t xml:space="preserve">Floor Staff</t>
  </si>
  <si>
    <t xml:space="preserve">Usher (incl. wardrobe)</t>
  </si>
  <si>
    <t xml:space="preserve">Logistic Manager</t>
  </si>
  <si>
    <t xml:space="preserve">Logistic Staff</t>
  </si>
  <si>
    <t xml:space="preserve">Show Management Team</t>
  </si>
  <si>
    <t xml:space="preserve">tim/event</t>
  </si>
  <si>
    <t xml:space="preserve">Safety &amp; Security Team</t>
  </si>
  <si>
    <t xml:space="preserve">Safety Security Officer</t>
  </si>
  <si>
    <t xml:space="preserve">Safety Security Supervisor</t>
  </si>
  <si>
    <t xml:space="preserve">Technical Supervisor</t>
  </si>
  <si>
    <t xml:space="preserve">Crew Gate</t>
  </si>
  <si>
    <t xml:space="preserve">Head Security</t>
  </si>
  <si>
    <t xml:space="preserve">Security</t>
  </si>
  <si>
    <t xml:space="preserve">Head Crowd Control</t>
  </si>
  <si>
    <t xml:space="preserve">Crowd Control</t>
  </si>
  <si>
    <t xml:space="preserve">PIC Kepesertaan</t>
  </si>
  <si>
    <t xml:space="preserve">Kepesertaan Staff</t>
  </si>
  <si>
    <t xml:space="preserve">Parking Koordinator</t>
  </si>
  <si>
    <t xml:space="preserve">Parking Staff</t>
  </si>
  <si>
    <t xml:space="preserve">Protokoler Liaison</t>
  </si>
  <si>
    <t xml:space="preserve">Seating Arrangement Staff</t>
  </si>
  <si>
    <t xml:space="preserve">Per orang per event</t>
  </si>
  <si>
    <t xml:space="preserve">G — EQUIPMENT &amp; OPERASIONAL</t>
  </si>
  <si>
    <t xml:space="preserve">G</t>
  </si>
  <si>
    <t xml:space="preserve">EQUIPMENT &amp; OPERASIONAL</t>
  </si>
  <si>
    <t xml:space="preserve">Transportasi</t>
  </si>
  <si>
    <t xml:space="preserve">Rent Car (Avanza/Innova)</t>
  </si>
  <si>
    <t xml:space="preserve">Rent Bus Pariwisata</t>
  </si>
  <si>
    <t xml:space="preserve">Akomodasi</t>
  </si>
  <si>
    <t xml:space="preserve">Hotel Room (Bintang 3)</t>
  </si>
  <si>
    <t xml:space="preserve">Per kamar per malam</t>
  </si>
  <si>
    <t xml:space="preserve">kamar/malam</t>
  </si>
  <si>
    <t xml:space="preserve">Hotel Room (Bintang 4)</t>
  </si>
  <si>
    <t xml:space="preserve">Konsumsi Tim</t>
  </si>
  <si>
    <t xml:space="preserve">Snack Tim</t>
  </si>
  <si>
    <t xml:space="preserve">Per porsi per hari</t>
  </si>
  <si>
    <t xml:space="preserve">porsi/hari</t>
  </si>
  <si>
    <t xml:space="preserve">Meals Tim</t>
  </si>
  <si>
    <t xml:space="preserve">AMDK (Air Mineral Galon/Karton)</t>
  </si>
  <si>
    <t xml:space="preserve">Per karton</t>
  </si>
  <si>
    <t xml:space="preserve">karton</t>
  </si>
  <si>
    <t xml:space="preserve">Refreshment Loading Crew</t>
  </si>
  <si>
    <t xml:space="preserve">Per sesi</t>
  </si>
  <si>
    <t xml:space="preserve">Komunikasi</t>
  </si>
  <si>
    <t xml:space="preserve">HT / Icom</t>
  </si>
  <si>
    <t xml:space="preserve">Perlengkapan Kantor</t>
  </si>
  <si>
    <t xml:space="preserve">Laptop</t>
  </si>
  <si>
    <t xml:space="preserve">Printer</t>
  </si>
  <si>
    <t xml:space="preserve">ATK (Alat Tulis Kantor)</t>
  </si>
  <si>
    <t xml:space="preserve">Per paket event</t>
  </si>
  <si>
    <t xml:space="preserve">paket/event</t>
  </si>
  <si>
    <t xml:space="preserve">Accreditation Tim</t>
  </si>
  <si>
    <t xml:space="preserve">ID Card &amp; Lanyard EO Tim</t>
  </si>
  <si>
    <t xml:space="preserve">H — PUBLIKASI &amp; PROMOSI</t>
  </si>
  <si>
    <t xml:space="preserve">H</t>
  </si>
  <si>
    <t xml:space="preserve">PUBLIKASI &amp; PROMOSI</t>
  </si>
  <si>
    <t xml:space="preserve">Branding Material</t>
  </si>
  <si>
    <t xml:space="preserve">Umbul-umbul</t>
  </si>
  <si>
    <t xml:space="preserve">unit</t>
  </si>
  <si>
    <t xml:space="preserve">Bendera Partai / Korporat</t>
  </si>
  <si>
    <t xml:space="preserve">Spanduk / Banner</t>
  </si>
  <si>
    <t xml:space="preserve">Backdrop (printing)</t>
  </si>
  <si>
    <t xml:space="preserve">Per m2</t>
  </si>
  <si>
    <t xml:space="preserve">m2</t>
  </si>
  <si>
    <t xml:space="preserve">Roll Banner</t>
  </si>
  <si>
    <t xml:space="preserve">Dokumentasi</t>
  </si>
  <si>
    <t xml:space="preserve">Event Documentation Package</t>
  </si>
  <si>
    <t xml:space="preserve">Foto + video + highlight + bumper</t>
  </si>
  <si>
    <t xml:space="preserve">Termasuk photographer, videographer, highlight video, event bumper</t>
  </si>
  <si>
    <t xml:space="preserve">Photographer</t>
  </si>
  <si>
    <t xml:space="preserve">Per hari</t>
  </si>
  <si>
    <t xml:space="preserve">Videographer</t>
  </si>
  <si>
    <t xml:space="preserve">Live Streaming</t>
  </si>
  <si>
    <t xml:space="preserve">I — FEES &amp; SURVEY</t>
  </si>
  <si>
    <t xml:space="preserve">I</t>
  </si>
  <si>
    <t xml:space="preserve">FEES &amp; SURVEY</t>
  </si>
  <si>
    <t xml:space="preserve">Survey</t>
  </si>
  <si>
    <t xml:space="preserve">Per Diem Tim Survey</t>
  </si>
  <si>
    <t xml:space="preserve">Transport Survey</t>
  </si>
  <si>
    <t xml:space="preserve">Konsumsi Tim Survey</t>
  </si>
  <si>
    <t xml:space="preserve">Management Fee</t>
  </si>
  <si>
    <t xml:space="preserve">Management Fee / Jasa EO</t>
  </si>
  <si>
    <t xml:space="preserve">% dari total HPP</t>
  </si>
  <si>
    <t xml:space="preserve">persen</t>
  </si>
  <si>
    <t xml:space="preserve">Biasanya 15-25% dari total HPP</t>
  </si>
  <si>
    <t xml:space="preserve">KETERANGAN:</t>
  </si>
  <si>
    <t xml:space="preserve">Harga HPP = Harga Pokok Pembelian dari vendor. Harga SELL = Harga jual ke client. Margin % = (Sell-HPP)/Sell.</t>
  </si>
  <si>
    <t xml:space="preserve">QUOTATION GENERATOR — EVENT ORGANIZER</t>
  </si>
  <si>
    <t xml:space="preserve">INFORMASI EVENT</t>
  </si>
  <si>
    <t xml:space="preserve">CLIENT</t>
  </si>
  <si>
    <t xml:space="preserve">NAMA EVENT</t>
  </si>
  <si>
    <t xml:space="preserve">TANGGAL</t>
  </si>
  <si>
    <t xml:space="preserve">VENUE</t>
  </si>
  <si>
    <t xml:space="preserve">NO. QUOTATION</t>
  </si>
  <si>
    <t xml:space="preserve">PREPARED BY</t>
  </si>
  <si>
    <t xml:space="preserve">DETAIL ITEMS QUOTATION</t>
  </si>
  <si>
    <t xml:space="preserve">NO</t>
  </si>
  <si>
    <t xml:space="preserve">SAT</t>
  </si>
  <si>
    <t xml:space="preserve">QTY</t>
  </si>
  <si>
    <t xml:space="preserve">FRQ</t>
  </si>
  <si>
    <t xml:space="preserve">HPP SATUAN (Rp)</t>
  </si>
  <si>
    <t xml:space="preserve">TOTAL HPP (Rp)</t>
  </si>
  <si>
    <t xml:space="preserve">SELL SATUAN (Rp)</t>
  </si>
  <si>
    <t xml:space="preserve">TOTAL SELL (Rp)</t>
  </si>
  <si>
    <t xml:space="preserve">TOTAL HPP</t>
  </si>
  <si>
    <t xml:space="preserve">TOTAL SELL (SEBELUM PPN)</t>
  </si>
  <si>
    <t xml:space="preserve">MANAGEMENT FEE (15%)</t>
  </si>
  <si>
    <t xml:space="preserve">PPN 12%</t>
  </si>
  <si>
    <t xml:space="preserve">TOTAL HPP + MGMT FEE</t>
  </si>
  <si>
    <t xml:space="preserve">TOTAL SELL + PPN</t>
  </si>
  <si>
    <t xml:space="preserve">MARGIN BERSIH (Rp)</t>
  </si>
  <si>
    <t xml:space="preserve">MARGIN BERSIH (%)</t>
  </si>
  <si>
    <t xml:space="preserve">CARA PENGGUNAAN:</t>
  </si>
  <si>
    <t xml:space="preserve">1. Isi informasi event di bagian atas (Client, Nama Event, Tanggal, Venue, Kota, No. Quotation).</t>
  </si>
  <si>
    <t xml:space="preserve">2. Di tabel item, isi KATEGORI (lihat sheet RATECARD), ITEM/LAYANAN, SPESIFIKASI, SATUAN.</t>
  </si>
  <si>
    <t xml:space="preserve">3. Isi QTY (jumlah unit) dan FRQ (frekuensi/hari/shift).</t>
  </si>
  <si>
    <t xml:space="preserve">4. Copy harga HPP dan SELL dari sheet RATECARD ke kolom HPP SATUAN &amp; SELL SATUAN.</t>
  </si>
  <si>
    <t xml:space="preserve">5. Total HPP dan Total SELL akan otomatis terhitung. Margin % juga otomatis.</t>
  </si>
  <si>
    <t xml:space="preserve">6. Gunakan ringkasan di bawah tabel untuk melihat total akhir termasuk Management Fee dan PPN 12%.</t>
  </si>
  <si>
    <t xml:space="preserve">CONTOH QUOTATION — Kongres Nasional PSI, Solo, 19 Juli 2025</t>
  </si>
  <si>
    <t xml:space="preserve">Sheet ini adalah CONTOH berdasarkan file CE_PSI Kongres Partai Terbuka.xlsx. Gunakan sebagai referensi cara mengisi Quotation Generator.</t>
  </si>
  <si>
    <t xml:space="preserve">ITEM</t>
  </si>
  <si>
    <t xml:space="preserve">SPEC</t>
  </si>
  <si>
    <t xml:space="preserve">HPP SAT</t>
  </si>
  <si>
    <t xml:space="preserve">SELL SAT</t>
  </si>
  <si>
    <t xml:space="preserve">TOTAL SELL</t>
  </si>
  <si>
    <t xml:space="preserve">MARGIN%</t>
  </si>
  <si>
    <t xml:space="preserve">A - PLANNING</t>
  </si>
  <si>
    <t xml:space="preserve">Creative, 3D, 2D Design</t>
  </si>
  <si>
    <t xml:space="preserve">60.0%</t>
  </si>
  <si>
    <t xml:space="preserve">Safety &amp; Security Plan</t>
  </si>
  <si>
    <t xml:space="preserve">Manual book, Animation</t>
  </si>
  <si>
    <t xml:space="preserve">33.3%</t>
  </si>
  <si>
    <t xml:space="preserve">Laporan akhir</t>
  </si>
  <si>
    <t xml:space="preserve">50.0%</t>
  </si>
  <si>
    <t xml:space="preserve">B - PERMIT</t>
  </si>
  <si>
    <t xml:space="preserve">Izin keramaian</t>
  </si>
  <si>
    <t xml:space="preserve">PAM</t>
  </si>
  <si>
    <t xml:space="preserve">org/hr</t>
  </si>
  <si>
    <t xml:space="preserve">20.0%</t>
  </si>
  <si>
    <t xml:space="preserve">C - VENUE</t>
  </si>
  <si>
    <t xml:space="preserve">Futura Chair - Main Hall</t>
  </si>
  <si>
    <t xml:space="preserve">unit/hr</t>
  </si>
  <si>
    <t xml:space="preserve">40.0%</t>
  </si>
  <si>
    <t xml:space="preserve">Sound System 40.000W</t>
  </si>
  <si>
    <t xml:space="preserve">paket/hr</t>
  </si>
  <si>
    <t xml:space="preserve">4x10m = 40 m2</t>
  </si>
  <si>
    <t xml:space="preserve">m2/hr</t>
  </si>
  <si>
    <t xml:space="preserve">10.0%</t>
  </si>
  <si>
    <t xml:space="preserve">D - TALENT</t>
  </si>
  <si>
    <t xml:space="preserve">MC</t>
  </si>
  <si>
    <t xml:space="preserve">Fee + Riders</t>
  </si>
  <si>
    <t xml:space="preserve">E - PARTICIPANT</t>
  </si>
  <si>
    <t xml:space="preserve">14.0%</t>
  </si>
  <si>
    <t xml:space="preserve">ATK, buku, file</t>
  </si>
  <si>
    <t xml:space="preserve">41.2%</t>
  </si>
  <si>
    <t xml:space="preserve">F - COMMITTEE</t>
  </si>
  <si>
    <t xml:space="preserve">37.5%</t>
  </si>
  <si>
    <t xml:space="preserve">G - OPERASIONAL</t>
  </si>
  <si>
    <t xml:space="preserve">46.2%</t>
  </si>
  <si>
    <t xml:space="preserve">H - PUBLIKASI</t>
  </si>
  <si>
    <t xml:space="preserve">Event Documentation</t>
  </si>
  <si>
    <t xml:space="preserve">Foto+video+highlight</t>
  </si>
  <si>
    <t xml:space="preserve">TOTAL CONTOH (Sebagian Item)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</si>
</sst>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#,##0;\(#,##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80"/>
      <name val="Arial"/>
      <family val="0"/>
      <charset val="1"/>
    </font>
    <font>
      <b val="true"/>
      <sz val="9"/>
      <color rgb="FF00008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000080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375623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0FFF0"/>
      </patternFill>
    </fill>
    <fill>
      <patternFill patternType="solid">
        <fgColor rgb="FFEBF3FA"/>
        <bgColor rgb="FFF0FFF0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E2EFDA"/>
      </patternFill>
    </fill>
    <fill>
      <patternFill patternType="solid">
        <fgColor rgb="FF375623"/>
        <bgColor rgb="FF2E4057"/>
      </patternFill>
    </fill>
    <fill>
      <patternFill patternType="solid">
        <fgColor rgb="FFE2EFDA"/>
        <bgColor rgb="FFEBF3FA"/>
      </patternFill>
    </fill>
    <fill>
      <patternFill patternType="solid">
        <fgColor rgb="FFF0FFF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EBF3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FF0"/>
      <rgbColor rgb="FFEBF3FA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2"/>
    <col collapsed="false" customWidth="true" hidden="false" outlineLevel="0" max="4" min="4" style="1" width="32"/>
    <col collapsed="false" customWidth="true" hidden="false" outlineLevel="0" max="5" min="5" style="1" width="28"/>
    <col collapsed="false" customWidth="true" hidden="false" outlineLevel="0" max="6" min="6" style="1" width="10"/>
    <col collapsed="false" customWidth="true" hidden="false" outlineLevel="0" max="8" min="7" style="1" width="16"/>
    <col collapsed="false" customWidth="true" hidden="false" outlineLevel="0" max="9" min="9" style="1" width="10"/>
    <col collapsed="false" customWidth="true" hidden="false" outlineLevel="0" max="10" min="10" style="1" width="20"/>
    <col collapsed="false" customWidth="true" hidden="false" outlineLevel="0" max="11" min="11" style="1" width="12"/>
    <col collapsed="false" customWidth="true" hidden="false" outlineLevel="0" max="12" min="12" style="1" width="30"/>
    <col collapsed="false" customWidth="true" hidden="false" outlineLevel="0" max="13" min="13" style="1" width="12"/>
    <col collapsed="false" customWidth="true" hidden="false" outlineLevel="0" max="14" min="14" style="1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customFormat="false" ht="18" hidden="false" customHeight="true" outlineLevel="0" collapsed="false">
      <c r="A4" s="5" t="s">
        <v>16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.75" hidden="false" customHeight="true" outlineLevel="0" collapsed="false">
      <c r="A5" s="6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6" t="s">
        <v>22</v>
      </c>
      <c r="G5" s="8" t="n">
        <v>10000000</v>
      </c>
      <c r="H5" s="9" t="n">
        <v>25000000</v>
      </c>
      <c r="I5" s="10" t="n">
        <f aca="false">IF(G5=0,"",IF(H5=0,"",(H5-G5)/H5))</f>
        <v>0.6</v>
      </c>
      <c r="J5" s="7"/>
      <c r="K5" s="6"/>
      <c r="L5" s="7" t="s">
        <v>23</v>
      </c>
      <c r="M5" s="6" t="s">
        <v>24</v>
      </c>
      <c r="N5" s="6" t="s">
        <v>25</v>
      </c>
    </row>
    <row r="6" customFormat="false" ht="15.75" hidden="false" customHeight="true" outlineLevel="0" collapsed="false">
      <c r="A6" s="11" t="s">
        <v>17</v>
      </c>
      <c r="B6" s="12" t="s">
        <v>18</v>
      </c>
      <c r="C6" s="12" t="s">
        <v>19</v>
      </c>
      <c r="D6" s="12" t="s">
        <v>26</v>
      </c>
      <c r="E6" s="12" t="s">
        <v>27</v>
      </c>
      <c r="F6" s="11" t="s">
        <v>22</v>
      </c>
      <c r="G6" s="13" t="n">
        <v>10000000</v>
      </c>
      <c r="H6" s="14" t="n">
        <v>15000000</v>
      </c>
      <c r="I6" s="15" t="n">
        <f aca="false">IF(G6=0,"",IF(H6=0,"",(H6-G6)/H6))</f>
        <v>0.333333333333333</v>
      </c>
      <c r="J6" s="12"/>
      <c r="K6" s="11"/>
      <c r="L6" s="12" t="s">
        <v>28</v>
      </c>
      <c r="M6" s="11" t="s">
        <v>24</v>
      </c>
      <c r="N6" s="11" t="s">
        <v>25</v>
      </c>
    </row>
    <row r="7" customFormat="false" ht="15.75" hidden="false" customHeight="true" outlineLevel="0" collapsed="false">
      <c r="A7" s="6" t="s">
        <v>17</v>
      </c>
      <c r="B7" s="7" t="s">
        <v>18</v>
      </c>
      <c r="C7" s="7" t="s">
        <v>29</v>
      </c>
      <c r="D7" s="7" t="s">
        <v>29</v>
      </c>
      <c r="E7" s="7" t="s">
        <v>30</v>
      </c>
      <c r="F7" s="6" t="s">
        <v>22</v>
      </c>
      <c r="G7" s="8" t="n">
        <v>5000000</v>
      </c>
      <c r="H7" s="9" t="n">
        <v>10000000</v>
      </c>
      <c r="I7" s="10" t="n">
        <f aca="false">IF(G7=0,"",IF(H7=0,"",(H7-G7)/H7))</f>
        <v>0.5</v>
      </c>
      <c r="J7" s="7"/>
      <c r="K7" s="6"/>
      <c r="L7" s="7"/>
      <c r="M7" s="6" t="s">
        <v>24</v>
      </c>
      <c r="N7" s="6" t="s">
        <v>25</v>
      </c>
    </row>
    <row r="8" customFormat="false" ht="18" hidden="false" customHeight="true" outlineLevel="0" collapsed="false">
      <c r="A8" s="5" t="s">
        <v>31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.75" hidden="false" customHeight="true" outlineLevel="0" collapsed="false">
      <c r="A9" s="6" t="s">
        <v>32</v>
      </c>
      <c r="B9" s="7" t="s">
        <v>33</v>
      </c>
      <c r="C9" s="7" t="s">
        <v>34</v>
      </c>
      <c r="D9" s="7" t="s">
        <v>35</v>
      </c>
      <c r="E9" s="7" t="s">
        <v>36</v>
      </c>
      <c r="F9" s="6" t="s">
        <v>22</v>
      </c>
      <c r="G9" s="8" t="n">
        <v>30000000</v>
      </c>
      <c r="H9" s="9" t="n">
        <v>75000000</v>
      </c>
      <c r="I9" s="10" t="n">
        <f aca="false">IF(G9=0,"",IF(H9=0,"",(H9-G9)/H9))</f>
        <v>0.6</v>
      </c>
      <c r="J9" s="7"/>
      <c r="K9" s="6"/>
      <c r="L9" s="7" t="s">
        <v>37</v>
      </c>
      <c r="M9" s="6" t="s">
        <v>24</v>
      </c>
      <c r="N9" s="6" t="s">
        <v>25</v>
      </c>
    </row>
    <row r="10" customFormat="false" ht="15.75" hidden="false" customHeight="true" outlineLevel="0" collapsed="false">
      <c r="A10" s="11" t="s">
        <v>32</v>
      </c>
      <c r="B10" s="12" t="s">
        <v>33</v>
      </c>
      <c r="C10" s="12" t="s">
        <v>34</v>
      </c>
      <c r="D10" s="12" t="s">
        <v>38</v>
      </c>
      <c r="E10" s="12" t="s">
        <v>39</v>
      </c>
      <c r="F10" s="11" t="s">
        <v>40</v>
      </c>
      <c r="G10" s="13" t="n">
        <v>200000</v>
      </c>
      <c r="H10" s="14" t="n">
        <v>250000</v>
      </c>
      <c r="I10" s="15" t="n">
        <f aca="false">IF(G10=0,"",IF(H10=0,"",(H10-G10)/H10))</f>
        <v>0.2</v>
      </c>
      <c r="J10" s="12"/>
      <c r="K10" s="11"/>
      <c r="L10" s="12"/>
      <c r="M10" s="11" t="s">
        <v>24</v>
      </c>
      <c r="N10" s="11" t="s">
        <v>25</v>
      </c>
    </row>
    <row r="11" customFormat="false" ht="15.75" hidden="false" customHeight="true" outlineLevel="0" collapsed="false">
      <c r="A11" s="6" t="s">
        <v>32</v>
      </c>
      <c r="B11" s="7" t="s">
        <v>33</v>
      </c>
      <c r="C11" s="7" t="s">
        <v>34</v>
      </c>
      <c r="D11" s="7" t="s">
        <v>41</v>
      </c>
      <c r="E11" s="7" t="s">
        <v>42</v>
      </c>
      <c r="F11" s="6" t="s">
        <v>43</v>
      </c>
      <c r="G11" s="8" t="n">
        <v>2000000</v>
      </c>
      <c r="H11" s="9" t="n">
        <v>3000000</v>
      </c>
      <c r="I11" s="10" t="n">
        <f aca="false">IF(G11=0,"",IF(H11=0,"",(H11-G11)/H11))</f>
        <v>0.333333333333333</v>
      </c>
      <c r="J11" s="7"/>
      <c r="K11" s="6"/>
      <c r="L11" s="7"/>
      <c r="M11" s="6" t="s">
        <v>24</v>
      </c>
      <c r="N11" s="6" t="s">
        <v>25</v>
      </c>
    </row>
    <row r="12" customFormat="false" ht="15.75" hidden="false" customHeight="true" outlineLevel="0" collapsed="false">
      <c r="A12" s="11" t="s">
        <v>32</v>
      </c>
      <c r="B12" s="12" t="s">
        <v>33</v>
      </c>
      <c r="C12" s="12" t="s">
        <v>34</v>
      </c>
      <c r="D12" s="12" t="s">
        <v>44</v>
      </c>
      <c r="E12" s="12" t="s">
        <v>45</v>
      </c>
      <c r="F12" s="11" t="s">
        <v>46</v>
      </c>
      <c r="G12" s="13" t="n">
        <v>3500000</v>
      </c>
      <c r="H12" s="14" t="n">
        <v>5000000</v>
      </c>
      <c r="I12" s="15" t="n">
        <f aca="false">IF(G12=0,"",IF(H12=0,"",(H12-G12)/H12))</f>
        <v>0.3</v>
      </c>
      <c r="J12" s="12"/>
      <c r="K12" s="11"/>
      <c r="L12" s="12"/>
      <c r="M12" s="11" t="s">
        <v>24</v>
      </c>
      <c r="N12" s="11" t="s">
        <v>25</v>
      </c>
    </row>
    <row r="13" customFormat="false" ht="18" hidden="false" customHeight="true" outlineLevel="0" collapsed="false">
      <c r="A13" s="5" t="s">
        <v>47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.75" hidden="false" customHeight="true" outlineLevel="0" collapsed="false">
      <c r="A14" s="6" t="s">
        <v>48</v>
      </c>
      <c r="B14" s="7" t="s">
        <v>49</v>
      </c>
      <c r="C14" s="7" t="s">
        <v>50</v>
      </c>
      <c r="D14" s="7" t="s">
        <v>51</v>
      </c>
      <c r="E14" s="7"/>
      <c r="F14" s="6" t="s">
        <v>52</v>
      </c>
      <c r="G14" s="8" t="n">
        <v>0</v>
      </c>
      <c r="H14" s="9" t="n">
        <v>0</v>
      </c>
      <c r="I14" s="10" t="str">
        <f aca="false">IF(G14=0,"",IF(H14=0,"",(H14-G14)/H14))</f>
        <v/>
      </c>
      <c r="J14" s="7"/>
      <c r="K14" s="6"/>
      <c r="L14" s="7" t="s">
        <v>53</v>
      </c>
      <c r="M14" s="6" t="s">
        <v>24</v>
      </c>
      <c r="N14" s="6" t="s">
        <v>25</v>
      </c>
    </row>
    <row r="15" customFormat="false" ht="15.75" hidden="false" customHeight="true" outlineLevel="0" collapsed="false">
      <c r="A15" s="11" t="s">
        <v>48</v>
      </c>
      <c r="B15" s="12" t="s">
        <v>49</v>
      </c>
      <c r="C15" s="12" t="s">
        <v>50</v>
      </c>
      <c r="D15" s="12" t="s">
        <v>54</v>
      </c>
      <c r="E15" s="12"/>
      <c r="F15" s="11" t="s">
        <v>52</v>
      </c>
      <c r="G15" s="13" t="n">
        <v>0</v>
      </c>
      <c r="H15" s="14" t="n">
        <v>0</v>
      </c>
      <c r="I15" s="15" t="str">
        <f aca="false">IF(G15=0,"",IF(H15=0,"",(H15-G15)/H15))</f>
        <v/>
      </c>
      <c r="J15" s="12"/>
      <c r="K15" s="11"/>
      <c r="L15" s="12" t="s">
        <v>53</v>
      </c>
      <c r="M15" s="11" t="s">
        <v>24</v>
      </c>
      <c r="N15" s="11" t="s">
        <v>25</v>
      </c>
    </row>
    <row r="16" customFormat="false" ht="15.75" hidden="false" customHeight="true" outlineLevel="0" collapsed="false">
      <c r="A16" s="6" t="s">
        <v>48</v>
      </c>
      <c r="B16" s="7" t="s">
        <v>49</v>
      </c>
      <c r="C16" s="7" t="s">
        <v>55</v>
      </c>
      <c r="D16" s="7" t="s">
        <v>56</v>
      </c>
      <c r="E16" s="7"/>
      <c r="F16" s="6" t="s">
        <v>46</v>
      </c>
      <c r="G16" s="8" t="n">
        <v>180000</v>
      </c>
      <c r="H16" s="9" t="n">
        <v>300000</v>
      </c>
      <c r="I16" s="10" t="n">
        <f aca="false">IF(G16=0,"",IF(H16=0,"",(H16-G16)/H16))</f>
        <v>0.4</v>
      </c>
      <c r="J16" s="7"/>
      <c r="K16" s="6"/>
      <c r="L16" s="7"/>
      <c r="M16" s="6" t="s">
        <v>24</v>
      </c>
      <c r="N16" s="6" t="s">
        <v>25</v>
      </c>
    </row>
    <row r="17" customFormat="false" ht="15.75" hidden="false" customHeight="true" outlineLevel="0" collapsed="false">
      <c r="A17" s="11" t="s">
        <v>48</v>
      </c>
      <c r="B17" s="12" t="s">
        <v>49</v>
      </c>
      <c r="C17" s="12" t="s">
        <v>55</v>
      </c>
      <c r="D17" s="12" t="s">
        <v>57</v>
      </c>
      <c r="E17" s="12"/>
      <c r="F17" s="11" t="s">
        <v>46</v>
      </c>
      <c r="G17" s="13" t="n">
        <v>15000</v>
      </c>
      <c r="H17" s="14" t="n">
        <v>25000</v>
      </c>
      <c r="I17" s="15" t="n">
        <f aca="false">IF(G17=0,"",IF(H17=0,"",(H17-G17)/H17))</f>
        <v>0.4</v>
      </c>
      <c r="J17" s="12"/>
      <c r="K17" s="11"/>
      <c r="L17" s="12"/>
      <c r="M17" s="11" t="s">
        <v>24</v>
      </c>
      <c r="N17" s="11" t="s">
        <v>25</v>
      </c>
    </row>
    <row r="18" customFormat="false" ht="15.75" hidden="false" customHeight="true" outlineLevel="0" collapsed="false">
      <c r="A18" s="6" t="s">
        <v>48</v>
      </c>
      <c r="B18" s="7" t="s">
        <v>49</v>
      </c>
      <c r="C18" s="7" t="s">
        <v>55</v>
      </c>
      <c r="D18" s="7" t="s">
        <v>58</v>
      </c>
      <c r="E18" s="7"/>
      <c r="F18" s="6" t="s">
        <v>46</v>
      </c>
      <c r="G18" s="8" t="n">
        <v>150000</v>
      </c>
      <c r="H18" s="9" t="n">
        <v>250000</v>
      </c>
      <c r="I18" s="10" t="n">
        <f aca="false">IF(G18=0,"",IF(H18=0,"",(H18-G18)/H18))</f>
        <v>0.4</v>
      </c>
      <c r="J18" s="7"/>
      <c r="K18" s="6"/>
      <c r="L18" s="7"/>
      <c r="M18" s="6" t="s">
        <v>24</v>
      </c>
      <c r="N18" s="6" t="s">
        <v>25</v>
      </c>
    </row>
    <row r="19" customFormat="false" ht="15.75" hidden="false" customHeight="true" outlineLevel="0" collapsed="false">
      <c r="A19" s="11" t="s">
        <v>48</v>
      </c>
      <c r="B19" s="12" t="s">
        <v>49</v>
      </c>
      <c r="C19" s="12" t="s">
        <v>55</v>
      </c>
      <c r="D19" s="12" t="s">
        <v>59</v>
      </c>
      <c r="E19" s="12" t="s">
        <v>60</v>
      </c>
      <c r="F19" s="11" t="s">
        <v>46</v>
      </c>
      <c r="G19" s="13" t="n">
        <v>250000</v>
      </c>
      <c r="H19" s="14" t="n">
        <v>400000</v>
      </c>
      <c r="I19" s="15" t="n">
        <f aca="false">IF(G19=0,"",IF(H19=0,"",(H19-G19)/H19))</f>
        <v>0.375</v>
      </c>
      <c r="J19" s="12"/>
      <c r="K19" s="11"/>
      <c r="L19" s="12"/>
      <c r="M19" s="11" t="s">
        <v>24</v>
      </c>
      <c r="N19" s="11" t="s">
        <v>25</v>
      </c>
    </row>
    <row r="20" customFormat="false" ht="15.75" hidden="false" customHeight="true" outlineLevel="0" collapsed="false">
      <c r="A20" s="6" t="s">
        <v>48</v>
      </c>
      <c r="B20" s="7" t="s">
        <v>49</v>
      </c>
      <c r="C20" s="7" t="s">
        <v>61</v>
      </c>
      <c r="D20" s="7" t="s">
        <v>62</v>
      </c>
      <c r="E20" s="7" t="s">
        <v>63</v>
      </c>
      <c r="F20" s="6" t="s">
        <v>64</v>
      </c>
      <c r="G20" s="8" t="n">
        <v>7500000</v>
      </c>
      <c r="H20" s="9" t="n">
        <v>15000000</v>
      </c>
      <c r="I20" s="10" t="n">
        <f aca="false">IF(G20=0,"",IF(H20=0,"",(H20-G20)/H20))</f>
        <v>0.5</v>
      </c>
      <c r="J20" s="7"/>
      <c r="K20" s="6"/>
      <c r="L20" s="7"/>
      <c r="M20" s="6" t="s">
        <v>24</v>
      </c>
      <c r="N20" s="6" t="s">
        <v>25</v>
      </c>
    </row>
    <row r="21" customFormat="false" ht="15.75" hidden="false" customHeight="true" outlineLevel="0" collapsed="false">
      <c r="A21" s="11" t="s">
        <v>48</v>
      </c>
      <c r="B21" s="12" t="s">
        <v>49</v>
      </c>
      <c r="C21" s="12" t="s">
        <v>61</v>
      </c>
      <c r="D21" s="12" t="s">
        <v>65</v>
      </c>
      <c r="E21" s="12" t="s">
        <v>66</v>
      </c>
      <c r="F21" s="11" t="s">
        <v>67</v>
      </c>
      <c r="G21" s="13" t="n">
        <v>900000</v>
      </c>
      <c r="H21" s="14" t="n">
        <v>1000000</v>
      </c>
      <c r="I21" s="15" t="n">
        <f aca="false">IF(G21=0,"",IF(H21=0,"",(H21-G21)/H21))</f>
        <v>0.1</v>
      </c>
      <c r="J21" s="12"/>
      <c r="K21" s="11"/>
      <c r="L21" s="12"/>
      <c r="M21" s="11" t="s">
        <v>24</v>
      </c>
      <c r="N21" s="11" t="s">
        <v>25</v>
      </c>
    </row>
    <row r="22" customFormat="false" ht="15.75" hidden="false" customHeight="true" outlineLevel="0" collapsed="false">
      <c r="A22" s="6" t="s">
        <v>48</v>
      </c>
      <c r="B22" s="7" t="s">
        <v>49</v>
      </c>
      <c r="C22" s="7" t="s">
        <v>61</v>
      </c>
      <c r="D22" s="7" t="s">
        <v>68</v>
      </c>
      <c r="E22" s="7" t="s">
        <v>66</v>
      </c>
      <c r="F22" s="6" t="s">
        <v>67</v>
      </c>
      <c r="G22" s="8" t="n">
        <v>900000</v>
      </c>
      <c r="H22" s="9" t="n">
        <v>1000000</v>
      </c>
      <c r="I22" s="10" t="n">
        <f aca="false">IF(G22=0,"",IF(H22=0,"",(H22-G22)/H22))</f>
        <v>0.1</v>
      </c>
      <c r="J22" s="7"/>
      <c r="K22" s="6"/>
      <c r="L22" s="7"/>
      <c r="M22" s="6" t="s">
        <v>24</v>
      </c>
      <c r="N22" s="6" t="s">
        <v>25</v>
      </c>
    </row>
    <row r="23" customFormat="false" ht="15.75" hidden="false" customHeight="true" outlineLevel="0" collapsed="false">
      <c r="A23" s="11" t="s">
        <v>48</v>
      </c>
      <c r="B23" s="12" t="s">
        <v>49</v>
      </c>
      <c r="C23" s="12" t="s">
        <v>61</v>
      </c>
      <c r="D23" s="12" t="s">
        <v>69</v>
      </c>
      <c r="E23" s="12" t="s">
        <v>70</v>
      </c>
      <c r="F23" s="11" t="s">
        <v>64</v>
      </c>
      <c r="G23" s="13" t="n">
        <v>30000000</v>
      </c>
      <c r="H23" s="14" t="n">
        <v>45000000</v>
      </c>
      <c r="I23" s="15" t="n">
        <f aca="false">IF(G23=0,"",IF(H23=0,"",(H23-G23)/H23))</f>
        <v>0.333333333333333</v>
      </c>
      <c r="J23" s="12"/>
      <c r="K23" s="11"/>
      <c r="L23" s="12"/>
      <c r="M23" s="11" t="s">
        <v>24</v>
      </c>
      <c r="N23" s="11" t="s">
        <v>25</v>
      </c>
    </row>
    <row r="24" customFormat="false" ht="15.75" hidden="false" customHeight="true" outlineLevel="0" collapsed="false">
      <c r="A24" s="6" t="s">
        <v>48</v>
      </c>
      <c r="B24" s="7" t="s">
        <v>49</v>
      </c>
      <c r="C24" s="7" t="s">
        <v>61</v>
      </c>
      <c r="D24" s="7" t="s">
        <v>71</v>
      </c>
      <c r="E24" s="7" t="s">
        <v>72</v>
      </c>
      <c r="F24" s="6" t="s">
        <v>46</v>
      </c>
      <c r="G24" s="8" t="n">
        <v>350000</v>
      </c>
      <c r="H24" s="9" t="n">
        <v>450000</v>
      </c>
      <c r="I24" s="10" t="n">
        <f aca="false">IF(G24=0,"",IF(H24=0,"",(H24-G24)/H24))</f>
        <v>0.222222222222222</v>
      </c>
      <c r="J24" s="7"/>
      <c r="K24" s="6"/>
      <c r="L24" s="7"/>
      <c r="M24" s="6" t="s">
        <v>24</v>
      </c>
      <c r="N24" s="6" t="s">
        <v>25</v>
      </c>
    </row>
    <row r="25" customFormat="false" ht="15.75" hidden="false" customHeight="true" outlineLevel="0" collapsed="false">
      <c r="A25" s="11" t="s">
        <v>48</v>
      </c>
      <c r="B25" s="12" t="s">
        <v>49</v>
      </c>
      <c r="C25" s="12" t="s">
        <v>61</v>
      </c>
      <c r="D25" s="12" t="s">
        <v>73</v>
      </c>
      <c r="E25" s="12" t="s">
        <v>74</v>
      </c>
      <c r="F25" s="11" t="s">
        <v>64</v>
      </c>
      <c r="G25" s="13" t="n">
        <v>25000000</v>
      </c>
      <c r="H25" s="14" t="n">
        <v>35000000</v>
      </c>
      <c r="I25" s="15" t="n">
        <f aca="false">IF(G25=0,"",IF(H25=0,"",(H25-G25)/H25))</f>
        <v>0.285714285714286</v>
      </c>
      <c r="J25" s="12"/>
      <c r="K25" s="11"/>
      <c r="L25" s="12"/>
      <c r="M25" s="11" t="s">
        <v>24</v>
      </c>
      <c r="N25" s="11" t="s">
        <v>25</v>
      </c>
    </row>
    <row r="26" customFormat="false" ht="15.75" hidden="false" customHeight="true" outlineLevel="0" collapsed="false">
      <c r="A26" s="6" t="s">
        <v>48</v>
      </c>
      <c r="B26" s="7" t="s">
        <v>49</v>
      </c>
      <c r="C26" s="7" t="s">
        <v>61</v>
      </c>
      <c r="D26" s="7" t="s">
        <v>75</v>
      </c>
      <c r="E26" s="7"/>
      <c r="F26" s="6" t="s">
        <v>64</v>
      </c>
      <c r="G26" s="8" t="n">
        <v>5000000</v>
      </c>
      <c r="H26" s="9" t="n">
        <v>15000000</v>
      </c>
      <c r="I26" s="10" t="n">
        <f aca="false">IF(G26=0,"",IF(H26=0,"",(H26-G26)/H26))</f>
        <v>0.666666666666667</v>
      </c>
      <c r="J26" s="7"/>
      <c r="K26" s="6"/>
      <c r="L26" s="7"/>
      <c r="M26" s="6" t="s">
        <v>24</v>
      </c>
      <c r="N26" s="6" t="s">
        <v>25</v>
      </c>
    </row>
    <row r="27" customFormat="false" ht="15.75" hidden="false" customHeight="true" outlineLevel="0" collapsed="false">
      <c r="A27" s="11" t="s">
        <v>48</v>
      </c>
      <c r="B27" s="12" t="s">
        <v>49</v>
      </c>
      <c r="C27" s="12" t="s">
        <v>61</v>
      </c>
      <c r="D27" s="12" t="s">
        <v>76</v>
      </c>
      <c r="E27" s="12" t="s">
        <v>77</v>
      </c>
      <c r="F27" s="11" t="s">
        <v>64</v>
      </c>
      <c r="G27" s="13" t="n">
        <v>25000000</v>
      </c>
      <c r="H27" s="14" t="n">
        <v>40000000</v>
      </c>
      <c r="I27" s="15" t="n">
        <f aca="false">IF(G27=0,"",IF(H27=0,"",(H27-G27)/H27))</f>
        <v>0.375</v>
      </c>
      <c r="J27" s="12"/>
      <c r="K27" s="11"/>
      <c r="L27" s="12"/>
      <c r="M27" s="11" t="s">
        <v>24</v>
      </c>
      <c r="N27" s="11" t="s">
        <v>25</v>
      </c>
    </row>
    <row r="28" customFormat="false" ht="15.75" hidden="false" customHeight="true" outlineLevel="0" collapsed="false">
      <c r="A28" s="6" t="s">
        <v>48</v>
      </c>
      <c r="B28" s="7" t="s">
        <v>49</v>
      </c>
      <c r="C28" s="7" t="s">
        <v>61</v>
      </c>
      <c r="D28" s="7" t="s">
        <v>78</v>
      </c>
      <c r="E28" s="7" t="s">
        <v>72</v>
      </c>
      <c r="F28" s="6" t="s">
        <v>46</v>
      </c>
      <c r="G28" s="8" t="n">
        <v>450000</v>
      </c>
      <c r="H28" s="9" t="n">
        <v>600000</v>
      </c>
      <c r="I28" s="10" t="n">
        <f aca="false">IF(G28=0,"",IF(H28=0,"",(H28-G28)/H28))</f>
        <v>0.25</v>
      </c>
      <c r="J28" s="7"/>
      <c r="K28" s="6"/>
      <c r="L28" s="7"/>
      <c r="M28" s="6" t="s">
        <v>24</v>
      </c>
      <c r="N28" s="6" t="s">
        <v>25</v>
      </c>
    </row>
    <row r="29" customFormat="false" ht="15.75" hidden="false" customHeight="true" outlineLevel="0" collapsed="false">
      <c r="A29" s="11" t="s">
        <v>48</v>
      </c>
      <c r="B29" s="12" t="s">
        <v>49</v>
      </c>
      <c r="C29" s="12" t="s">
        <v>79</v>
      </c>
      <c r="D29" s="12" t="s">
        <v>80</v>
      </c>
      <c r="E29" s="12" t="s">
        <v>45</v>
      </c>
      <c r="F29" s="11" t="s">
        <v>46</v>
      </c>
      <c r="G29" s="13" t="n">
        <v>3000000</v>
      </c>
      <c r="H29" s="14" t="n">
        <v>4000000</v>
      </c>
      <c r="I29" s="15" t="n">
        <f aca="false">IF(G29=0,"",IF(H29=0,"",(H29-G29)/H29))</f>
        <v>0.25</v>
      </c>
      <c r="J29" s="12"/>
      <c r="K29" s="11"/>
      <c r="L29" s="12"/>
      <c r="M29" s="11" t="s">
        <v>24</v>
      </c>
      <c r="N29" s="11" t="s">
        <v>25</v>
      </c>
    </row>
    <row r="30" customFormat="false" ht="15.75" hidden="false" customHeight="true" outlineLevel="0" collapsed="false">
      <c r="A30" s="6" t="s">
        <v>48</v>
      </c>
      <c r="B30" s="7" t="s">
        <v>49</v>
      </c>
      <c r="C30" s="7" t="s">
        <v>79</v>
      </c>
      <c r="D30" s="7" t="s">
        <v>81</v>
      </c>
      <c r="E30" s="7" t="s">
        <v>45</v>
      </c>
      <c r="F30" s="6" t="s">
        <v>46</v>
      </c>
      <c r="G30" s="8" t="n">
        <v>4500000</v>
      </c>
      <c r="H30" s="9" t="n">
        <v>5000000</v>
      </c>
      <c r="I30" s="10" t="n">
        <f aca="false">IF(G30=0,"",IF(H30=0,"",(H30-G30)/H30))</f>
        <v>0.1</v>
      </c>
      <c r="J30" s="7"/>
      <c r="K30" s="6"/>
      <c r="L30" s="7"/>
      <c r="M30" s="6" t="s">
        <v>24</v>
      </c>
      <c r="N30" s="6" t="s">
        <v>25</v>
      </c>
    </row>
    <row r="31" customFormat="false" ht="15.75" hidden="false" customHeight="true" outlineLevel="0" collapsed="false">
      <c r="A31" s="11" t="s">
        <v>48</v>
      </c>
      <c r="B31" s="12" t="s">
        <v>49</v>
      </c>
      <c r="C31" s="12" t="s">
        <v>79</v>
      </c>
      <c r="D31" s="12" t="s">
        <v>82</v>
      </c>
      <c r="E31" s="12" t="s">
        <v>83</v>
      </c>
      <c r="F31" s="11" t="s">
        <v>84</v>
      </c>
      <c r="G31" s="13" t="n">
        <v>250000</v>
      </c>
      <c r="H31" s="14" t="n">
        <v>350000</v>
      </c>
      <c r="I31" s="15" t="n">
        <f aca="false">IF(G31=0,"",IF(H31=0,"",(H31-G31)/H31))</f>
        <v>0.285714285714286</v>
      </c>
      <c r="J31" s="12"/>
      <c r="K31" s="11"/>
      <c r="L31" s="12"/>
      <c r="M31" s="11" t="s">
        <v>24</v>
      </c>
      <c r="N31" s="11" t="s">
        <v>25</v>
      </c>
    </row>
    <row r="32" customFormat="false" ht="15.75" hidden="false" customHeight="true" outlineLevel="0" collapsed="false">
      <c r="A32" s="6" t="s">
        <v>48</v>
      </c>
      <c r="B32" s="7" t="s">
        <v>49</v>
      </c>
      <c r="C32" s="7" t="s">
        <v>79</v>
      </c>
      <c r="D32" s="7" t="s">
        <v>85</v>
      </c>
      <c r="E32" s="7" t="s">
        <v>86</v>
      </c>
      <c r="F32" s="6" t="s">
        <v>64</v>
      </c>
      <c r="G32" s="8" t="n">
        <v>30000000</v>
      </c>
      <c r="H32" s="9" t="n">
        <v>50000000</v>
      </c>
      <c r="I32" s="10" t="n">
        <f aca="false">IF(G32=0,"",IF(H32=0,"",(H32-G32)/H32))</f>
        <v>0.4</v>
      </c>
      <c r="J32" s="7"/>
      <c r="K32" s="6"/>
      <c r="L32" s="7"/>
      <c r="M32" s="6" t="s">
        <v>24</v>
      </c>
      <c r="N32" s="6" t="s">
        <v>25</v>
      </c>
    </row>
    <row r="33" customFormat="false" ht="15.75" hidden="false" customHeight="true" outlineLevel="0" collapsed="false">
      <c r="A33" s="11" t="s">
        <v>48</v>
      </c>
      <c r="B33" s="12" t="s">
        <v>49</v>
      </c>
      <c r="C33" s="12" t="s">
        <v>87</v>
      </c>
      <c r="D33" s="12" t="s">
        <v>88</v>
      </c>
      <c r="E33" s="12" t="s">
        <v>89</v>
      </c>
      <c r="F33" s="11" t="s">
        <v>64</v>
      </c>
      <c r="G33" s="13" t="n">
        <v>30000000</v>
      </c>
      <c r="H33" s="14" t="n">
        <v>40000000</v>
      </c>
      <c r="I33" s="15" t="n">
        <f aca="false">IF(G33=0,"",IF(H33=0,"",(H33-G33)/H33))</f>
        <v>0.25</v>
      </c>
      <c r="J33" s="12"/>
      <c r="K33" s="11"/>
      <c r="L33" s="12"/>
      <c r="M33" s="11" t="s">
        <v>24</v>
      </c>
      <c r="N33" s="11" t="s">
        <v>25</v>
      </c>
    </row>
    <row r="34" customFormat="false" ht="15.75" hidden="false" customHeight="true" outlineLevel="0" collapsed="false">
      <c r="A34" s="6" t="s">
        <v>48</v>
      </c>
      <c r="B34" s="7" t="s">
        <v>49</v>
      </c>
      <c r="C34" s="7" t="s">
        <v>87</v>
      </c>
      <c r="D34" s="7" t="s">
        <v>90</v>
      </c>
      <c r="E34" s="7" t="s">
        <v>91</v>
      </c>
      <c r="F34" s="6" t="s">
        <v>64</v>
      </c>
      <c r="G34" s="8" t="n">
        <v>100000000</v>
      </c>
      <c r="H34" s="9" t="n">
        <v>120000000</v>
      </c>
      <c r="I34" s="10" t="n">
        <f aca="false">IF(G34=0,"",IF(H34=0,"",(H34-G34)/H34))</f>
        <v>0.166666666666667</v>
      </c>
      <c r="J34" s="7"/>
      <c r="K34" s="6"/>
      <c r="L34" s="7"/>
      <c r="M34" s="6" t="s">
        <v>24</v>
      </c>
      <c r="N34" s="6" t="s">
        <v>25</v>
      </c>
    </row>
    <row r="35" customFormat="false" ht="15.75" hidden="false" customHeight="true" outlineLevel="0" collapsed="false">
      <c r="A35" s="11" t="s">
        <v>48</v>
      </c>
      <c r="B35" s="12" t="s">
        <v>49</v>
      </c>
      <c r="C35" s="12" t="s">
        <v>92</v>
      </c>
      <c r="D35" s="12" t="s">
        <v>93</v>
      </c>
      <c r="E35" s="12" t="s">
        <v>94</v>
      </c>
      <c r="F35" s="11" t="s">
        <v>64</v>
      </c>
      <c r="G35" s="13" t="n">
        <v>17500000</v>
      </c>
      <c r="H35" s="14" t="n">
        <v>30000000</v>
      </c>
      <c r="I35" s="15" t="n">
        <f aca="false">IF(G35=0,"",IF(H35=0,"",(H35-G35)/H35))</f>
        <v>0.416666666666667</v>
      </c>
      <c r="J35" s="12"/>
      <c r="K35" s="11"/>
      <c r="L35" s="12"/>
      <c r="M35" s="11" t="s">
        <v>24</v>
      </c>
      <c r="N35" s="11" t="s">
        <v>25</v>
      </c>
    </row>
    <row r="36" customFormat="false" ht="15.75" hidden="false" customHeight="true" outlineLevel="0" collapsed="false">
      <c r="A36" s="6" t="s">
        <v>48</v>
      </c>
      <c r="B36" s="7" t="s">
        <v>49</v>
      </c>
      <c r="C36" s="7" t="s">
        <v>92</v>
      </c>
      <c r="D36" s="7" t="s">
        <v>95</v>
      </c>
      <c r="E36" s="7" t="s">
        <v>96</v>
      </c>
      <c r="F36" s="6" t="s">
        <v>64</v>
      </c>
      <c r="G36" s="8" t="n">
        <v>4000000</v>
      </c>
      <c r="H36" s="9" t="n">
        <v>8000000</v>
      </c>
      <c r="I36" s="10" t="n">
        <f aca="false">IF(G36=0,"",IF(H36=0,"",(H36-G36)/H36))</f>
        <v>0.5</v>
      </c>
      <c r="J36" s="7"/>
      <c r="K36" s="6"/>
      <c r="L36" s="7"/>
      <c r="M36" s="6" t="s">
        <v>24</v>
      </c>
      <c r="N36" s="6" t="s">
        <v>25</v>
      </c>
    </row>
    <row r="37" customFormat="false" ht="15.75" hidden="false" customHeight="true" outlineLevel="0" collapsed="false">
      <c r="A37" s="11" t="s">
        <v>48</v>
      </c>
      <c r="B37" s="12" t="s">
        <v>49</v>
      </c>
      <c r="C37" s="12" t="s">
        <v>92</v>
      </c>
      <c r="D37" s="12" t="s">
        <v>97</v>
      </c>
      <c r="E37" s="12" t="s">
        <v>98</v>
      </c>
      <c r="F37" s="11" t="s">
        <v>64</v>
      </c>
      <c r="G37" s="13" t="n">
        <v>20000000</v>
      </c>
      <c r="H37" s="14" t="n">
        <v>30000000</v>
      </c>
      <c r="I37" s="15" t="n">
        <f aca="false">IF(G37=0,"",IF(H37=0,"",(H37-G37)/H37))</f>
        <v>0.333333333333333</v>
      </c>
      <c r="J37" s="12"/>
      <c r="K37" s="11"/>
      <c r="L37" s="12"/>
      <c r="M37" s="11" t="s">
        <v>24</v>
      </c>
      <c r="N37" s="11" t="s">
        <v>25</v>
      </c>
    </row>
    <row r="38" customFormat="false" ht="15.75" hidden="false" customHeight="true" outlineLevel="0" collapsed="false">
      <c r="A38" s="6" t="s">
        <v>48</v>
      </c>
      <c r="B38" s="7" t="s">
        <v>49</v>
      </c>
      <c r="C38" s="7" t="s">
        <v>92</v>
      </c>
      <c r="D38" s="7" t="s">
        <v>99</v>
      </c>
      <c r="E38" s="7" t="s">
        <v>72</v>
      </c>
      <c r="F38" s="6" t="s">
        <v>46</v>
      </c>
      <c r="G38" s="8" t="n">
        <v>150000</v>
      </c>
      <c r="H38" s="9" t="n">
        <v>185000</v>
      </c>
      <c r="I38" s="10" t="n">
        <f aca="false">IF(G38=0,"",IF(H38=0,"",(H38-G38)/H38))</f>
        <v>0.189189189189189</v>
      </c>
      <c r="J38" s="7"/>
      <c r="K38" s="6"/>
      <c r="L38" s="7"/>
      <c r="M38" s="6" t="s">
        <v>24</v>
      </c>
      <c r="N38" s="6" t="s">
        <v>25</v>
      </c>
    </row>
    <row r="39" customFormat="false" ht="18" hidden="false" customHeight="true" outlineLevel="0" collapsed="false">
      <c r="A39" s="5" t="s">
        <v>100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.75" hidden="false" customHeight="true" outlineLevel="0" collapsed="false">
      <c r="A40" s="6" t="s">
        <v>101</v>
      </c>
      <c r="B40" s="7" t="s">
        <v>102</v>
      </c>
      <c r="C40" s="7" t="s">
        <v>103</v>
      </c>
      <c r="D40" s="7" t="s">
        <v>104</v>
      </c>
      <c r="E40" s="7" t="s">
        <v>105</v>
      </c>
      <c r="F40" s="6" t="s">
        <v>64</v>
      </c>
      <c r="G40" s="8" t="n">
        <v>15000000</v>
      </c>
      <c r="H40" s="9" t="n">
        <v>30000000</v>
      </c>
      <c r="I40" s="10" t="n">
        <f aca="false">IF(G40=0,"",IF(H40=0,"",(H40-G40)/H40))</f>
        <v>0.5</v>
      </c>
      <c r="J40" s="7"/>
      <c r="K40" s="6"/>
      <c r="L40" s="7"/>
      <c r="M40" s="6" t="s">
        <v>24</v>
      </c>
      <c r="N40" s="6" t="s">
        <v>25</v>
      </c>
    </row>
    <row r="41" customFormat="false" ht="15.75" hidden="false" customHeight="true" outlineLevel="0" collapsed="false">
      <c r="A41" s="11" t="s">
        <v>101</v>
      </c>
      <c r="B41" s="12" t="s">
        <v>102</v>
      </c>
      <c r="C41" s="12" t="s">
        <v>103</v>
      </c>
      <c r="D41" s="12" t="s">
        <v>106</v>
      </c>
      <c r="E41" s="12" t="s">
        <v>107</v>
      </c>
      <c r="F41" s="11" t="s">
        <v>64</v>
      </c>
      <c r="G41" s="13" t="n">
        <v>7500000</v>
      </c>
      <c r="H41" s="14" t="n">
        <v>10000000</v>
      </c>
      <c r="I41" s="15" t="n">
        <f aca="false">IF(G41=0,"",IF(H41=0,"",(H41-G41)/H41))</f>
        <v>0.25</v>
      </c>
      <c r="J41" s="12"/>
      <c r="K41" s="11"/>
      <c r="L41" s="12"/>
      <c r="M41" s="11" t="s">
        <v>24</v>
      </c>
      <c r="N41" s="11" t="s">
        <v>25</v>
      </c>
    </row>
    <row r="42" customFormat="false" ht="15.75" hidden="false" customHeight="true" outlineLevel="0" collapsed="false">
      <c r="A42" s="6" t="s">
        <v>101</v>
      </c>
      <c r="B42" s="7" t="s">
        <v>102</v>
      </c>
      <c r="C42" s="7" t="s">
        <v>108</v>
      </c>
      <c r="D42" s="7" t="s">
        <v>109</v>
      </c>
      <c r="E42" s="7" t="s">
        <v>110</v>
      </c>
      <c r="F42" s="6" t="s">
        <v>64</v>
      </c>
      <c r="G42" s="8" t="n">
        <v>17500000</v>
      </c>
      <c r="H42" s="9" t="n">
        <v>25000000</v>
      </c>
      <c r="I42" s="10" t="n">
        <f aca="false">IF(G42=0,"",IF(H42=0,"",(H42-G42)/H42))</f>
        <v>0.3</v>
      </c>
      <c r="J42" s="7"/>
      <c r="K42" s="6"/>
      <c r="L42" s="7"/>
      <c r="M42" s="6" t="s">
        <v>24</v>
      </c>
      <c r="N42" s="6" t="s">
        <v>25</v>
      </c>
    </row>
    <row r="43" customFormat="false" ht="15.75" hidden="false" customHeight="true" outlineLevel="0" collapsed="false">
      <c r="A43" s="11" t="s">
        <v>101</v>
      </c>
      <c r="B43" s="12" t="s">
        <v>102</v>
      </c>
      <c r="C43" s="12" t="s">
        <v>108</v>
      </c>
      <c r="D43" s="12" t="s">
        <v>111</v>
      </c>
      <c r="E43" s="12" t="s">
        <v>112</v>
      </c>
      <c r="F43" s="11" t="s">
        <v>64</v>
      </c>
      <c r="G43" s="13" t="n">
        <v>10000000</v>
      </c>
      <c r="H43" s="14" t="n">
        <v>12500000</v>
      </c>
      <c r="I43" s="15" t="n">
        <f aca="false">IF(G43=0,"",IF(H43=0,"",(H43-G43)/H43))</f>
        <v>0.2</v>
      </c>
      <c r="J43" s="12"/>
      <c r="K43" s="11"/>
      <c r="L43" s="12"/>
      <c r="M43" s="11" t="s">
        <v>24</v>
      </c>
      <c r="N43" s="11" t="s">
        <v>25</v>
      </c>
    </row>
    <row r="44" customFormat="false" ht="15.75" hidden="false" customHeight="true" outlineLevel="0" collapsed="false">
      <c r="A44" s="6" t="s">
        <v>101</v>
      </c>
      <c r="B44" s="7" t="s">
        <v>102</v>
      </c>
      <c r="C44" s="7" t="s">
        <v>108</v>
      </c>
      <c r="D44" s="7" t="s">
        <v>113</v>
      </c>
      <c r="E44" s="7"/>
      <c r="F44" s="6" t="s">
        <v>64</v>
      </c>
      <c r="G44" s="8" t="n">
        <v>0</v>
      </c>
      <c r="H44" s="9" t="n">
        <v>0</v>
      </c>
      <c r="I44" s="10" t="str">
        <f aca="false">IF(G44=0,"",IF(H44=0,"",(H44-G44)/H44))</f>
        <v/>
      </c>
      <c r="J44" s="7"/>
      <c r="K44" s="6"/>
      <c r="L44" s="7" t="s">
        <v>114</v>
      </c>
      <c r="M44" s="6" t="s">
        <v>24</v>
      </c>
      <c r="N44" s="6" t="s">
        <v>25</v>
      </c>
    </row>
    <row r="45" customFormat="false" ht="15.75" hidden="false" customHeight="true" outlineLevel="0" collapsed="false">
      <c r="A45" s="11" t="s">
        <v>101</v>
      </c>
      <c r="B45" s="12" t="s">
        <v>102</v>
      </c>
      <c r="C45" s="12" t="s">
        <v>108</v>
      </c>
      <c r="D45" s="12" t="s">
        <v>115</v>
      </c>
      <c r="E45" s="12"/>
      <c r="F45" s="11" t="s">
        <v>116</v>
      </c>
      <c r="G45" s="13" t="n">
        <v>0</v>
      </c>
      <c r="H45" s="14" t="n">
        <v>0</v>
      </c>
      <c r="I45" s="15" t="str">
        <f aca="false">IF(G45=0,"",IF(H45=0,"",(H45-G45)/H45))</f>
        <v/>
      </c>
      <c r="J45" s="12"/>
      <c r="K45" s="11"/>
      <c r="L45" s="12"/>
      <c r="M45" s="11" t="s">
        <v>24</v>
      </c>
      <c r="N45" s="11" t="s">
        <v>25</v>
      </c>
    </row>
    <row r="46" customFormat="false" ht="18" hidden="false" customHeight="true" outlineLevel="0" collapsed="false">
      <c r="A46" s="5" t="s">
        <v>117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.75" hidden="false" customHeight="true" outlineLevel="0" collapsed="false">
      <c r="A47" s="6" t="s">
        <v>118</v>
      </c>
      <c r="B47" s="7" t="s">
        <v>119</v>
      </c>
      <c r="C47" s="7" t="s">
        <v>120</v>
      </c>
      <c r="D47" s="7" t="s">
        <v>121</v>
      </c>
      <c r="E47" s="7" t="s">
        <v>122</v>
      </c>
      <c r="F47" s="6" t="s">
        <v>123</v>
      </c>
      <c r="G47" s="8" t="n">
        <v>20000</v>
      </c>
      <c r="H47" s="9" t="n">
        <v>30000</v>
      </c>
      <c r="I47" s="10" t="n">
        <f aca="false">IF(G47=0,"",IF(H47=0,"",(H47-G47)/H47))</f>
        <v>0.333333333333333</v>
      </c>
      <c r="J47" s="7"/>
      <c r="K47" s="6"/>
      <c r="L47" s="7"/>
      <c r="M47" s="6" t="s">
        <v>24</v>
      </c>
      <c r="N47" s="6" t="s">
        <v>25</v>
      </c>
    </row>
    <row r="48" customFormat="false" ht="15.75" hidden="false" customHeight="true" outlineLevel="0" collapsed="false">
      <c r="A48" s="11" t="s">
        <v>118</v>
      </c>
      <c r="B48" s="12" t="s">
        <v>119</v>
      </c>
      <c r="C48" s="12" t="s">
        <v>120</v>
      </c>
      <c r="D48" s="12" t="s">
        <v>124</v>
      </c>
      <c r="E48" s="12" t="s">
        <v>122</v>
      </c>
      <c r="F48" s="11" t="s">
        <v>123</v>
      </c>
      <c r="G48" s="13" t="n">
        <v>20000</v>
      </c>
      <c r="H48" s="14" t="n">
        <v>30000</v>
      </c>
      <c r="I48" s="15" t="n">
        <f aca="false">IF(G48=0,"",IF(H48=0,"",(H48-G48)/H48))</f>
        <v>0.333333333333333</v>
      </c>
      <c r="J48" s="12"/>
      <c r="K48" s="11"/>
      <c r="L48" s="12"/>
      <c r="M48" s="11" t="s">
        <v>24</v>
      </c>
      <c r="N48" s="11" t="s">
        <v>25</v>
      </c>
    </row>
    <row r="49" customFormat="false" ht="15.75" hidden="false" customHeight="true" outlineLevel="0" collapsed="false">
      <c r="A49" s="6" t="s">
        <v>118</v>
      </c>
      <c r="B49" s="7" t="s">
        <v>119</v>
      </c>
      <c r="C49" s="7" t="s">
        <v>120</v>
      </c>
      <c r="D49" s="7" t="s">
        <v>125</v>
      </c>
      <c r="E49" s="7" t="s">
        <v>122</v>
      </c>
      <c r="F49" s="6" t="s">
        <v>123</v>
      </c>
      <c r="G49" s="8" t="n">
        <v>8000</v>
      </c>
      <c r="H49" s="9" t="n">
        <v>15000</v>
      </c>
      <c r="I49" s="10" t="n">
        <f aca="false">IF(G49=0,"",IF(H49=0,"",(H49-G49)/H49))</f>
        <v>0.466666666666667</v>
      </c>
      <c r="J49" s="7"/>
      <c r="K49" s="6"/>
      <c r="L49" s="7"/>
      <c r="M49" s="6" t="s">
        <v>24</v>
      </c>
      <c r="N49" s="6" t="s">
        <v>25</v>
      </c>
    </row>
    <row r="50" customFormat="false" ht="15.75" hidden="false" customHeight="true" outlineLevel="0" collapsed="false">
      <c r="A50" s="11" t="s">
        <v>118</v>
      </c>
      <c r="B50" s="12" t="s">
        <v>119</v>
      </c>
      <c r="C50" s="12" t="s">
        <v>126</v>
      </c>
      <c r="D50" s="12" t="s">
        <v>127</v>
      </c>
      <c r="E50" s="12" t="s">
        <v>128</v>
      </c>
      <c r="F50" s="11" t="s">
        <v>129</v>
      </c>
      <c r="G50" s="13" t="n">
        <v>300000</v>
      </c>
      <c r="H50" s="14" t="n">
        <v>350000</v>
      </c>
      <c r="I50" s="15" t="n">
        <f aca="false">IF(G50=0,"",IF(H50=0,"",(H50-G50)/H50))</f>
        <v>0.142857142857143</v>
      </c>
      <c r="J50" s="12"/>
      <c r="K50" s="11"/>
      <c r="L50" s="12"/>
      <c r="M50" s="11" t="s">
        <v>24</v>
      </c>
      <c r="N50" s="11" t="s">
        <v>25</v>
      </c>
    </row>
    <row r="51" customFormat="false" ht="15.75" hidden="false" customHeight="true" outlineLevel="0" collapsed="false">
      <c r="A51" s="6" t="s">
        <v>118</v>
      </c>
      <c r="B51" s="7" t="s">
        <v>119</v>
      </c>
      <c r="C51" s="7" t="s">
        <v>126</v>
      </c>
      <c r="D51" s="7" t="s">
        <v>130</v>
      </c>
      <c r="E51" s="7" t="s">
        <v>128</v>
      </c>
      <c r="F51" s="6" t="s">
        <v>129</v>
      </c>
      <c r="G51" s="8" t="n">
        <v>185000</v>
      </c>
      <c r="H51" s="9" t="n">
        <v>215000</v>
      </c>
      <c r="I51" s="10" t="n">
        <f aca="false">IF(G51=0,"",IF(H51=0,"",(H51-G51)/H51))</f>
        <v>0.13953488372093</v>
      </c>
      <c r="J51" s="7"/>
      <c r="K51" s="6"/>
      <c r="L51" s="7"/>
      <c r="M51" s="6" t="s">
        <v>24</v>
      </c>
      <c r="N51" s="6" t="s">
        <v>25</v>
      </c>
    </row>
    <row r="52" customFormat="false" ht="15.75" hidden="false" customHeight="true" outlineLevel="0" collapsed="false">
      <c r="A52" s="11" t="s">
        <v>118</v>
      </c>
      <c r="B52" s="12" t="s">
        <v>119</v>
      </c>
      <c r="C52" s="12" t="s">
        <v>126</v>
      </c>
      <c r="D52" s="12" t="s">
        <v>131</v>
      </c>
      <c r="E52" s="12" t="s">
        <v>128</v>
      </c>
      <c r="F52" s="11" t="s">
        <v>129</v>
      </c>
      <c r="G52" s="13" t="n">
        <v>55000</v>
      </c>
      <c r="H52" s="14" t="n">
        <v>65000</v>
      </c>
      <c r="I52" s="15" t="n">
        <f aca="false">IF(G52=0,"",IF(H52=0,"",(H52-G52)/H52))</f>
        <v>0.153846153846154</v>
      </c>
      <c r="J52" s="12"/>
      <c r="K52" s="11"/>
      <c r="L52" s="12"/>
      <c r="M52" s="11" t="s">
        <v>24</v>
      </c>
      <c r="N52" s="11" t="s">
        <v>25</v>
      </c>
    </row>
    <row r="53" customFormat="false" ht="15.75" hidden="false" customHeight="true" outlineLevel="0" collapsed="false">
      <c r="A53" s="6" t="s">
        <v>118</v>
      </c>
      <c r="B53" s="7" t="s">
        <v>119</v>
      </c>
      <c r="C53" s="7" t="s">
        <v>126</v>
      </c>
      <c r="D53" s="7" t="s">
        <v>132</v>
      </c>
      <c r="E53" s="7" t="s">
        <v>128</v>
      </c>
      <c r="F53" s="6" t="s">
        <v>129</v>
      </c>
      <c r="G53" s="8" t="n">
        <v>55000</v>
      </c>
      <c r="H53" s="9" t="n">
        <v>65000</v>
      </c>
      <c r="I53" s="10" t="n">
        <f aca="false">IF(G53=0,"",IF(H53=0,"",(H53-G53)/H53))</f>
        <v>0.153846153846154</v>
      </c>
      <c r="J53" s="7"/>
      <c r="K53" s="6"/>
      <c r="L53" s="7"/>
      <c r="M53" s="6" t="s">
        <v>24</v>
      </c>
      <c r="N53" s="6" t="s">
        <v>25</v>
      </c>
    </row>
    <row r="54" customFormat="false" ht="15.75" hidden="false" customHeight="true" outlineLevel="0" collapsed="false">
      <c r="A54" s="11" t="s">
        <v>118</v>
      </c>
      <c r="B54" s="12" t="s">
        <v>119</v>
      </c>
      <c r="C54" s="12" t="s">
        <v>126</v>
      </c>
      <c r="D54" s="12" t="s">
        <v>133</v>
      </c>
      <c r="E54" s="12" t="s">
        <v>134</v>
      </c>
      <c r="F54" s="11" t="s">
        <v>135</v>
      </c>
      <c r="G54" s="13" t="n">
        <v>3500</v>
      </c>
      <c r="H54" s="14" t="n">
        <v>4500</v>
      </c>
      <c r="I54" s="15" t="n">
        <f aca="false">IF(G54=0,"",IF(H54=0,"",(H54-G54)/H54))</f>
        <v>0.222222222222222</v>
      </c>
      <c r="J54" s="12"/>
      <c r="K54" s="11"/>
      <c r="L54" s="12"/>
      <c r="M54" s="11" t="s">
        <v>24</v>
      </c>
      <c r="N54" s="11" t="s">
        <v>25</v>
      </c>
    </row>
    <row r="55" customFormat="false" ht="15.75" hidden="false" customHeight="true" outlineLevel="0" collapsed="false">
      <c r="A55" s="6" t="s">
        <v>118</v>
      </c>
      <c r="B55" s="7" t="s">
        <v>119</v>
      </c>
      <c r="C55" s="7" t="s">
        <v>136</v>
      </c>
      <c r="D55" s="7" t="s">
        <v>137</v>
      </c>
      <c r="E55" s="7" t="s">
        <v>138</v>
      </c>
      <c r="F55" s="6" t="s">
        <v>139</v>
      </c>
      <c r="G55" s="8" t="n">
        <v>50000</v>
      </c>
      <c r="H55" s="9" t="n">
        <v>85000</v>
      </c>
      <c r="I55" s="10" t="n">
        <f aca="false">IF(G55=0,"",IF(H55=0,"",(H55-G55)/H55))</f>
        <v>0.411764705882353</v>
      </c>
      <c r="J55" s="7"/>
      <c r="K55" s="6"/>
      <c r="L55" s="7"/>
      <c r="M55" s="6" t="s">
        <v>24</v>
      </c>
      <c r="N55" s="6" t="s">
        <v>25</v>
      </c>
    </row>
    <row r="56" customFormat="false" ht="15.75" hidden="false" customHeight="true" outlineLevel="0" collapsed="false">
      <c r="A56" s="11" t="s">
        <v>118</v>
      </c>
      <c r="B56" s="12" t="s">
        <v>119</v>
      </c>
      <c r="C56" s="12" t="s">
        <v>136</v>
      </c>
      <c r="D56" s="12" t="s">
        <v>140</v>
      </c>
      <c r="E56" s="12"/>
      <c r="F56" s="11" t="s">
        <v>139</v>
      </c>
      <c r="G56" s="13" t="n">
        <v>0</v>
      </c>
      <c r="H56" s="14" t="n">
        <v>0</v>
      </c>
      <c r="I56" s="15" t="str">
        <f aca="false">IF(G56=0,"",IF(H56=0,"",(H56-G56)/H56))</f>
        <v/>
      </c>
      <c r="J56" s="12"/>
      <c r="K56" s="11"/>
      <c r="L56" s="12" t="s">
        <v>141</v>
      </c>
      <c r="M56" s="11" t="s">
        <v>24</v>
      </c>
      <c r="N56" s="11" t="s">
        <v>25</v>
      </c>
    </row>
    <row r="57" customFormat="false" ht="18" hidden="false" customHeight="true" outlineLevel="0" collapsed="false">
      <c r="A57" s="5" t="s">
        <v>142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15.75" hidden="false" customHeight="true" outlineLevel="0" collapsed="false">
      <c r="A58" s="6" t="s">
        <v>143</v>
      </c>
      <c r="B58" s="7" t="s">
        <v>144</v>
      </c>
      <c r="C58" s="7" t="s">
        <v>145</v>
      </c>
      <c r="D58" s="7" t="s">
        <v>146</v>
      </c>
      <c r="E58" s="7" t="s">
        <v>147</v>
      </c>
      <c r="F58" s="6" t="s">
        <v>148</v>
      </c>
      <c r="G58" s="8" t="n">
        <v>7500000</v>
      </c>
      <c r="H58" s="9" t="n">
        <v>15000000</v>
      </c>
      <c r="I58" s="10" t="n">
        <f aca="false">IF(G58=0,"",IF(H58=0,"",(H58-G58)/H58))</f>
        <v>0.5</v>
      </c>
      <c r="J58" s="7"/>
      <c r="K58" s="6"/>
      <c r="L58" s="7"/>
      <c r="M58" s="6" t="s">
        <v>24</v>
      </c>
      <c r="N58" s="6" t="s">
        <v>25</v>
      </c>
    </row>
    <row r="59" customFormat="false" ht="15.75" hidden="false" customHeight="true" outlineLevel="0" collapsed="false">
      <c r="A59" s="11" t="s">
        <v>143</v>
      </c>
      <c r="B59" s="12" t="s">
        <v>144</v>
      </c>
      <c r="C59" s="12" t="s">
        <v>145</v>
      </c>
      <c r="D59" s="12" t="s">
        <v>149</v>
      </c>
      <c r="E59" s="12" t="s">
        <v>147</v>
      </c>
      <c r="F59" s="11" t="s">
        <v>148</v>
      </c>
      <c r="G59" s="13" t="n">
        <v>5000000</v>
      </c>
      <c r="H59" s="14" t="n">
        <v>10000000</v>
      </c>
      <c r="I59" s="15" t="n">
        <f aca="false">IF(G59=0,"",IF(H59=0,"",(H59-G59)/H59))</f>
        <v>0.5</v>
      </c>
      <c r="J59" s="12"/>
      <c r="K59" s="11"/>
      <c r="L59" s="12"/>
      <c r="M59" s="11" t="s">
        <v>24</v>
      </c>
      <c r="N59" s="11" t="s">
        <v>25</v>
      </c>
    </row>
    <row r="60" customFormat="false" ht="15.75" hidden="false" customHeight="true" outlineLevel="0" collapsed="false">
      <c r="A60" s="6" t="s">
        <v>143</v>
      </c>
      <c r="B60" s="7" t="s">
        <v>144</v>
      </c>
      <c r="C60" s="7" t="s">
        <v>145</v>
      </c>
      <c r="D60" s="7" t="s">
        <v>150</v>
      </c>
      <c r="E60" s="7" t="s">
        <v>147</v>
      </c>
      <c r="F60" s="6" t="s">
        <v>148</v>
      </c>
      <c r="G60" s="8" t="n">
        <v>5000000</v>
      </c>
      <c r="H60" s="9" t="n">
        <v>10000000</v>
      </c>
      <c r="I60" s="10" t="n">
        <f aca="false">IF(G60=0,"",IF(H60=0,"",(H60-G60)/H60))</f>
        <v>0.5</v>
      </c>
      <c r="J60" s="7"/>
      <c r="K60" s="6"/>
      <c r="L60" s="7"/>
      <c r="M60" s="6" t="s">
        <v>24</v>
      </c>
      <c r="N60" s="6" t="s">
        <v>25</v>
      </c>
    </row>
    <row r="61" customFormat="false" ht="15.75" hidden="false" customHeight="true" outlineLevel="0" collapsed="false">
      <c r="A61" s="11" t="s">
        <v>143</v>
      </c>
      <c r="B61" s="12" t="s">
        <v>144</v>
      </c>
      <c r="C61" s="12" t="s">
        <v>145</v>
      </c>
      <c r="D61" s="12" t="s">
        <v>151</v>
      </c>
      <c r="E61" s="12" t="s">
        <v>152</v>
      </c>
      <c r="F61" s="11" t="s">
        <v>40</v>
      </c>
      <c r="G61" s="13" t="n">
        <v>1000000</v>
      </c>
      <c r="H61" s="14" t="n">
        <v>2500000</v>
      </c>
      <c r="I61" s="15" t="n">
        <f aca="false">IF(G61=0,"",IF(H61=0,"",(H61-G61)/H61))</f>
        <v>0.6</v>
      </c>
      <c r="J61" s="12"/>
      <c r="K61" s="11"/>
      <c r="L61" s="12"/>
      <c r="M61" s="11" t="s">
        <v>24</v>
      </c>
      <c r="N61" s="11" t="s">
        <v>25</v>
      </c>
    </row>
    <row r="62" customFormat="false" ht="15.75" hidden="false" customHeight="true" outlineLevel="0" collapsed="false">
      <c r="A62" s="6" t="s">
        <v>143</v>
      </c>
      <c r="B62" s="7" t="s">
        <v>144</v>
      </c>
      <c r="C62" s="7" t="s">
        <v>145</v>
      </c>
      <c r="D62" s="7" t="s">
        <v>153</v>
      </c>
      <c r="E62" s="7" t="s">
        <v>147</v>
      </c>
      <c r="F62" s="6" t="s">
        <v>148</v>
      </c>
      <c r="G62" s="8" t="n">
        <v>5000000</v>
      </c>
      <c r="H62" s="9" t="n">
        <v>7500000</v>
      </c>
      <c r="I62" s="10" t="n">
        <f aca="false">IF(G62=0,"",IF(H62=0,"",(H62-G62)/H62))</f>
        <v>0.333333333333333</v>
      </c>
      <c r="J62" s="7"/>
      <c r="K62" s="6"/>
      <c r="L62" s="7"/>
      <c r="M62" s="6" t="s">
        <v>24</v>
      </c>
      <c r="N62" s="6" t="s">
        <v>25</v>
      </c>
    </row>
    <row r="63" customFormat="false" ht="15.75" hidden="false" customHeight="true" outlineLevel="0" collapsed="false">
      <c r="A63" s="11" t="s">
        <v>143</v>
      </c>
      <c r="B63" s="12" t="s">
        <v>144</v>
      </c>
      <c r="C63" s="12" t="s">
        <v>145</v>
      </c>
      <c r="D63" s="12" t="s">
        <v>154</v>
      </c>
      <c r="E63" s="12" t="s">
        <v>152</v>
      </c>
      <c r="F63" s="11" t="s">
        <v>40</v>
      </c>
      <c r="G63" s="13" t="n">
        <v>750000</v>
      </c>
      <c r="H63" s="14" t="n">
        <v>1000000</v>
      </c>
      <c r="I63" s="15" t="n">
        <f aca="false">IF(G63=0,"",IF(H63=0,"",(H63-G63)/H63))</f>
        <v>0.25</v>
      </c>
      <c r="J63" s="12"/>
      <c r="K63" s="11"/>
      <c r="L63" s="12"/>
      <c r="M63" s="11" t="s">
        <v>24</v>
      </c>
      <c r="N63" s="11" t="s">
        <v>25</v>
      </c>
    </row>
    <row r="64" customFormat="false" ht="15.75" hidden="false" customHeight="true" outlineLevel="0" collapsed="false">
      <c r="A64" s="6" t="s">
        <v>143</v>
      </c>
      <c r="B64" s="7" t="s">
        <v>144</v>
      </c>
      <c r="C64" s="7" t="s">
        <v>145</v>
      </c>
      <c r="D64" s="7" t="s">
        <v>155</v>
      </c>
      <c r="E64" s="7" t="s">
        <v>152</v>
      </c>
      <c r="F64" s="6" t="s">
        <v>40</v>
      </c>
      <c r="G64" s="8" t="n">
        <v>1000000</v>
      </c>
      <c r="H64" s="9" t="n">
        <v>1500000</v>
      </c>
      <c r="I64" s="10" t="n">
        <f aca="false">IF(G64=0,"",IF(H64=0,"",(H64-G64)/H64))</f>
        <v>0.333333333333333</v>
      </c>
      <c r="J64" s="7"/>
      <c r="K64" s="6"/>
      <c r="L64" s="7"/>
      <c r="M64" s="6" t="s">
        <v>24</v>
      </c>
      <c r="N64" s="6" t="s">
        <v>25</v>
      </c>
    </row>
    <row r="65" customFormat="false" ht="15.75" hidden="false" customHeight="true" outlineLevel="0" collapsed="false">
      <c r="A65" s="11" t="s">
        <v>143</v>
      </c>
      <c r="B65" s="12" t="s">
        <v>144</v>
      </c>
      <c r="C65" s="12" t="s">
        <v>145</v>
      </c>
      <c r="D65" s="12" t="s">
        <v>156</v>
      </c>
      <c r="E65" s="12" t="s">
        <v>147</v>
      </c>
      <c r="F65" s="11" t="s">
        <v>148</v>
      </c>
      <c r="G65" s="13" t="n">
        <v>5000000</v>
      </c>
      <c r="H65" s="14" t="n">
        <v>7500000</v>
      </c>
      <c r="I65" s="15" t="n">
        <f aca="false">IF(G65=0,"",IF(H65=0,"",(H65-G65)/H65))</f>
        <v>0.333333333333333</v>
      </c>
      <c r="J65" s="12"/>
      <c r="K65" s="11"/>
      <c r="L65" s="12"/>
      <c r="M65" s="11" t="s">
        <v>24</v>
      </c>
      <c r="N65" s="11" t="s">
        <v>25</v>
      </c>
    </row>
    <row r="66" customFormat="false" ht="15.75" hidden="false" customHeight="true" outlineLevel="0" collapsed="false">
      <c r="A66" s="6" t="s">
        <v>143</v>
      </c>
      <c r="B66" s="7" t="s">
        <v>144</v>
      </c>
      <c r="C66" s="7" t="s">
        <v>145</v>
      </c>
      <c r="D66" s="7" t="s">
        <v>157</v>
      </c>
      <c r="E66" s="7" t="s">
        <v>152</v>
      </c>
      <c r="F66" s="6" t="s">
        <v>40</v>
      </c>
      <c r="G66" s="8" t="n">
        <v>750000</v>
      </c>
      <c r="H66" s="9" t="n">
        <v>1000000</v>
      </c>
      <c r="I66" s="10" t="n">
        <f aca="false">IF(G66=0,"",IF(H66=0,"",(H66-G66)/H66))</f>
        <v>0.25</v>
      </c>
      <c r="J66" s="7"/>
      <c r="K66" s="6"/>
      <c r="L66" s="7"/>
      <c r="M66" s="6" t="s">
        <v>24</v>
      </c>
      <c r="N66" s="6" t="s">
        <v>25</v>
      </c>
    </row>
    <row r="67" customFormat="false" ht="15.75" hidden="false" customHeight="true" outlineLevel="0" collapsed="false">
      <c r="A67" s="11" t="s">
        <v>143</v>
      </c>
      <c r="B67" s="12" t="s">
        <v>144</v>
      </c>
      <c r="C67" s="12" t="s">
        <v>145</v>
      </c>
      <c r="D67" s="12" t="s">
        <v>158</v>
      </c>
      <c r="E67" s="12" t="s">
        <v>147</v>
      </c>
      <c r="F67" s="11" t="s">
        <v>159</v>
      </c>
      <c r="G67" s="13" t="n">
        <v>25000000</v>
      </c>
      <c r="H67" s="14" t="n">
        <v>40000000</v>
      </c>
      <c r="I67" s="15" t="n">
        <f aca="false">IF(G67=0,"",IF(H67=0,"",(H67-G67)/H67))</f>
        <v>0.375</v>
      </c>
      <c r="J67" s="12"/>
      <c r="K67" s="11"/>
      <c r="L67" s="12"/>
      <c r="M67" s="11" t="s">
        <v>24</v>
      </c>
      <c r="N67" s="11" t="s">
        <v>25</v>
      </c>
    </row>
    <row r="68" customFormat="false" ht="15.75" hidden="false" customHeight="true" outlineLevel="0" collapsed="false">
      <c r="A68" s="6" t="s">
        <v>143</v>
      </c>
      <c r="B68" s="7" t="s">
        <v>144</v>
      </c>
      <c r="C68" s="7" t="s">
        <v>160</v>
      </c>
      <c r="D68" s="7" t="s">
        <v>161</v>
      </c>
      <c r="E68" s="7" t="s">
        <v>147</v>
      </c>
      <c r="F68" s="6" t="s">
        <v>148</v>
      </c>
      <c r="G68" s="8" t="n">
        <v>7500000</v>
      </c>
      <c r="H68" s="9" t="n">
        <v>15000000</v>
      </c>
      <c r="I68" s="10" t="n">
        <f aca="false">IF(G68=0,"",IF(H68=0,"",(H68-G68)/H68))</f>
        <v>0.5</v>
      </c>
      <c r="J68" s="7"/>
      <c r="K68" s="6"/>
      <c r="L68" s="7"/>
      <c r="M68" s="6" t="s">
        <v>24</v>
      </c>
      <c r="N68" s="6" t="s">
        <v>25</v>
      </c>
    </row>
    <row r="69" customFormat="false" ht="15.75" hidden="false" customHeight="true" outlineLevel="0" collapsed="false">
      <c r="A69" s="11" t="s">
        <v>143</v>
      </c>
      <c r="B69" s="12" t="s">
        <v>144</v>
      </c>
      <c r="C69" s="12" t="s">
        <v>160</v>
      </c>
      <c r="D69" s="12" t="s">
        <v>162</v>
      </c>
      <c r="E69" s="12" t="s">
        <v>147</v>
      </c>
      <c r="F69" s="11" t="s">
        <v>148</v>
      </c>
      <c r="G69" s="13" t="n">
        <v>5000000</v>
      </c>
      <c r="H69" s="14" t="n">
        <v>10000000</v>
      </c>
      <c r="I69" s="15" t="n">
        <f aca="false">IF(G69=0,"",IF(H69=0,"",(H69-G69)/H69))</f>
        <v>0.5</v>
      </c>
      <c r="J69" s="12"/>
      <c r="K69" s="11"/>
      <c r="L69" s="12"/>
      <c r="M69" s="11" t="s">
        <v>24</v>
      </c>
      <c r="N69" s="11" t="s">
        <v>25</v>
      </c>
    </row>
    <row r="70" customFormat="false" ht="15.75" hidden="false" customHeight="true" outlineLevel="0" collapsed="false">
      <c r="A70" s="6" t="s">
        <v>143</v>
      </c>
      <c r="B70" s="7" t="s">
        <v>144</v>
      </c>
      <c r="C70" s="7" t="s">
        <v>160</v>
      </c>
      <c r="D70" s="7" t="s">
        <v>163</v>
      </c>
      <c r="E70" s="7" t="s">
        <v>147</v>
      </c>
      <c r="F70" s="6" t="s">
        <v>148</v>
      </c>
      <c r="G70" s="8" t="n">
        <v>2500000</v>
      </c>
      <c r="H70" s="9" t="n">
        <v>5000000</v>
      </c>
      <c r="I70" s="10" t="n">
        <f aca="false">IF(G70=0,"",IF(H70=0,"",(H70-G70)/H70))</f>
        <v>0.5</v>
      </c>
      <c r="J70" s="7"/>
      <c r="K70" s="6"/>
      <c r="L70" s="7"/>
      <c r="M70" s="6" t="s">
        <v>24</v>
      </c>
      <c r="N70" s="6" t="s">
        <v>25</v>
      </c>
    </row>
    <row r="71" customFormat="false" ht="15.75" hidden="false" customHeight="true" outlineLevel="0" collapsed="false">
      <c r="A71" s="11" t="s">
        <v>143</v>
      </c>
      <c r="B71" s="12" t="s">
        <v>144</v>
      </c>
      <c r="C71" s="12" t="s">
        <v>160</v>
      </c>
      <c r="D71" s="12" t="s">
        <v>164</v>
      </c>
      <c r="E71" s="12" t="s">
        <v>152</v>
      </c>
      <c r="F71" s="11" t="s">
        <v>40</v>
      </c>
      <c r="G71" s="13" t="n">
        <v>500000</v>
      </c>
      <c r="H71" s="14" t="n">
        <v>650000</v>
      </c>
      <c r="I71" s="15" t="n">
        <f aca="false">IF(G71=0,"",IF(H71=0,"",(H71-G71)/H71))</f>
        <v>0.230769230769231</v>
      </c>
      <c r="J71" s="12"/>
      <c r="K71" s="11"/>
      <c r="L71" s="12"/>
      <c r="M71" s="11" t="s">
        <v>24</v>
      </c>
      <c r="N71" s="11" t="s">
        <v>25</v>
      </c>
    </row>
    <row r="72" customFormat="false" ht="15.75" hidden="false" customHeight="true" outlineLevel="0" collapsed="false">
      <c r="A72" s="6" t="s">
        <v>143</v>
      </c>
      <c r="B72" s="7" t="s">
        <v>144</v>
      </c>
      <c r="C72" s="7" t="s">
        <v>160</v>
      </c>
      <c r="D72" s="7" t="s">
        <v>165</v>
      </c>
      <c r="E72" s="7" t="s">
        <v>147</v>
      </c>
      <c r="F72" s="6" t="s">
        <v>148</v>
      </c>
      <c r="G72" s="8" t="n">
        <v>1500000</v>
      </c>
      <c r="H72" s="9" t="n">
        <v>2500000</v>
      </c>
      <c r="I72" s="10" t="n">
        <f aca="false">IF(G72=0,"",IF(H72=0,"",(H72-G72)/H72))</f>
        <v>0.4</v>
      </c>
      <c r="J72" s="7"/>
      <c r="K72" s="6"/>
      <c r="L72" s="7"/>
      <c r="M72" s="6" t="s">
        <v>24</v>
      </c>
      <c r="N72" s="6" t="s">
        <v>25</v>
      </c>
    </row>
    <row r="73" customFormat="false" ht="15.75" hidden="false" customHeight="true" outlineLevel="0" collapsed="false">
      <c r="A73" s="11" t="s">
        <v>143</v>
      </c>
      <c r="B73" s="12" t="s">
        <v>144</v>
      </c>
      <c r="C73" s="12" t="s">
        <v>160</v>
      </c>
      <c r="D73" s="12" t="s">
        <v>166</v>
      </c>
      <c r="E73" s="12" t="s">
        <v>152</v>
      </c>
      <c r="F73" s="11" t="s">
        <v>40</v>
      </c>
      <c r="G73" s="13" t="n">
        <v>500000</v>
      </c>
      <c r="H73" s="14" t="n">
        <v>650000</v>
      </c>
      <c r="I73" s="15" t="n">
        <f aca="false">IF(G73=0,"",IF(H73=0,"",(H73-G73)/H73))</f>
        <v>0.230769230769231</v>
      </c>
      <c r="J73" s="12"/>
      <c r="K73" s="11"/>
      <c r="L73" s="12"/>
      <c r="M73" s="11" t="s">
        <v>24</v>
      </c>
      <c r="N73" s="11" t="s">
        <v>25</v>
      </c>
    </row>
    <row r="74" customFormat="false" ht="15.75" hidden="false" customHeight="true" outlineLevel="0" collapsed="false">
      <c r="A74" s="6" t="s">
        <v>143</v>
      </c>
      <c r="B74" s="7" t="s">
        <v>144</v>
      </c>
      <c r="C74" s="7" t="s">
        <v>160</v>
      </c>
      <c r="D74" s="7" t="s">
        <v>167</v>
      </c>
      <c r="E74" s="7" t="s">
        <v>147</v>
      </c>
      <c r="F74" s="6" t="s">
        <v>148</v>
      </c>
      <c r="G74" s="8" t="n">
        <v>1500000</v>
      </c>
      <c r="H74" s="9" t="n">
        <v>2500000</v>
      </c>
      <c r="I74" s="10" t="n">
        <f aca="false">IF(G74=0,"",IF(H74=0,"",(H74-G74)/H74))</f>
        <v>0.4</v>
      </c>
      <c r="J74" s="7"/>
      <c r="K74" s="6"/>
      <c r="L74" s="7"/>
      <c r="M74" s="6" t="s">
        <v>24</v>
      </c>
      <c r="N74" s="6" t="s">
        <v>25</v>
      </c>
    </row>
    <row r="75" customFormat="false" ht="15.75" hidden="false" customHeight="true" outlineLevel="0" collapsed="false">
      <c r="A75" s="11" t="s">
        <v>143</v>
      </c>
      <c r="B75" s="12" t="s">
        <v>144</v>
      </c>
      <c r="C75" s="12" t="s">
        <v>160</v>
      </c>
      <c r="D75" s="12" t="s">
        <v>168</v>
      </c>
      <c r="E75" s="12" t="s">
        <v>152</v>
      </c>
      <c r="F75" s="11" t="s">
        <v>40</v>
      </c>
      <c r="G75" s="13" t="n">
        <v>500000</v>
      </c>
      <c r="H75" s="14" t="n">
        <v>650000</v>
      </c>
      <c r="I75" s="15" t="n">
        <f aca="false">IF(G75=0,"",IF(H75=0,"",(H75-G75)/H75))</f>
        <v>0.230769230769231</v>
      </c>
      <c r="J75" s="12"/>
      <c r="K75" s="11"/>
      <c r="L75" s="12"/>
      <c r="M75" s="11" t="s">
        <v>24</v>
      </c>
      <c r="N75" s="11" t="s">
        <v>25</v>
      </c>
    </row>
    <row r="76" customFormat="false" ht="15.75" hidden="false" customHeight="true" outlineLevel="0" collapsed="false">
      <c r="A76" s="6" t="s">
        <v>143</v>
      </c>
      <c r="B76" s="7" t="s">
        <v>144</v>
      </c>
      <c r="C76" s="7" t="s">
        <v>160</v>
      </c>
      <c r="D76" s="7" t="s">
        <v>169</v>
      </c>
      <c r="E76" s="7" t="s">
        <v>147</v>
      </c>
      <c r="F76" s="6" t="s">
        <v>148</v>
      </c>
      <c r="G76" s="8" t="n">
        <v>5000000</v>
      </c>
      <c r="H76" s="9" t="n">
        <v>7500000</v>
      </c>
      <c r="I76" s="10" t="n">
        <f aca="false">IF(G76=0,"",IF(H76=0,"",(H76-G76)/H76))</f>
        <v>0.333333333333333</v>
      </c>
      <c r="J76" s="7"/>
      <c r="K76" s="6"/>
      <c r="L76" s="7"/>
      <c r="M76" s="6" t="s">
        <v>24</v>
      </c>
      <c r="N76" s="6" t="s">
        <v>25</v>
      </c>
    </row>
    <row r="77" customFormat="false" ht="15.75" hidden="false" customHeight="true" outlineLevel="0" collapsed="false">
      <c r="A77" s="11" t="s">
        <v>143</v>
      </c>
      <c r="B77" s="12" t="s">
        <v>144</v>
      </c>
      <c r="C77" s="12" t="s">
        <v>160</v>
      </c>
      <c r="D77" s="12" t="s">
        <v>170</v>
      </c>
      <c r="E77" s="12" t="s">
        <v>152</v>
      </c>
      <c r="F77" s="11" t="s">
        <v>40</v>
      </c>
      <c r="G77" s="13" t="n">
        <v>750000</v>
      </c>
      <c r="H77" s="14" t="n">
        <v>1000000</v>
      </c>
      <c r="I77" s="15" t="n">
        <f aca="false">IF(G77=0,"",IF(H77=0,"",(H77-G77)/H77))</f>
        <v>0.25</v>
      </c>
      <c r="J77" s="12"/>
      <c r="K77" s="11"/>
      <c r="L77" s="12"/>
      <c r="M77" s="11" t="s">
        <v>24</v>
      </c>
      <c r="N77" s="11" t="s">
        <v>25</v>
      </c>
    </row>
    <row r="78" customFormat="false" ht="15.75" hidden="false" customHeight="true" outlineLevel="0" collapsed="false">
      <c r="A78" s="6" t="s">
        <v>143</v>
      </c>
      <c r="B78" s="7" t="s">
        <v>144</v>
      </c>
      <c r="C78" s="7" t="s">
        <v>160</v>
      </c>
      <c r="D78" s="7" t="s">
        <v>171</v>
      </c>
      <c r="E78" s="7" t="s">
        <v>147</v>
      </c>
      <c r="F78" s="6" t="s">
        <v>148</v>
      </c>
      <c r="G78" s="8" t="n">
        <v>2000000</v>
      </c>
      <c r="H78" s="9" t="n">
        <v>3000000</v>
      </c>
      <c r="I78" s="10" t="n">
        <f aca="false">IF(G78=0,"",IF(H78=0,"",(H78-G78)/H78))</f>
        <v>0.333333333333333</v>
      </c>
      <c r="J78" s="7"/>
      <c r="K78" s="6"/>
      <c r="L78" s="7"/>
      <c r="M78" s="6" t="s">
        <v>24</v>
      </c>
      <c r="N78" s="6" t="s">
        <v>25</v>
      </c>
    </row>
    <row r="79" customFormat="false" ht="15.75" hidden="false" customHeight="true" outlineLevel="0" collapsed="false">
      <c r="A79" s="11" t="s">
        <v>143</v>
      </c>
      <c r="B79" s="12" t="s">
        <v>144</v>
      </c>
      <c r="C79" s="12" t="s">
        <v>160</v>
      </c>
      <c r="D79" s="12" t="s">
        <v>172</v>
      </c>
      <c r="E79" s="12" t="s">
        <v>152</v>
      </c>
      <c r="F79" s="11" t="s">
        <v>40</v>
      </c>
      <c r="G79" s="13" t="n">
        <v>450000</v>
      </c>
      <c r="H79" s="14" t="n">
        <v>550000</v>
      </c>
      <c r="I79" s="15" t="n">
        <f aca="false">IF(G79=0,"",IF(H79=0,"",(H79-G79)/H79))</f>
        <v>0.181818181818182</v>
      </c>
      <c r="J79" s="12"/>
      <c r="K79" s="11"/>
      <c r="L79" s="12"/>
      <c r="M79" s="11" t="s">
        <v>24</v>
      </c>
      <c r="N79" s="11" t="s">
        <v>25</v>
      </c>
    </row>
    <row r="80" customFormat="false" ht="15.75" hidden="false" customHeight="true" outlineLevel="0" collapsed="false">
      <c r="A80" s="6" t="s">
        <v>143</v>
      </c>
      <c r="B80" s="7" t="s">
        <v>144</v>
      </c>
      <c r="C80" s="7" t="s">
        <v>160</v>
      </c>
      <c r="D80" s="7" t="s">
        <v>173</v>
      </c>
      <c r="E80" s="7" t="s">
        <v>147</v>
      </c>
      <c r="F80" s="6" t="s">
        <v>148</v>
      </c>
      <c r="G80" s="8" t="n">
        <v>5000000</v>
      </c>
      <c r="H80" s="9" t="n">
        <v>8500000</v>
      </c>
      <c r="I80" s="10" t="n">
        <f aca="false">IF(G80=0,"",IF(H80=0,"",(H80-G80)/H80))</f>
        <v>0.411764705882353</v>
      </c>
      <c r="J80" s="7"/>
      <c r="K80" s="6"/>
      <c r="L80" s="7"/>
      <c r="M80" s="6" t="s">
        <v>24</v>
      </c>
      <c r="N80" s="6" t="s">
        <v>25</v>
      </c>
    </row>
    <row r="81" customFormat="false" ht="15.75" hidden="false" customHeight="true" outlineLevel="0" collapsed="false">
      <c r="A81" s="11" t="s">
        <v>143</v>
      </c>
      <c r="B81" s="12" t="s">
        <v>144</v>
      </c>
      <c r="C81" s="12" t="s">
        <v>160</v>
      </c>
      <c r="D81" s="12" t="s">
        <v>174</v>
      </c>
      <c r="E81" s="12" t="s">
        <v>175</v>
      </c>
      <c r="F81" s="11" t="s">
        <v>148</v>
      </c>
      <c r="G81" s="13" t="n">
        <v>1000000</v>
      </c>
      <c r="H81" s="14" t="n">
        <v>3000000</v>
      </c>
      <c r="I81" s="15" t="n">
        <f aca="false">IF(G81=0,"",IF(H81=0,"",(H81-G81)/H81))</f>
        <v>0.666666666666667</v>
      </c>
      <c r="J81" s="12"/>
      <c r="K81" s="11"/>
      <c r="L81" s="12"/>
      <c r="M81" s="11" t="s">
        <v>24</v>
      </c>
      <c r="N81" s="11" t="s">
        <v>25</v>
      </c>
    </row>
    <row r="82" customFormat="false" ht="18" hidden="false" customHeight="true" outlineLevel="0" collapsed="false">
      <c r="A82" s="5" t="s">
        <v>176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customFormat="false" ht="15.75" hidden="false" customHeight="true" outlineLevel="0" collapsed="false">
      <c r="A83" s="6" t="s">
        <v>177</v>
      </c>
      <c r="B83" s="7" t="s">
        <v>178</v>
      </c>
      <c r="C83" s="7" t="s">
        <v>179</v>
      </c>
      <c r="D83" s="7" t="s">
        <v>180</v>
      </c>
      <c r="E83" s="7" t="s">
        <v>45</v>
      </c>
      <c r="F83" s="6" t="s">
        <v>46</v>
      </c>
      <c r="G83" s="8" t="n">
        <v>550000</v>
      </c>
      <c r="H83" s="9" t="n">
        <v>750000</v>
      </c>
      <c r="I83" s="10" t="n">
        <f aca="false">IF(G83=0,"",IF(H83=0,"",(H83-G83)/H83))</f>
        <v>0.266666666666667</v>
      </c>
      <c r="J83" s="7"/>
      <c r="K83" s="6"/>
      <c r="L83" s="7"/>
      <c r="M83" s="6" t="s">
        <v>24</v>
      </c>
      <c r="N83" s="6" t="s">
        <v>25</v>
      </c>
    </row>
    <row r="84" customFormat="false" ht="15.75" hidden="false" customHeight="true" outlineLevel="0" collapsed="false">
      <c r="A84" s="11" t="s">
        <v>177</v>
      </c>
      <c r="B84" s="12" t="s">
        <v>178</v>
      </c>
      <c r="C84" s="12" t="s">
        <v>179</v>
      </c>
      <c r="D84" s="12" t="s">
        <v>181</v>
      </c>
      <c r="E84" s="12" t="s">
        <v>45</v>
      </c>
      <c r="F84" s="11" t="s">
        <v>46</v>
      </c>
      <c r="G84" s="13" t="n">
        <v>2500000</v>
      </c>
      <c r="H84" s="14" t="n">
        <v>3500000</v>
      </c>
      <c r="I84" s="15" t="n">
        <f aca="false">IF(G84=0,"",IF(H84=0,"",(H84-G84)/H84))</f>
        <v>0.285714285714286</v>
      </c>
      <c r="J84" s="12"/>
      <c r="K84" s="11"/>
      <c r="L84" s="12"/>
      <c r="M84" s="11" t="s">
        <v>24</v>
      </c>
      <c r="N84" s="11" t="s">
        <v>25</v>
      </c>
    </row>
    <row r="85" customFormat="false" ht="15.75" hidden="false" customHeight="true" outlineLevel="0" collapsed="false">
      <c r="A85" s="6" t="s">
        <v>177</v>
      </c>
      <c r="B85" s="7" t="s">
        <v>178</v>
      </c>
      <c r="C85" s="7" t="s">
        <v>182</v>
      </c>
      <c r="D85" s="7" t="s">
        <v>183</v>
      </c>
      <c r="E85" s="7" t="s">
        <v>184</v>
      </c>
      <c r="F85" s="6" t="s">
        <v>185</v>
      </c>
      <c r="G85" s="8" t="n">
        <v>550000</v>
      </c>
      <c r="H85" s="9" t="n">
        <v>600000</v>
      </c>
      <c r="I85" s="10" t="n">
        <f aca="false">IF(G85=0,"",IF(H85=0,"",(H85-G85)/H85))</f>
        <v>0.0833333333333333</v>
      </c>
      <c r="J85" s="7"/>
      <c r="K85" s="6"/>
      <c r="L85" s="7"/>
      <c r="M85" s="6" t="s">
        <v>24</v>
      </c>
      <c r="N85" s="6" t="s">
        <v>25</v>
      </c>
    </row>
    <row r="86" customFormat="false" ht="15.75" hidden="false" customHeight="true" outlineLevel="0" collapsed="false">
      <c r="A86" s="11" t="s">
        <v>177</v>
      </c>
      <c r="B86" s="12" t="s">
        <v>178</v>
      </c>
      <c r="C86" s="12" t="s">
        <v>182</v>
      </c>
      <c r="D86" s="12" t="s">
        <v>186</v>
      </c>
      <c r="E86" s="12" t="s">
        <v>184</v>
      </c>
      <c r="F86" s="11" t="s">
        <v>185</v>
      </c>
      <c r="G86" s="13" t="n">
        <v>900000</v>
      </c>
      <c r="H86" s="14" t="n">
        <v>1100000</v>
      </c>
      <c r="I86" s="15" t="n">
        <f aca="false">IF(G86=0,"",IF(H86=0,"",(H86-G86)/H86))</f>
        <v>0.181818181818182</v>
      </c>
      <c r="J86" s="12"/>
      <c r="K86" s="11"/>
      <c r="L86" s="12"/>
      <c r="M86" s="11" t="s">
        <v>24</v>
      </c>
      <c r="N86" s="11" t="s">
        <v>25</v>
      </c>
    </row>
    <row r="87" customFormat="false" ht="15.75" hidden="false" customHeight="true" outlineLevel="0" collapsed="false">
      <c r="A87" s="6" t="s">
        <v>177</v>
      </c>
      <c r="B87" s="7" t="s">
        <v>178</v>
      </c>
      <c r="C87" s="7" t="s">
        <v>187</v>
      </c>
      <c r="D87" s="7" t="s">
        <v>188</v>
      </c>
      <c r="E87" s="7" t="s">
        <v>189</v>
      </c>
      <c r="F87" s="6" t="s">
        <v>190</v>
      </c>
      <c r="G87" s="8" t="n">
        <v>15000</v>
      </c>
      <c r="H87" s="9" t="n">
        <v>25000</v>
      </c>
      <c r="I87" s="10" t="n">
        <f aca="false">IF(G87=0,"",IF(H87=0,"",(H87-G87)/H87))</f>
        <v>0.4</v>
      </c>
      <c r="J87" s="7"/>
      <c r="K87" s="6"/>
      <c r="L87" s="7"/>
      <c r="M87" s="6" t="s">
        <v>24</v>
      </c>
      <c r="N87" s="6" t="s">
        <v>25</v>
      </c>
    </row>
    <row r="88" customFormat="false" ht="15.75" hidden="false" customHeight="true" outlineLevel="0" collapsed="false">
      <c r="A88" s="11" t="s">
        <v>177</v>
      </c>
      <c r="B88" s="12" t="s">
        <v>178</v>
      </c>
      <c r="C88" s="12" t="s">
        <v>187</v>
      </c>
      <c r="D88" s="12" t="s">
        <v>191</v>
      </c>
      <c r="E88" s="12" t="s">
        <v>189</v>
      </c>
      <c r="F88" s="11" t="s">
        <v>190</v>
      </c>
      <c r="G88" s="13" t="n">
        <v>35000</v>
      </c>
      <c r="H88" s="14" t="n">
        <v>45000</v>
      </c>
      <c r="I88" s="15" t="n">
        <f aca="false">IF(G88=0,"",IF(H88=0,"",(H88-G88)/H88))</f>
        <v>0.222222222222222</v>
      </c>
      <c r="J88" s="12"/>
      <c r="K88" s="11"/>
      <c r="L88" s="12"/>
      <c r="M88" s="11" t="s">
        <v>24</v>
      </c>
      <c r="N88" s="11" t="s">
        <v>25</v>
      </c>
    </row>
    <row r="89" customFormat="false" ht="15.75" hidden="false" customHeight="true" outlineLevel="0" collapsed="false">
      <c r="A89" s="6" t="s">
        <v>177</v>
      </c>
      <c r="B89" s="7" t="s">
        <v>178</v>
      </c>
      <c r="C89" s="7" t="s">
        <v>187</v>
      </c>
      <c r="D89" s="7" t="s">
        <v>192</v>
      </c>
      <c r="E89" s="7" t="s">
        <v>193</v>
      </c>
      <c r="F89" s="6" t="s">
        <v>194</v>
      </c>
      <c r="G89" s="8" t="n">
        <v>55000</v>
      </c>
      <c r="H89" s="9" t="n">
        <v>65000</v>
      </c>
      <c r="I89" s="10" t="n">
        <f aca="false">IF(G89=0,"",IF(H89=0,"",(H89-G89)/H89))</f>
        <v>0.153846153846154</v>
      </c>
      <c r="J89" s="7"/>
      <c r="K89" s="6"/>
      <c r="L89" s="7"/>
      <c r="M89" s="6" t="s">
        <v>24</v>
      </c>
      <c r="N89" s="6" t="s">
        <v>25</v>
      </c>
    </row>
    <row r="90" customFormat="false" ht="15.75" hidden="false" customHeight="true" outlineLevel="0" collapsed="false">
      <c r="A90" s="11" t="s">
        <v>177</v>
      </c>
      <c r="B90" s="12" t="s">
        <v>178</v>
      </c>
      <c r="C90" s="12" t="s">
        <v>187</v>
      </c>
      <c r="D90" s="12" t="s">
        <v>195</v>
      </c>
      <c r="E90" s="12" t="s">
        <v>196</v>
      </c>
      <c r="F90" s="11" t="s">
        <v>64</v>
      </c>
      <c r="G90" s="13" t="n">
        <v>1500000</v>
      </c>
      <c r="H90" s="14" t="n">
        <v>3000000</v>
      </c>
      <c r="I90" s="15" t="n">
        <f aca="false">IF(G90=0,"",IF(H90=0,"",(H90-G90)/H90))</f>
        <v>0.5</v>
      </c>
      <c r="J90" s="12"/>
      <c r="K90" s="11"/>
      <c r="L90" s="12"/>
      <c r="M90" s="11" t="s">
        <v>24</v>
      </c>
      <c r="N90" s="11" t="s">
        <v>25</v>
      </c>
    </row>
    <row r="91" customFormat="false" ht="15.75" hidden="false" customHeight="true" outlineLevel="0" collapsed="false">
      <c r="A91" s="6" t="s">
        <v>177</v>
      </c>
      <c r="B91" s="7" t="s">
        <v>178</v>
      </c>
      <c r="C91" s="7" t="s">
        <v>197</v>
      </c>
      <c r="D91" s="7" t="s">
        <v>198</v>
      </c>
      <c r="E91" s="7" t="s">
        <v>45</v>
      </c>
      <c r="F91" s="6" t="s">
        <v>46</v>
      </c>
      <c r="G91" s="8" t="n">
        <v>35000</v>
      </c>
      <c r="H91" s="9" t="n">
        <v>65000</v>
      </c>
      <c r="I91" s="10" t="n">
        <f aca="false">IF(G91=0,"",IF(H91=0,"",(H91-G91)/H91))</f>
        <v>0.461538461538462</v>
      </c>
      <c r="J91" s="7"/>
      <c r="K91" s="6"/>
      <c r="L91" s="7"/>
      <c r="M91" s="6" t="s">
        <v>24</v>
      </c>
      <c r="N91" s="6" t="s">
        <v>25</v>
      </c>
    </row>
    <row r="92" customFormat="false" ht="15.75" hidden="false" customHeight="true" outlineLevel="0" collapsed="false">
      <c r="A92" s="11" t="s">
        <v>177</v>
      </c>
      <c r="B92" s="12" t="s">
        <v>178</v>
      </c>
      <c r="C92" s="12" t="s">
        <v>199</v>
      </c>
      <c r="D92" s="12" t="s">
        <v>200</v>
      </c>
      <c r="E92" s="12" t="s">
        <v>45</v>
      </c>
      <c r="F92" s="11" t="s">
        <v>46</v>
      </c>
      <c r="G92" s="13" t="n">
        <v>150000</v>
      </c>
      <c r="H92" s="14" t="n">
        <v>250000</v>
      </c>
      <c r="I92" s="15" t="n">
        <f aca="false">IF(G92=0,"",IF(H92=0,"",(H92-G92)/H92))</f>
        <v>0.4</v>
      </c>
      <c r="J92" s="12"/>
      <c r="K92" s="11"/>
      <c r="L92" s="12"/>
      <c r="M92" s="11" t="s">
        <v>24</v>
      </c>
      <c r="N92" s="11" t="s">
        <v>25</v>
      </c>
    </row>
    <row r="93" customFormat="false" ht="15.75" hidden="false" customHeight="true" outlineLevel="0" collapsed="false">
      <c r="A93" s="6" t="s">
        <v>177</v>
      </c>
      <c r="B93" s="7" t="s">
        <v>178</v>
      </c>
      <c r="C93" s="7" t="s">
        <v>199</v>
      </c>
      <c r="D93" s="7" t="s">
        <v>201</v>
      </c>
      <c r="E93" s="7" t="s">
        <v>45</v>
      </c>
      <c r="F93" s="6" t="s">
        <v>46</v>
      </c>
      <c r="G93" s="8" t="n">
        <v>250000</v>
      </c>
      <c r="H93" s="9" t="n">
        <v>350000</v>
      </c>
      <c r="I93" s="10" t="n">
        <f aca="false">IF(G93=0,"",IF(H93=0,"",(H93-G93)/H93))</f>
        <v>0.285714285714286</v>
      </c>
      <c r="J93" s="7"/>
      <c r="K93" s="6"/>
      <c r="L93" s="7"/>
      <c r="M93" s="6" t="s">
        <v>24</v>
      </c>
      <c r="N93" s="6" t="s">
        <v>25</v>
      </c>
    </row>
    <row r="94" customFormat="false" ht="15.75" hidden="false" customHeight="true" outlineLevel="0" collapsed="false">
      <c r="A94" s="11" t="s">
        <v>177</v>
      </c>
      <c r="B94" s="12" t="s">
        <v>178</v>
      </c>
      <c r="C94" s="12" t="s">
        <v>199</v>
      </c>
      <c r="D94" s="12" t="s">
        <v>202</v>
      </c>
      <c r="E94" s="12" t="s">
        <v>203</v>
      </c>
      <c r="F94" s="11" t="s">
        <v>204</v>
      </c>
      <c r="G94" s="13" t="n">
        <v>2000000</v>
      </c>
      <c r="H94" s="14" t="n">
        <v>5000000</v>
      </c>
      <c r="I94" s="15" t="n">
        <f aca="false">IF(G94=0,"",IF(H94=0,"",(H94-G94)/H94))</f>
        <v>0.6</v>
      </c>
      <c r="J94" s="12"/>
      <c r="K94" s="11"/>
      <c r="L94" s="12"/>
      <c r="M94" s="11" t="s">
        <v>24</v>
      </c>
      <c r="N94" s="11" t="s">
        <v>25</v>
      </c>
    </row>
    <row r="95" customFormat="false" ht="15.75" hidden="false" customHeight="true" outlineLevel="0" collapsed="false">
      <c r="A95" s="6" t="s">
        <v>177</v>
      </c>
      <c r="B95" s="7" t="s">
        <v>178</v>
      </c>
      <c r="C95" s="7" t="s">
        <v>205</v>
      </c>
      <c r="D95" s="7" t="s">
        <v>206</v>
      </c>
      <c r="E95" s="7" t="s">
        <v>122</v>
      </c>
      <c r="F95" s="6" t="s">
        <v>123</v>
      </c>
      <c r="G95" s="8" t="n">
        <v>20000</v>
      </c>
      <c r="H95" s="9" t="n">
        <v>30000</v>
      </c>
      <c r="I95" s="10" t="n">
        <f aca="false">IF(G95=0,"",IF(H95=0,"",(H95-G95)/H95))</f>
        <v>0.333333333333333</v>
      </c>
      <c r="J95" s="7"/>
      <c r="K95" s="6"/>
      <c r="L95" s="7"/>
      <c r="M95" s="6" t="s">
        <v>24</v>
      </c>
      <c r="N95" s="6" t="s">
        <v>25</v>
      </c>
    </row>
    <row r="96" customFormat="false" ht="18" hidden="false" customHeight="true" outlineLevel="0" collapsed="false">
      <c r="A96" s="5" t="s">
        <v>207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customFormat="false" ht="15.75" hidden="false" customHeight="true" outlineLevel="0" collapsed="false">
      <c r="A97" s="6" t="s">
        <v>208</v>
      </c>
      <c r="B97" s="7" t="s">
        <v>209</v>
      </c>
      <c r="C97" s="7" t="s">
        <v>210</v>
      </c>
      <c r="D97" s="7" t="s">
        <v>211</v>
      </c>
      <c r="E97" s="7" t="s">
        <v>72</v>
      </c>
      <c r="F97" s="6" t="s">
        <v>212</v>
      </c>
      <c r="G97" s="8" t="n">
        <v>350000</v>
      </c>
      <c r="H97" s="9" t="n">
        <v>450000</v>
      </c>
      <c r="I97" s="10" t="n">
        <f aca="false">IF(G97=0,"",IF(H97=0,"",(H97-G97)/H97))</f>
        <v>0.222222222222222</v>
      </c>
      <c r="J97" s="7"/>
      <c r="K97" s="6"/>
      <c r="L97" s="7"/>
      <c r="M97" s="6" t="s">
        <v>24</v>
      </c>
      <c r="N97" s="6" t="s">
        <v>25</v>
      </c>
    </row>
    <row r="98" customFormat="false" ht="15.75" hidden="false" customHeight="true" outlineLevel="0" collapsed="false">
      <c r="A98" s="11" t="s">
        <v>208</v>
      </c>
      <c r="B98" s="12" t="s">
        <v>209</v>
      </c>
      <c r="C98" s="12" t="s">
        <v>210</v>
      </c>
      <c r="D98" s="12" t="s">
        <v>213</v>
      </c>
      <c r="E98" s="12" t="s">
        <v>72</v>
      </c>
      <c r="F98" s="11" t="s">
        <v>212</v>
      </c>
      <c r="G98" s="13" t="n">
        <v>150000</v>
      </c>
      <c r="H98" s="14" t="n">
        <v>185000</v>
      </c>
      <c r="I98" s="15" t="n">
        <f aca="false">IF(G98=0,"",IF(H98=0,"",(H98-G98)/H98))</f>
        <v>0.189189189189189</v>
      </c>
      <c r="J98" s="12"/>
      <c r="K98" s="11"/>
      <c r="L98" s="12"/>
      <c r="M98" s="11" t="s">
        <v>24</v>
      </c>
      <c r="N98" s="11" t="s">
        <v>25</v>
      </c>
    </row>
    <row r="99" customFormat="false" ht="15.75" hidden="false" customHeight="true" outlineLevel="0" collapsed="false">
      <c r="A99" s="6" t="s">
        <v>208</v>
      </c>
      <c r="B99" s="7" t="s">
        <v>209</v>
      </c>
      <c r="C99" s="7" t="s">
        <v>210</v>
      </c>
      <c r="D99" s="7" t="s">
        <v>214</v>
      </c>
      <c r="E99" s="7" t="s">
        <v>72</v>
      </c>
      <c r="F99" s="6" t="s">
        <v>212</v>
      </c>
      <c r="G99" s="8" t="n">
        <v>200000</v>
      </c>
      <c r="H99" s="9" t="n">
        <v>250000</v>
      </c>
      <c r="I99" s="10" t="n">
        <f aca="false">IF(G99=0,"",IF(H99=0,"",(H99-G99)/H99))</f>
        <v>0.2</v>
      </c>
      <c r="J99" s="7"/>
      <c r="K99" s="6"/>
      <c r="L99" s="7"/>
      <c r="M99" s="6" t="s">
        <v>24</v>
      </c>
      <c r="N99" s="6" t="s">
        <v>25</v>
      </c>
    </row>
    <row r="100" customFormat="false" ht="15.75" hidden="false" customHeight="true" outlineLevel="0" collapsed="false">
      <c r="A100" s="11" t="s">
        <v>208</v>
      </c>
      <c r="B100" s="12" t="s">
        <v>209</v>
      </c>
      <c r="C100" s="12" t="s">
        <v>210</v>
      </c>
      <c r="D100" s="12" t="s">
        <v>215</v>
      </c>
      <c r="E100" s="12" t="s">
        <v>216</v>
      </c>
      <c r="F100" s="11" t="s">
        <v>217</v>
      </c>
      <c r="G100" s="13" t="n">
        <v>85000</v>
      </c>
      <c r="H100" s="14" t="n">
        <v>150000</v>
      </c>
      <c r="I100" s="15" t="n">
        <f aca="false">IF(G100=0,"",IF(H100=0,"",(H100-G100)/H100))</f>
        <v>0.433333333333333</v>
      </c>
      <c r="J100" s="12"/>
      <c r="K100" s="11"/>
      <c r="L100" s="12"/>
      <c r="M100" s="11" t="s">
        <v>24</v>
      </c>
      <c r="N100" s="11" t="s">
        <v>25</v>
      </c>
    </row>
    <row r="101" customFormat="false" ht="15.75" hidden="false" customHeight="true" outlineLevel="0" collapsed="false">
      <c r="A101" s="6" t="s">
        <v>208</v>
      </c>
      <c r="B101" s="7" t="s">
        <v>209</v>
      </c>
      <c r="C101" s="7" t="s">
        <v>210</v>
      </c>
      <c r="D101" s="7" t="s">
        <v>218</v>
      </c>
      <c r="E101" s="7" t="s">
        <v>72</v>
      </c>
      <c r="F101" s="6" t="s">
        <v>212</v>
      </c>
      <c r="G101" s="8" t="n">
        <v>350000</v>
      </c>
      <c r="H101" s="9" t="n">
        <v>550000</v>
      </c>
      <c r="I101" s="10" t="n">
        <f aca="false">IF(G101=0,"",IF(H101=0,"",(H101-G101)/H101))</f>
        <v>0.363636363636364</v>
      </c>
      <c r="J101" s="7"/>
      <c r="K101" s="6"/>
      <c r="L101" s="7"/>
      <c r="M101" s="6" t="s">
        <v>24</v>
      </c>
      <c r="N101" s="6" t="s">
        <v>25</v>
      </c>
    </row>
    <row r="102" customFormat="false" ht="15.75" hidden="false" customHeight="true" outlineLevel="0" collapsed="false">
      <c r="A102" s="11" t="s">
        <v>208</v>
      </c>
      <c r="B102" s="12" t="s">
        <v>209</v>
      </c>
      <c r="C102" s="12" t="s">
        <v>219</v>
      </c>
      <c r="D102" s="12" t="s">
        <v>220</v>
      </c>
      <c r="E102" s="12" t="s">
        <v>221</v>
      </c>
      <c r="F102" s="11" t="s">
        <v>204</v>
      </c>
      <c r="G102" s="13" t="n">
        <v>20000000</v>
      </c>
      <c r="H102" s="14" t="n">
        <v>30000000</v>
      </c>
      <c r="I102" s="15" t="n">
        <f aca="false">IF(G102=0,"",IF(H102=0,"",(H102-G102)/H102))</f>
        <v>0.333333333333333</v>
      </c>
      <c r="J102" s="12"/>
      <c r="K102" s="11"/>
      <c r="L102" s="12" t="s">
        <v>222</v>
      </c>
      <c r="M102" s="11" t="s">
        <v>24</v>
      </c>
      <c r="N102" s="11" t="s">
        <v>25</v>
      </c>
    </row>
    <row r="103" customFormat="false" ht="15.75" hidden="false" customHeight="true" outlineLevel="0" collapsed="false">
      <c r="A103" s="6" t="s">
        <v>208</v>
      </c>
      <c r="B103" s="7" t="s">
        <v>209</v>
      </c>
      <c r="C103" s="7" t="s">
        <v>219</v>
      </c>
      <c r="D103" s="7" t="s">
        <v>223</v>
      </c>
      <c r="E103" s="7" t="s">
        <v>224</v>
      </c>
      <c r="F103" s="6" t="s">
        <v>40</v>
      </c>
      <c r="G103" s="8" t="n">
        <v>1500000</v>
      </c>
      <c r="H103" s="9" t="n">
        <v>2500000</v>
      </c>
      <c r="I103" s="10" t="n">
        <f aca="false">IF(G103=0,"",IF(H103=0,"",(H103-G103)/H103))</f>
        <v>0.4</v>
      </c>
      <c r="J103" s="7"/>
      <c r="K103" s="6"/>
      <c r="L103" s="7"/>
      <c r="M103" s="6" t="s">
        <v>24</v>
      </c>
      <c r="N103" s="6" t="s">
        <v>25</v>
      </c>
    </row>
    <row r="104" customFormat="false" ht="15.75" hidden="false" customHeight="true" outlineLevel="0" collapsed="false">
      <c r="A104" s="11" t="s">
        <v>208</v>
      </c>
      <c r="B104" s="12" t="s">
        <v>209</v>
      </c>
      <c r="C104" s="12" t="s">
        <v>219</v>
      </c>
      <c r="D104" s="12" t="s">
        <v>225</v>
      </c>
      <c r="E104" s="12" t="s">
        <v>224</v>
      </c>
      <c r="F104" s="11" t="s">
        <v>40</v>
      </c>
      <c r="G104" s="13" t="n">
        <v>2000000</v>
      </c>
      <c r="H104" s="14" t="n">
        <v>3500000</v>
      </c>
      <c r="I104" s="15" t="n">
        <f aca="false">IF(G104=0,"",IF(H104=0,"",(H104-G104)/H104))</f>
        <v>0.428571428571429</v>
      </c>
      <c r="J104" s="12"/>
      <c r="K104" s="11"/>
      <c r="L104" s="12"/>
      <c r="M104" s="11" t="s">
        <v>24</v>
      </c>
      <c r="N104" s="11" t="s">
        <v>25</v>
      </c>
    </row>
    <row r="105" customFormat="false" ht="15.75" hidden="false" customHeight="true" outlineLevel="0" collapsed="false">
      <c r="A105" s="6" t="s">
        <v>208</v>
      </c>
      <c r="B105" s="7" t="s">
        <v>209</v>
      </c>
      <c r="C105" s="7" t="s">
        <v>219</v>
      </c>
      <c r="D105" s="7" t="s">
        <v>226</v>
      </c>
      <c r="E105" s="7" t="s">
        <v>203</v>
      </c>
      <c r="F105" s="6" t="s">
        <v>204</v>
      </c>
      <c r="G105" s="8" t="n">
        <v>5000000</v>
      </c>
      <c r="H105" s="9" t="n">
        <v>10000000</v>
      </c>
      <c r="I105" s="10" t="n">
        <f aca="false">IF(G105=0,"",IF(H105=0,"",(H105-G105)/H105))</f>
        <v>0.5</v>
      </c>
      <c r="J105" s="7"/>
      <c r="K105" s="6"/>
      <c r="L105" s="7"/>
      <c r="M105" s="6" t="s">
        <v>24</v>
      </c>
      <c r="N105" s="6" t="s">
        <v>25</v>
      </c>
    </row>
    <row r="106" customFormat="false" ht="18" hidden="false" customHeight="true" outlineLevel="0" collapsed="false">
      <c r="A106" s="5" t="s">
        <v>227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customFormat="false" ht="15.75" hidden="false" customHeight="true" outlineLevel="0" collapsed="false">
      <c r="A107" s="6" t="s">
        <v>228</v>
      </c>
      <c r="B107" s="7" t="s">
        <v>229</v>
      </c>
      <c r="C107" s="7" t="s">
        <v>230</v>
      </c>
      <c r="D107" s="7" t="s">
        <v>231</v>
      </c>
      <c r="E107" s="7" t="s">
        <v>152</v>
      </c>
      <c r="F107" s="6" t="s">
        <v>40</v>
      </c>
      <c r="G107" s="8" t="n">
        <v>350000</v>
      </c>
      <c r="H107" s="9" t="n">
        <v>500000</v>
      </c>
      <c r="I107" s="10" t="n">
        <f aca="false">IF(G107=0,"",IF(H107=0,"",(H107-G107)/H107))</f>
        <v>0.3</v>
      </c>
      <c r="J107" s="7"/>
      <c r="K107" s="6"/>
      <c r="L107" s="7"/>
      <c r="M107" s="6" t="s">
        <v>24</v>
      </c>
      <c r="N107" s="6" t="s">
        <v>25</v>
      </c>
    </row>
    <row r="108" customFormat="false" ht="15.75" hidden="false" customHeight="true" outlineLevel="0" collapsed="false">
      <c r="A108" s="11" t="s">
        <v>228</v>
      </c>
      <c r="B108" s="12" t="s">
        <v>229</v>
      </c>
      <c r="C108" s="12" t="s">
        <v>230</v>
      </c>
      <c r="D108" s="12" t="s">
        <v>232</v>
      </c>
      <c r="E108" s="12" t="s">
        <v>45</v>
      </c>
      <c r="F108" s="11" t="s">
        <v>46</v>
      </c>
      <c r="G108" s="13" t="n">
        <v>250000</v>
      </c>
      <c r="H108" s="14" t="n">
        <v>350000</v>
      </c>
      <c r="I108" s="15" t="n">
        <f aca="false">IF(G108=0,"",IF(H108=0,"",(H108-G108)/H108))</f>
        <v>0.285714285714286</v>
      </c>
      <c r="J108" s="12"/>
      <c r="K108" s="11"/>
      <c r="L108" s="12"/>
      <c r="M108" s="11" t="s">
        <v>24</v>
      </c>
      <c r="N108" s="11" t="s">
        <v>25</v>
      </c>
    </row>
    <row r="109" customFormat="false" ht="15.75" hidden="false" customHeight="true" outlineLevel="0" collapsed="false">
      <c r="A109" s="6" t="s">
        <v>228</v>
      </c>
      <c r="B109" s="7" t="s">
        <v>229</v>
      </c>
      <c r="C109" s="7" t="s">
        <v>230</v>
      </c>
      <c r="D109" s="7" t="s">
        <v>233</v>
      </c>
      <c r="E109" s="7" t="s">
        <v>152</v>
      </c>
      <c r="F109" s="6" t="s">
        <v>40</v>
      </c>
      <c r="G109" s="8" t="n">
        <v>100000</v>
      </c>
      <c r="H109" s="9" t="n">
        <v>150000</v>
      </c>
      <c r="I109" s="10" t="n">
        <f aca="false">IF(G109=0,"",IF(H109=0,"",(H109-G109)/H109))</f>
        <v>0.333333333333333</v>
      </c>
      <c r="J109" s="7"/>
      <c r="K109" s="6"/>
      <c r="L109" s="7"/>
      <c r="M109" s="6" t="s">
        <v>24</v>
      </c>
      <c r="N109" s="6" t="s">
        <v>25</v>
      </c>
    </row>
    <row r="110" customFormat="false" ht="15.75" hidden="false" customHeight="true" outlineLevel="0" collapsed="false">
      <c r="A110" s="11" t="s">
        <v>228</v>
      </c>
      <c r="B110" s="12" t="s">
        <v>229</v>
      </c>
      <c r="C110" s="12" t="s">
        <v>234</v>
      </c>
      <c r="D110" s="12" t="s">
        <v>235</v>
      </c>
      <c r="E110" s="12" t="s">
        <v>236</v>
      </c>
      <c r="F110" s="11" t="s">
        <v>237</v>
      </c>
      <c r="G110" s="13" t="n">
        <v>0</v>
      </c>
      <c r="H110" s="14" t="n">
        <v>0</v>
      </c>
      <c r="I110" s="15" t="str">
        <f aca="false">IF(G110=0,"",IF(H110=0,"",(H110-G110)/H110))</f>
        <v/>
      </c>
      <c r="J110" s="12"/>
      <c r="K110" s="11"/>
      <c r="L110" s="12" t="s">
        <v>238</v>
      </c>
      <c r="M110" s="11" t="s">
        <v>24</v>
      </c>
      <c r="N110" s="11" t="s">
        <v>25</v>
      </c>
    </row>
    <row r="112" customFormat="false" ht="15" hidden="false" customHeight="true" outlineLevel="0" collapsed="false">
      <c r="A112" s="16" t="s">
        <v>239</v>
      </c>
    </row>
    <row r="113" customFormat="false" ht="15" hidden="false" customHeight="true" outlineLevel="0" collapsed="false">
      <c r="A113" s="17" t="s">
        <v>240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</row>
  </sheetData>
  <autoFilter ref="A3:N110"/>
  <mergeCells count="12">
    <mergeCell ref="A1:N1"/>
    <mergeCell ref="A2:N2"/>
    <mergeCell ref="A4:N4"/>
    <mergeCell ref="A8:N8"/>
    <mergeCell ref="A13:N13"/>
    <mergeCell ref="A39:N39"/>
    <mergeCell ref="A46:N46"/>
    <mergeCell ref="A57:N57"/>
    <mergeCell ref="A82:N82"/>
    <mergeCell ref="A96:N96"/>
    <mergeCell ref="A106:N106"/>
    <mergeCell ref="A113:N1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4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20"/>
    <col collapsed="false" customWidth="true" hidden="false" outlineLevel="0" max="6" min="6" style="1" width="9"/>
    <col collapsed="false" customWidth="true" hidden="false" outlineLevel="0" max="8" min="7" style="1" width="7"/>
    <col collapsed="false" customWidth="true" hidden="false" outlineLevel="0" max="12" min="9" style="1" width="14"/>
    <col collapsed="false" customWidth="true" hidden="false" outlineLevel="0" max="13" min="13" style="1" width="10"/>
    <col collapsed="false" customWidth="true" hidden="false" outlineLevel="0" max="14" min="14" style="1" width="22"/>
    <col collapsed="false" customWidth="true" hidden="false" outlineLevel="0" max="15" min="15" style="1" width="14"/>
    <col collapsed="false" customWidth="true" hidden="false" outlineLevel="0" max="16" min="16" style="1" width="10"/>
  </cols>
  <sheetData>
    <row r="1" customFormat="false" ht="27.75" hidden="false" customHeight="true" outlineLevel="0" collapsed="false">
      <c r="A1" s="18" t="s">
        <v>241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true" outlineLevel="0" collapsed="false">
      <c r="B2" s="19" t="s">
        <v>242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customFormat="false" ht="21.75" hidden="false" customHeight="true" outlineLevel="0" collapsed="false">
      <c r="B3" s="20" t="s">
        <v>243</v>
      </c>
      <c r="C3" s="21"/>
      <c r="D3" s="21"/>
      <c r="E3" s="21"/>
      <c r="F3" s="21"/>
      <c r="G3" s="21"/>
      <c r="H3" s="21"/>
    </row>
    <row r="4" customFormat="false" ht="42.75" hidden="false" customHeight="true" outlineLevel="0" collapsed="false">
      <c r="B4" s="20" t="s">
        <v>244</v>
      </c>
      <c r="C4" s="21"/>
      <c r="D4" s="21"/>
      <c r="E4" s="21"/>
      <c r="F4" s="21"/>
      <c r="G4" s="21"/>
      <c r="H4" s="21"/>
    </row>
    <row r="5" customFormat="false" ht="32.25" hidden="false" customHeight="true" outlineLevel="0" collapsed="false">
      <c r="B5" s="20" t="s">
        <v>245</v>
      </c>
      <c r="C5" s="21"/>
      <c r="D5" s="21"/>
      <c r="E5" s="21"/>
      <c r="F5" s="21"/>
      <c r="G5" s="21"/>
      <c r="H5" s="21"/>
    </row>
    <row r="6" customFormat="false" ht="21.75" hidden="false" customHeight="true" outlineLevel="0" collapsed="false">
      <c r="B6" s="20" t="s">
        <v>246</v>
      </c>
      <c r="C6" s="21"/>
      <c r="D6" s="21"/>
      <c r="E6" s="21"/>
      <c r="F6" s="21"/>
      <c r="G6" s="21"/>
      <c r="H6" s="21"/>
    </row>
    <row r="7" customFormat="false" ht="21.75" hidden="false" customHeight="true" outlineLevel="0" collapsed="false">
      <c r="B7" s="20" t="s">
        <v>12</v>
      </c>
      <c r="C7" s="21"/>
      <c r="D7" s="21"/>
      <c r="E7" s="21"/>
      <c r="F7" s="21"/>
      <c r="G7" s="21"/>
      <c r="H7" s="21"/>
    </row>
    <row r="8" customFormat="false" ht="53.25" hidden="false" customHeight="true" outlineLevel="0" collapsed="false">
      <c r="B8" s="20" t="s">
        <v>247</v>
      </c>
      <c r="C8" s="21"/>
      <c r="D8" s="21"/>
      <c r="E8" s="21"/>
      <c r="F8" s="21"/>
      <c r="G8" s="21"/>
      <c r="H8" s="21"/>
    </row>
    <row r="9" customFormat="false" ht="53.25" hidden="false" customHeight="true" outlineLevel="0" collapsed="false">
      <c r="B9" s="20" t="s">
        <v>248</v>
      </c>
      <c r="C9" s="21"/>
      <c r="D9" s="21"/>
      <c r="E9" s="21"/>
      <c r="F9" s="21"/>
      <c r="G9" s="21"/>
      <c r="H9" s="21"/>
    </row>
    <row r="11" customFormat="false" ht="15" hidden="false" customHeight="true" outlineLevel="0" collapsed="false">
      <c r="B11" s="19" t="s">
        <v>249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customFormat="false" ht="31.5" hidden="false" customHeight="true" outlineLevel="0" collapsed="false">
      <c r="B12" s="22" t="s">
        <v>250</v>
      </c>
      <c r="C12" s="22" t="s">
        <v>3</v>
      </c>
      <c r="D12" s="22" t="s">
        <v>5</v>
      </c>
      <c r="E12" s="22" t="s">
        <v>6</v>
      </c>
      <c r="F12" s="22" t="s">
        <v>251</v>
      </c>
      <c r="G12" s="22" t="s">
        <v>252</v>
      </c>
      <c r="H12" s="22" t="s">
        <v>253</v>
      </c>
      <c r="I12" s="22" t="s">
        <v>254</v>
      </c>
      <c r="J12" s="22" t="s">
        <v>255</v>
      </c>
      <c r="K12" s="22" t="s">
        <v>256</v>
      </c>
      <c r="L12" s="22" t="s">
        <v>257</v>
      </c>
      <c r="M12" s="22" t="s">
        <v>10</v>
      </c>
      <c r="N12" s="22" t="s">
        <v>13</v>
      </c>
    </row>
    <row r="13" customFormat="false" ht="18" hidden="false" customHeight="true" outlineLevel="0" collapsed="false">
      <c r="B13" s="23" t="n">
        <v>1</v>
      </c>
      <c r="C13" s="24"/>
      <c r="D13" s="24"/>
      <c r="E13" s="24"/>
      <c r="F13" s="24"/>
      <c r="G13" s="25" t="n">
        <v>1</v>
      </c>
      <c r="H13" s="25" t="n">
        <v>1</v>
      </c>
      <c r="I13" s="26"/>
      <c r="J13" s="27" t="str">
        <f aca="false">IF(I13="","",$G13*$H13*I13)</f>
        <v/>
      </c>
      <c r="K13" s="26"/>
      <c r="L13" s="28" t="str">
        <f aca="false">IF(K13="","",$G13*$H13*K13)</f>
        <v/>
      </c>
      <c r="M13" s="29" t="str">
        <f aca="false">IF(OR(J13="",L13="",L13=0),"",(L13-J13)/L13)</f>
        <v/>
      </c>
      <c r="N13" s="24"/>
    </row>
    <row r="14" customFormat="false" ht="18" hidden="false" customHeight="true" outlineLevel="0" collapsed="false">
      <c r="B14" s="30" t="n">
        <v>2</v>
      </c>
      <c r="C14" s="31"/>
      <c r="D14" s="31"/>
      <c r="E14" s="31"/>
      <c r="F14" s="31"/>
      <c r="G14" s="32" t="n">
        <v>1</v>
      </c>
      <c r="H14" s="32" t="n">
        <v>1</v>
      </c>
      <c r="I14" s="33"/>
      <c r="J14" s="34" t="str">
        <f aca="false">IF(I14="","",$G14*$H14*I14)</f>
        <v/>
      </c>
      <c r="K14" s="33"/>
      <c r="L14" s="35" t="str">
        <f aca="false">IF(K14="","",$G14*$H14*K14)</f>
        <v/>
      </c>
      <c r="M14" s="36" t="str">
        <f aca="false">IF(OR(J14="",L14="",L14=0),"",(L14-J14)/L14)</f>
        <v/>
      </c>
      <c r="N14" s="31"/>
    </row>
    <row r="15" customFormat="false" ht="18" hidden="false" customHeight="true" outlineLevel="0" collapsed="false">
      <c r="B15" s="23" t="n">
        <v>3</v>
      </c>
      <c r="C15" s="24"/>
      <c r="D15" s="24"/>
      <c r="E15" s="24"/>
      <c r="F15" s="24"/>
      <c r="G15" s="25" t="n">
        <v>1</v>
      </c>
      <c r="H15" s="25" t="n">
        <v>1</v>
      </c>
      <c r="I15" s="26"/>
      <c r="J15" s="27" t="str">
        <f aca="false">IF(I15="","",$G15*$H15*I15)</f>
        <v/>
      </c>
      <c r="K15" s="26"/>
      <c r="L15" s="28" t="str">
        <f aca="false">IF(K15="","",$G15*$H15*K15)</f>
        <v/>
      </c>
      <c r="M15" s="29" t="str">
        <f aca="false">IF(OR(J15="",L15="",L15=0),"",(L15-J15)/L15)</f>
        <v/>
      </c>
      <c r="N15" s="24"/>
    </row>
    <row r="16" customFormat="false" ht="18" hidden="false" customHeight="true" outlineLevel="0" collapsed="false">
      <c r="B16" s="30" t="n">
        <v>4</v>
      </c>
      <c r="C16" s="31"/>
      <c r="D16" s="31"/>
      <c r="E16" s="31"/>
      <c r="F16" s="31"/>
      <c r="G16" s="32" t="n">
        <v>1</v>
      </c>
      <c r="H16" s="32" t="n">
        <v>1</v>
      </c>
      <c r="I16" s="33"/>
      <c r="J16" s="34" t="str">
        <f aca="false">IF(I16="","",$G16*$H16*I16)</f>
        <v/>
      </c>
      <c r="K16" s="33"/>
      <c r="L16" s="35" t="str">
        <f aca="false">IF(K16="","",$G16*$H16*K16)</f>
        <v/>
      </c>
      <c r="M16" s="36" t="str">
        <f aca="false">IF(OR(J16="",L16="",L16=0),"",(L16-J16)/L16)</f>
        <v/>
      </c>
      <c r="N16" s="31"/>
    </row>
    <row r="17" customFormat="false" ht="18" hidden="false" customHeight="true" outlineLevel="0" collapsed="false">
      <c r="B17" s="23" t="n">
        <v>5</v>
      </c>
      <c r="C17" s="24"/>
      <c r="D17" s="24"/>
      <c r="E17" s="24"/>
      <c r="F17" s="24"/>
      <c r="G17" s="25" t="n">
        <v>1</v>
      </c>
      <c r="H17" s="25" t="n">
        <v>1</v>
      </c>
      <c r="I17" s="26"/>
      <c r="J17" s="27" t="str">
        <f aca="false">IF(I17="","",$G17*$H17*I17)</f>
        <v/>
      </c>
      <c r="K17" s="26"/>
      <c r="L17" s="28" t="str">
        <f aca="false">IF(K17="","",$G17*$H17*K17)</f>
        <v/>
      </c>
      <c r="M17" s="29" t="str">
        <f aca="false">IF(OR(J17="",L17="",L17=0),"",(L17-J17)/L17)</f>
        <v/>
      </c>
      <c r="N17" s="24"/>
    </row>
    <row r="18" customFormat="false" ht="18" hidden="false" customHeight="true" outlineLevel="0" collapsed="false">
      <c r="B18" s="30" t="n">
        <v>6</v>
      </c>
      <c r="C18" s="31"/>
      <c r="D18" s="31"/>
      <c r="E18" s="31"/>
      <c r="F18" s="31"/>
      <c r="G18" s="32" t="n">
        <v>1</v>
      </c>
      <c r="H18" s="32" t="n">
        <v>1</v>
      </c>
      <c r="I18" s="33"/>
      <c r="J18" s="34" t="str">
        <f aca="false">IF(I18="","",$G18*$H18*I18)</f>
        <v/>
      </c>
      <c r="K18" s="33"/>
      <c r="L18" s="35" t="str">
        <f aca="false">IF(K18="","",$G18*$H18*K18)</f>
        <v/>
      </c>
      <c r="M18" s="36" t="str">
        <f aca="false">IF(OR(J18="",L18="",L18=0),"",(L18-J18)/L18)</f>
        <v/>
      </c>
      <c r="N18" s="31"/>
    </row>
    <row r="19" customFormat="false" ht="18" hidden="false" customHeight="true" outlineLevel="0" collapsed="false">
      <c r="B19" s="23" t="n">
        <v>7</v>
      </c>
      <c r="C19" s="24"/>
      <c r="D19" s="24"/>
      <c r="E19" s="24"/>
      <c r="F19" s="24"/>
      <c r="G19" s="25" t="n">
        <v>1</v>
      </c>
      <c r="H19" s="25" t="n">
        <v>1</v>
      </c>
      <c r="I19" s="26"/>
      <c r="J19" s="27" t="str">
        <f aca="false">IF(I19="","",$G19*$H19*I19)</f>
        <v/>
      </c>
      <c r="K19" s="26"/>
      <c r="L19" s="28" t="str">
        <f aca="false">IF(K19="","",$G19*$H19*K19)</f>
        <v/>
      </c>
      <c r="M19" s="29" t="str">
        <f aca="false">IF(OR(J19="",L19="",L19=0),"",(L19-J19)/L19)</f>
        <v/>
      </c>
      <c r="N19" s="24"/>
    </row>
    <row r="20" customFormat="false" ht="18" hidden="false" customHeight="true" outlineLevel="0" collapsed="false">
      <c r="B20" s="30" t="n">
        <v>8</v>
      </c>
      <c r="C20" s="31"/>
      <c r="D20" s="31"/>
      <c r="E20" s="31"/>
      <c r="F20" s="31"/>
      <c r="G20" s="32" t="n">
        <v>1</v>
      </c>
      <c r="H20" s="32" t="n">
        <v>1</v>
      </c>
      <c r="I20" s="33"/>
      <c r="J20" s="34" t="str">
        <f aca="false">IF(I20="","",$G20*$H20*I20)</f>
        <v/>
      </c>
      <c r="K20" s="33"/>
      <c r="L20" s="35" t="str">
        <f aca="false">IF(K20="","",$G20*$H20*K20)</f>
        <v/>
      </c>
      <c r="M20" s="36" t="str">
        <f aca="false">IF(OR(J20="",L20="",L20=0),"",(L20-J20)/L20)</f>
        <v/>
      </c>
      <c r="N20" s="31"/>
    </row>
    <row r="21" customFormat="false" ht="18" hidden="false" customHeight="true" outlineLevel="0" collapsed="false">
      <c r="B21" s="23" t="n">
        <v>9</v>
      </c>
      <c r="C21" s="24"/>
      <c r="D21" s="24"/>
      <c r="E21" s="24"/>
      <c r="F21" s="24"/>
      <c r="G21" s="25" t="n">
        <v>1</v>
      </c>
      <c r="H21" s="25" t="n">
        <v>1</v>
      </c>
      <c r="I21" s="26"/>
      <c r="J21" s="27" t="str">
        <f aca="false">IF(I21="","",$G21*$H21*I21)</f>
        <v/>
      </c>
      <c r="K21" s="26"/>
      <c r="L21" s="28" t="str">
        <f aca="false">IF(K21="","",$G21*$H21*K21)</f>
        <v/>
      </c>
      <c r="M21" s="29" t="str">
        <f aca="false">IF(OR(J21="",L21="",L21=0),"",(L21-J21)/L21)</f>
        <v/>
      </c>
      <c r="N21" s="24"/>
    </row>
    <row r="22" customFormat="false" ht="18" hidden="false" customHeight="true" outlineLevel="0" collapsed="false">
      <c r="B22" s="30" t="n">
        <v>10</v>
      </c>
      <c r="C22" s="31"/>
      <c r="D22" s="31"/>
      <c r="E22" s="31"/>
      <c r="F22" s="31"/>
      <c r="G22" s="32" t="n">
        <v>1</v>
      </c>
      <c r="H22" s="32" t="n">
        <v>1</v>
      </c>
      <c r="I22" s="33"/>
      <c r="J22" s="34" t="str">
        <f aca="false">IF(I22="","",$G22*$H22*I22)</f>
        <v/>
      </c>
      <c r="K22" s="33"/>
      <c r="L22" s="35" t="str">
        <f aca="false">IF(K22="","",$G22*$H22*K22)</f>
        <v/>
      </c>
      <c r="M22" s="36" t="str">
        <f aca="false">IF(OR(J22="",L22="",L22=0),"",(L22-J22)/L22)</f>
        <v/>
      </c>
      <c r="N22" s="31"/>
    </row>
    <row r="23" customFormat="false" ht="18" hidden="false" customHeight="true" outlineLevel="0" collapsed="false">
      <c r="B23" s="23" t="n">
        <v>11</v>
      </c>
      <c r="C23" s="24"/>
      <c r="D23" s="24"/>
      <c r="E23" s="24"/>
      <c r="F23" s="24"/>
      <c r="G23" s="25" t="n">
        <v>1</v>
      </c>
      <c r="H23" s="25" t="n">
        <v>1</v>
      </c>
      <c r="I23" s="26"/>
      <c r="J23" s="27" t="str">
        <f aca="false">IF(I23="","",$G23*$H23*I23)</f>
        <v/>
      </c>
      <c r="K23" s="26"/>
      <c r="L23" s="28" t="str">
        <f aca="false">IF(K23="","",$G23*$H23*K23)</f>
        <v/>
      </c>
      <c r="M23" s="29" t="str">
        <f aca="false">IF(OR(J23="",L23="",L23=0),"",(L23-J23)/L23)</f>
        <v/>
      </c>
      <c r="N23" s="24"/>
    </row>
    <row r="24" customFormat="false" ht="18" hidden="false" customHeight="true" outlineLevel="0" collapsed="false">
      <c r="B24" s="30" t="n">
        <v>12</v>
      </c>
      <c r="C24" s="31"/>
      <c r="D24" s="31"/>
      <c r="E24" s="31"/>
      <c r="F24" s="31"/>
      <c r="G24" s="32" t="n">
        <v>1</v>
      </c>
      <c r="H24" s="32" t="n">
        <v>1</v>
      </c>
      <c r="I24" s="33"/>
      <c r="J24" s="34" t="str">
        <f aca="false">IF(I24="","",$G24*$H24*I24)</f>
        <v/>
      </c>
      <c r="K24" s="33"/>
      <c r="L24" s="35" t="str">
        <f aca="false">IF(K24="","",$G24*$H24*K24)</f>
        <v/>
      </c>
      <c r="M24" s="36" t="str">
        <f aca="false">IF(OR(J24="",L24="",L24=0),"",(L24-J24)/L24)</f>
        <v/>
      </c>
      <c r="N24" s="31"/>
    </row>
    <row r="25" customFormat="false" ht="18" hidden="false" customHeight="true" outlineLevel="0" collapsed="false">
      <c r="B25" s="23" t="n">
        <v>13</v>
      </c>
      <c r="C25" s="24"/>
      <c r="D25" s="24"/>
      <c r="E25" s="24"/>
      <c r="F25" s="24"/>
      <c r="G25" s="25" t="n">
        <v>1</v>
      </c>
      <c r="H25" s="25" t="n">
        <v>1</v>
      </c>
      <c r="I25" s="26"/>
      <c r="J25" s="27" t="str">
        <f aca="false">IF(I25="","",$G25*$H25*I25)</f>
        <v/>
      </c>
      <c r="K25" s="26"/>
      <c r="L25" s="28" t="str">
        <f aca="false">IF(K25="","",$G25*$H25*K25)</f>
        <v/>
      </c>
      <c r="M25" s="29" t="str">
        <f aca="false">IF(OR(J25="",L25="",L25=0),"",(L25-J25)/L25)</f>
        <v/>
      </c>
      <c r="N25" s="24"/>
    </row>
    <row r="26" customFormat="false" ht="18" hidden="false" customHeight="true" outlineLevel="0" collapsed="false">
      <c r="B26" s="30" t="n">
        <v>14</v>
      </c>
      <c r="C26" s="31"/>
      <c r="D26" s="31"/>
      <c r="E26" s="31"/>
      <c r="F26" s="31"/>
      <c r="G26" s="32" t="n">
        <v>1</v>
      </c>
      <c r="H26" s="32" t="n">
        <v>1</v>
      </c>
      <c r="I26" s="33"/>
      <c r="J26" s="34" t="str">
        <f aca="false">IF(I26="","",$G26*$H26*I26)</f>
        <v/>
      </c>
      <c r="K26" s="33"/>
      <c r="L26" s="35" t="str">
        <f aca="false">IF(K26="","",$G26*$H26*K26)</f>
        <v/>
      </c>
      <c r="M26" s="36" t="str">
        <f aca="false">IF(OR(J26="",L26="",L26=0),"",(L26-J26)/L26)</f>
        <v/>
      </c>
      <c r="N26" s="31"/>
    </row>
    <row r="27" customFormat="false" ht="18" hidden="false" customHeight="true" outlineLevel="0" collapsed="false">
      <c r="B27" s="23" t="n">
        <v>15</v>
      </c>
      <c r="C27" s="24"/>
      <c r="D27" s="24"/>
      <c r="E27" s="24"/>
      <c r="F27" s="24"/>
      <c r="G27" s="25" t="n">
        <v>1</v>
      </c>
      <c r="H27" s="25" t="n">
        <v>1</v>
      </c>
      <c r="I27" s="26"/>
      <c r="J27" s="27" t="str">
        <f aca="false">IF(I27="","",$G27*$H27*I27)</f>
        <v/>
      </c>
      <c r="K27" s="26"/>
      <c r="L27" s="28" t="str">
        <f aca="false">IF(K27="","",$G27*$H27*K27)</f>
        <v/>
      </c>
      <c r="M27" s="29" t="str">
        <f aca="false">IF(OR(J27="",L27="",L27=0),"",(L27-J27)/L27)</f>
        <v/>
      </c>
      <c r="N27" s="24"/>
    </row>
    <row r="28" customFormat="false" ht="18" hidden="false" customHeight="true" outlineLevel="0" collapsed="false">
      <c r="B28" s="30" t="n">
        <v>16</v>
      </c>
      <c r="C28" s="31"/>
      <c r="D28" s="31"/>
      <c r="E28" s="31"/>
      <c r="F28" s="31"/>
      <c r="G28" s="32" t="n">
        <v>1</v>
      </c>
      <c r="H28" s="32" t="n">
        <v>1</v>
      </c>
      <c r="I28" s="33"/>
      <c r="J28" s="34" t="str">
        <f aca="false">IF(I28="","",$G28*$H28*I28)</f>
        <v/>
      </c>
      <c r="K28" s="33"/>
      <c r="L28" s="35" t="str">
        <f aca="false">IF(K28="","",$G28*$H28*K28)</f>
        <v/>
      </c>
      <c r="M28" s="36" t="str">
        <f aca="false">IF(OR(J28="",L28="",L28=0),"",(L28-J28)/L28)</f>
        <v/>
      </c>
      <c r="N28" s="31"/>
    </row>
    <row r="29" customFormat="false" ht="18" hidden="false" customHeight="true" outlineLevel="0" collapsed="false">
      <c r="B29" s="23" t="n">
        <v>17</v>
      </c>
      <c r="C29" s="24"/>
      <c r="D29" s="24"/>
      <c r="E29" s="24"/>
      <c r="F29" s="24"/>
      <c r="G29" s="25" t="n">
        <v>1</v>
      </c>
      <c r="H29" s="25" t="n">
        <v>1</v>
      </c>
      <c r="I29" s="26"/>
      <c r="J29" s="27" t="str">
        <f aca="false">IF(I29="","",$G29*$H29*I29)</f>
        <v/>
      </c>
      <c r="K29" s="26"/>
      <c r="L29" s="28" t="str">
        <f aca="false">IF(K29="","",$G29*$H29*K29)</f>
        <v/>
      </c>
      <c r="M29" s="29" t="str">
        <f aca="false">IF(OR(J29="",L29="",L29=0),"",(L29-J29)/L29)</f>
        <v/>
      </c>
      <c r="N29" s="24"/>
    </row>
    <row r="30" customFormat="false" ht="18" hidden="false" customHeight="true" outlineLevel="0" collapsed="false">
      <c r="B30" s="30" t="n">
        <v>18</v>
      </c>
      <c r="C30" s="31"/>
      <c r="D30" s="31"/>
      <c r="E30" s="31"/>
      <c r="F30" s="31"/>
      <c r="G30" s="32" t="n">
        <v>1</v>
      </c>
      <c r="H30" s="32" t="n">
        <v>1</v>
      </c>
      <c r="I30" s="33"/>
      <c r="J30" s="34" t="str">
        <f aca="false">IF(I30="","",$G30*$H30*I30)</f>
        <v/>
      </c>
      <c r="K30" s="33"/>
      <c r="L30" s="35" t="str">
        <f aca="false">IF(K30="","",$G30*$H30*K30)</f>
        <v/>
      </c>
      <c r="M30" s="36" t="str">
        <f aca="false">IF(OR(J30="",L30="",L30=0),"",(L30-J30)/L30)</f>
        <v/>
      </c>
      <c r="N30" s="31"/>
    </row>
    <row r="31" customFormat="false" ht="18" hidden="false" customHeight="true" outlineLevel="0" collapsed="false">
      <c r="B31" s="23" t="n">
        <v>19</v>
      </c>
      <c r="C31" s="24"/>
      <c r="D31" s="24"/>
      <c r="E31" s="24"/>
      <c r="F31" s="24"/>
      <c r="G31" s="25" t="n">
        <v>1</v>
      </c>
      <c r="H31" s="25" t="n">
        <v>1</v>
      </c>
      <c r="I31" s="26"/>
      <c r="J31" s="27" t="str">
        <f aca="false">IF(I31="","",$G31*$H31*I31)</f>
        <v/>
      </c>
      <c r="K31" s="26"/>
      <c r="L31" s="28" t="str">
        <f aca="false">IF(K31="","",$G31*$H31*K31)</f>
        <v/>
      </c>
      <c r="M31" s="29" t="str">
        <f aca="false">IF(OR(J31="",L31="",L31=0),"",(L31-J31)/L31)</f>
        <v/>
      </c>
      <c r="N31" s="24"/>
    </row>
    <row r="32" customFormat="false" ht="18" hidden="false" customHeight="true" outlineLevel="0" collapsed="false">
      <c r="B32" s="30" t="n">
        <v>20</v>
      </c>
      <c r="C32" s="31"/>
      <c r="D32" s="31"/>
      <c r="E32" s="31"/>
      <c r="F32" s="31"/>
      <c r="G32" s="32" t="n">
        <v>1</v>
      </c>
      <c r="H32" s="32" t="n">
        <v>1</v>
      </c>
      <c r="I32" s="33"/>
      <c r="J32" s="34" t="str">
        <f aca="false">IF(I32="","",$G32*$H32*I32)</f>
        <v/>
      </c>
      <c r="K32" s="33"/>
      <c r="L32" s="35" t="str">
        <f aca="false">IF(K32="","",$G32*$H32*K32)</f>
        <v/>
      </c>
      <c r="M32" s="36" t="str">
        <f aca="false">IF(OR(J32="",L32="",L32=0),"",(L32-J32)/L32)</f>
        <v/>
      </c>
      <c r="N32" s="31"/>
    </row>
    <row r="33" customFormat="false" ht="18" hidden="false" customHeight="true" outlineLevel="0" collapsed="false">
      <c r="B33" s="23" t="n">
        <v>21</v>
      </c>
      <c r="C33" s="24"/>
      <c r="D33" s="24"/>
      <c r="E33" s="24"/>
      <c r="F33" s="24"/>
      <c r="G33" s="25" t="n">
        <v>1</v>
      </c>
      <c r="H33" s="25" t="n">
        <v>1</v>
      </c>
      <c r="I33" s="26"/>
      <c r="J33" s="27" t="str">
        <f aca="false">IF(I33="","",$G33*$H33*I33)</f>
        <v/>
      </c>
      <c r="K33" s="26"/>
      <c r="L33" s="28" t="str">
        <f aca="false">IF(K33="","",$G33*$H33*K33)</f>
        <v/>
      </c>
      <c r="M33" s="29" t="str">
        <f aca="false">IF(OR(J33="",L33="",L33=0),"",(L33-J33)/L33)</f>
        <v/>
      </c>
      <c r="N33" s="24"/>
    </row>
    <row r="34" customFormat="false" ht="18" hidden="false" customHeight="true" outlineLevel="0" collapsed="false">
      <c r="B34" s="30" t="n">
        <v>22</v>
      </c>
      <c r="C34" s="31"/>
      <c r="D34" s="31"/>
      <c r="E34" s="31"/>
      <c r="F34" s="31"/>
      <c r="G34" s="32" t="n">
        <v>1</v>
      </c>
      <c r="H34" s="32" t="n">
        <v>1</v>
      </c>
      <c r="I34" s="33"/>
      <c r="J34" s="34" t="str">
        <f aca="false">IF(I34="","",$G34*$H34*I34)</f>
        <v/>
      </c>
      <c r="K34" s="33"/>
      <c r="L34" s="35" t="str">
        <f aca="false">IF(K34="","",$G34*$H34*K34)</f>
        <v/>
      </c>
      <c r="M34" s="36" t="str">
        <f aca="false">IF(OR(J34="",L34="",L34=0),"",(L34-J34)/L34)</f>
        <v/>
      </c>
      <c r="N34" s="31"/>
    </row>
    <row r="35" customFormat="false" ht="18" hidden="false" customHeight="true" outlineLevel="0" collapsed="false">
      <c r="B35" s="23" t="n">
        <v>23</v>
      </c>
      <c r="C35" s="24"/>
      <c r="D35" s="24"/>
      <c r="E35" s="24"/>
      <c r="F35" s="24"/>
      <c r="G35" s="25" t="n">
        <v>1</v>
      </c>
      <c r="H35" s="25" t="n">
        <v>1</v>
      </c>
      <c r="I35" s="26"/>
      <c r="J35" s="27" t="str">
        <f aca="false">IF(I35="","",$G35*$H35*I35)</f>
        <v/>
      </c>
      <c r="K35" s="26"/>
      <c r="L35" s="28" t="str">
        <f aca="false">IF(K35="","",$G35*$H35*K35)</f>
        <v/>
      </c>
      <c r="M35" s="29" t="str">
        <f aca="false">IF(OR(J35="",L35="",L35=0),"",(L35-J35)/L35)</f>
        <v/>
      </c>
      <c r="N35" s="24"/>
    </row>
    <row r="36" customFormat="false" ht="18" hidden="false" customHeight="true" outlineLevel="0" collapsed="false">
      <c r="B36" s="30" t="n">
        <v>24</v>
      </c>
      <c r="C36" s="31"/>
      <c r="D36" s="31"/>
      <c r="E36" s="31"/>
      <c r="F36" s="31"/>
      <c r="G36" s="32" t="n">
        <v>1</v>
      </c>
      <c r="H36" s="32" t="n">
        <v>1</v>
      </c>
      <c r="I36" s="33"/>
      <c r="J36" s="34" t="str">
        <f aca="false">IF(I36="","",$G36*$H36*I36)</f>
        <v/>
      </c>
      <c r="K36" s="33"/>
      <c r="L36" s="35" t="str">
        <f aca="false">IF(K36="","",$G36*$H36*K36)</f>
        <v/>
      </c>
      <c r="M36" s="36" t="str">
        <f aca="false">IF(OR(J36="",L36="",L36=0),"",(L36-J36)/L36)</f>
        <v/>
      </c>
      <c r="N36" s="31"/>
    </row>
    <row r="37" customFormat="false" ht="18" hidden="false" customHeight="true" outlineLevel="0" collapsed="false">
      <c r="B37" s="23" t="n">
        <v>25</v>
      </c>
      <c r="C37" s="24"/>
      <c r="D37" s="24"/>
      <c r="E37" s="24"/>
      <c r="F37" s="24"/>
      <c r="G37" s="25" t="n">
        <v>1</v>
      </c>
      <c r="H37" s="25" t="n">
        <v>1</v>
      </c>
      <c r="I37" s="26"/>
      <c r="J37" s="27" t="str">
        <f aca="false">IF(I37="","",$G37*$H37*I37)</f>
        <v/>
      </c>
      <c r="K37" s="26"/>
      <c r="L37" s="28" t="str">
        <f aca="false">IF(K37="","",$G37*$H37*K37)</f>
        <v/>
      </c>
      <c r="M37" s="29" t="str">
        <f aca="false">IF(OR(J37="",L37="",L37=0),"",(L37-J37)/L37)</f>
        <v/>
      </c>
      <c r="N37" s="24"/>
    </row>
    <row r="38" customFormat="false" ht="18" hidden="false" customHeight="true" outlineLevel="0" collapsed="false">
      <c r="B38" s="30" t="n">
        <v>26</v>
      </c>
      <c r="C38" s="31"/>
      <c r="D38" s="31"/>
      <c r="E38" s="31"/>
      <c r="F38" s="31"/>
      <c r="G38" s="32" t="n">
        <v>1</v>
      </c>
      <c r="H38" s="32" t="n">
        <v>1</v>
      </c>
      <c r="I38" s="33"/>
      <c r="J38" s="34" t="str">
        <f aca="false">IF(I38="","",$G38*$H38*I38)</f>
        <v/>
      </c>
      <c r="K38" s="33"/>
      <c r="L38" s="35" t="str">
        <f aca="false">IF(K38="","",$G38*$H38*K38)</f>
        <v/>
      </c>
      <c r="M38" s="36" t="str">
        <f aca="false">IF(OR(J38="",L38="",L38=0),"",(L38-J38)/L38)</f>
        <v/>
      </c>
      <c r="N38" s="31"/>
    </row>
    <row r="39" customFormat="false" ht="18" hidden="false" customHeight="true" outlineLevel="0" collapsed="false">
      <c r="B39" s="23" t="n">
        <v>27</v>
      </c>
      <c r="C39" s="24"/>
      <c r="D39" s="24"/>
      <c r="E39" s="24"/>
      <c r="F39" s="24"/>
      <c r="G39" s="25" t="n">
        <v>1</v>
      </c>
      <c r="H39" s="25" t="n">
        <v>1</v>
      </c>
      <c r="I39" s="26"/>
      <c r="J39" s="27" t="str">
        <f aca="false">IF(I39="","",$G39*$H39*I39)</f>
        <v/>
      </c>
      <c r="K39" s="26"/>
      <c r="L39" s="28" t="str">
        <f aca="false">IF(K39="","",$G39*$H39*K39)</f>
        <v/>
      </c>
      <c r="M39" s="29" t="str">
        <f aca="false">IF(OR(J39="",L39="",L39=0),"",(L39-J39)/L39)</f>
        <v/>
      </c>
      <c r="N39" s="24"/>
    </row>
    <row r="40" customFormat="false" ht="18" hidden="false" customHeight="true" outlineLevel="0" collapsed="false">
      <c r="B40" s="30" t="n">
        <v>28</v>
      </c>
      <c r="C40" s="31"/>
      <c r="D40" s="31"/>
      <c r="E40" s="31"/>
      <c r="F40" s="31"/>
      <c r="G40" s="32" t="n">
        <v>1</v>
      </c>
      <c r="H40" s="32" t="n">
        <v>1</v>
      </c>
      <c r="I40" s="33"/>
      <c r="J40" s="34" t="str">
        <f aca="false">IF(I40="","",$G40*$H40*I40)</f>
        <v/>
      </c>
      <c r="K40" s="33"/>
      <c r="L40" s="35" t="str">
        <f aca="false">IF(K40="","",$G40*$H40*K40)</f>
        <v/>
      </c>
      <c r="M40" s="36" t="str">
        <f aca="false">IF(OR(J40="",L40="",L40=0),"",(L40-J40)/L40)</f>
        <v/>
      </c>
      <c r="N40" s="31"/>
    </row>
    <row r="41" customFormat="false" ht="18" hidden="false" customHeight="true" outlineLevel="0" collapsed="false">
      <c r="B41" s="23" t="n">
        <v>29</v>
      </c>
      <c r="C41" s="24"/>
      <c r="D41" s="24"/>
      <c r="E41" s="24"/>
      <c r="F41" s="24"/>
      <c r="G41" s="25" t="n">
        <v>1</v>
      </c>
      <c r="H41" s="25" t="n">
        <v>1</v>
      </c>
      <c r="I41" s="26"/>
      <c r="J41" s="27" t="str">
        <f aca="false">IF(I41="","",$G41*$H41*I41)</f>
        <v/>
      </c>
      <c r="K41" s="26"/>
      <c r="L41" s="28" t="str">
        <f aca="false">IF(K41="","",$G41*$H41*K41)</f>
        <v/>
      </c>
      <c r="M41" s="29" t="str">
        <f aca="false">IF(OR(J41="",L41="",L41=0),"",(L41-J41)/L41)</f>
        <v/>
      </c>
      <c r="N41" s="24"/>
    </row>
    <row r="42" customFormat="false" ht="18" hidden="false" customHeight="true" outlineLevel="0" collapsed="false">
      <c r="B42" s="30" t="n">
        <v>30</v>
      </c>
      <c r="C42" s="31"/>
      <c r="D42" s="31"/>
      <c r="E42" s="31"/>
      <c r="F42" s="31"/>
      <c r="G42" s="32" t="n">
        <v>1</v>
      </c>
      <c r="H42" s="32" t="n">
        <v>1</v>
      </c>
      <c r="I42" s="33"/>
      <c r="J42" s="34" t="str">
        <f aca="false">IF(I42="","",$G42*$H42*I42)</f>
        <v/>
      </c>
      <c r="K42" s="33"/>
      <c r="L42" s="35" t="str">
        <f aca="false">IF(K42="","",$G42*$H42*K42)</f>
        <v/>
      </c>
      <c r="M42" s="36" t="str">
        <f aca="false">IF(OR(J42="",L42="",L42=0),"",(L42-J42)/L42)</f>
        <v/>
      </c>
      <c r="N42" s="31"/>
    </row>
    <row r="43" customFormat="false" ht="18" hidden="false" customHeight="true" outlineLevel="0" collapsed="false">
      <c r="B43" s="23" t="n">
        <v>31</v>
      </c>
      <c r="C43" s="24"/>
      <c r="D43" s="24"/>
      <c r="E43" s="24"/>
      <c r="F43" s="24"/>
      <c r="G43" s="25" t="n">
        <v>1</v>
      </c>
      <c r="H43" s="25" t="n">
        <v>1</v>
      </c>
      <c r="I43" s="26"/>
      <c r="J43" s="27" t="str">
        <f aca="false">IF(I43="","",$G43*$H43*I43)</f>
        <v/>
      </c>
      <c r="K43" s="26"/>
      <c r="L43" s="28" t="str">
        <f aca="false">IF(K43="","",$G43*$H43*K43)</f>
        <v/>
      </c>
      <c r="M43" s="29" t="str">
        <f aca="false">IF(OR(J43="",L43="",L43=0),"",(L43-J43)/L43)</f>
        <v/>
      </c>
      <c r="N43" s="24"/>
    </row>
    <row r="44" customFormat="false" ht="18" hidden="false" customHeight="true" outlineLevel="0" collapsed="false">
      <c r="B44" s="30" t="n">
        <v>32</v>
      </c>
      <c r="C44" s="31"/>
      <c r="D44" s="31"/>
      <c r="E44" s="31"/>
      <c r="F44" s="31"/>
      <c r="G44" s="32" t="n">
        <v>1</v>
      </c>
      <c r="H44" s="32" t="n">
        <v>1</v>
      </c>
      <c r="I44" s="33"/>
      <c r="J44" s="34" t="str">
        <f aca="false">IF(I44="","",$G44*$H44*I44)</f>
        <v/>
      </c>
      <c r="K44" s="33"/>
      <c r="L44" s="35" t="str">
        <f aca="false">IF(K44="","",$G44*$H44*K44)</f>
        <v/>
      </c>
      <c r="M44" s="36" t="str">
        <f aca="false">IF(OR(J44="",L44="",L44=0),"",(L44-J44)/L44)</f>
        <v/>
      </c>
      <c r="N44" s="31"/>
    </row>
    <row r="45" customFormat="false" ht="18" hidden="false" customHeight="true" outlineLevel="0" collapsed="false">
      <c r="B45" s="23" t="n">
        <v>33</v>
      </c>
      <c r="C45" s="24"/>
      <c r="D45" s="24"/>
      <c r="E45" s="24"/>
      <c r="F45" s="24"/>
      <c r="G45" s="25" t="n">
        <v>1</v>
      </c>
      <c r="H45" s="25" t="n">
        <v>1</v>
      </c>
      <c r="I45" s="26"/>
      <c r="J45" s="27" t="str">
        <f aca="false">IF(I45="","",$G45*$H45*I45)</f>
        <v/>
      </c>
      <c r="K45" s="26"/>
      <c r="L45" s="28" t="str">
        <f aca="false">IF(K45="","",$G45*$H45*K45)</f>
        <v/>
      </c>
      <c r="M45" s="29" t="str">
        <f aca="false">IF(OR(J45="",L45="",L45=0),"",(L45-J45)/L45)</f>
        <v/>
      </c>
      <c r="N45" s="24"/>
    </row>
    <row r="46" customFormat="false" ht="18" hidden="false" customHeight="true" outlineLevel="0" collapsed="false">
      <c r="B46" s="30" t="n">
        <v>34</v>
      </c>
      <c r="C46" s="31"/>
      <c r="D46" s="31"/>
      <c r="E46" s="31"/>
      <c r="F46" s="31"/>
      <c r="G46" s="32" t="n">
        <v>1</v>
      </c>
      <c r="H46" s="32" t="n">
        <v>1</v>
      </c>
      <c r="I46" s="33"/>
      <c r="J46" s="34" t="str">
        <f aca="false">IF(I46="","",$G46*$H46*I46)</f>
        <v/>
      </c>
      <c r="K46" s="33"/>
      <c r="L46" s="35" t="str">
        <f aca="false">IF(K46="","",$G46*$H46*K46)</f>
        <v/>
      </c>
      <c r="M46" s="36" t="str">
        <f aca="false">IF(OR(J46="",L46="",L46=0),"",(L46-J46)/L46)</f>
        <v/>
      </c>
      <c r="N46" s="31"/>
    </row>
    <row r="47" customFormat="false" ht="18" hidden="false" customHeight="true" outlineLevel="0" collapsed="false">
      <c r="B47" s="23" t="n">
        <v>35</v>
      </c>
      <c r="C47" s="24"/>
      <c r="D47" s="24"/>
      <c r="E47" s="24"/>
      <c r="F47" s="24"/>
      <c r="G47" s="25" t="n">
        <v>1</v>
      </c>
      <c r="H47" s="25" t="n">
        <v>1</v>
      </c>
      <c r="I47" s="26"/>
      <c r="J47" s="27" t="str">
        <f aca="false">IF(I47="","",$G47*$H47*I47)</f>
        <v/>
      </c>
      <c r="K47" s="26"/>
      <c r="L47" s="28" t="str">
        <f aca="false">IF(K47="","",$G47*$H47*K47)</f>
        <v/>
      </c>
      <c r="M47" s="29" t="str">
        <f aca="false">IF(OR(J47="",L47="",L47=0),"",(L47-J47)/L47)</f>
        <v/>
      </c>
      <c r="N47" s="24"/>
    </row>
    <row r="49" customFormat="false" ht="18" hidden="false" customHeight="true" outlineLevel="0" collapsed="false">
      <c r="H49" s="37" t="s">
        <v>258</v>
      </c>
      <c r="I49" s="38" t="n">
        <f aca="false">SUMIF(J13:J47,"&lt;&gt;",J13:J47)</f>
        <v>0</v>
      </c>
      <c r="K49" s="39" t="s">
        <v>259</v>
      </c>
      <c r="L49" s="40" t="n">
        <f aca="false">SUMIF(L13:L47,"&lt;&gt;",L13:L47)</f>
        <v>0</v>
      </c>
    </row>
    <row r="50" customFormat="false" ht="18" hidden="false" customHeight="true" outlineLevel="0" collapsed="false">
      <c r="H50" s="37" t="s">
        <v>260</v>
      </c>
      <c r="I50" s="41" t="n">
        <f aca="false">I49*0.15</f>
        <v>0</v>
      </c>
      <c r="K50" s="39" t="s">
        <v>261</v>
      </c>
      <c r="L50" s="42" t="n">
        <f aca="false">L49*0.12</f>
        <v>0</v>
      </c>
    </row>
    <row r="51" customFormat="false" ht="18" hidden="false" customHeight="true" outlineLevel="0" collapsed="false">
      <c r="H51" s="37" t="s">
        <v>262</v>
      </c>
      <c r="I51" s="41" t="n">
        <f aca="false">I49+I50</f>
        <v>0</v>
      </c>
      <c r="K51" s="39" t="s">
        <v>263</v>
      </c>
      <c r="L51" s="42" t="n">
        <f aca="false">L49+L50</f>
        <v>0</v>
      </c>
    </row>
    <row r="52" customFormat="false" ht="18" hidden="false" customHeight="true" outlineLevel="0" collapsed="false">
      <c r="H52" s="37"/>
      <c r="I52" s="38"/>
      <c r="K52" s="39" t="s">
        <v>264</v>
      </c>
      <c r="L52" s="42" t="n">
        <f aca="false">L51-I51</f>
        <v>0</v>
      </c>
    </row>
    <row r="53" customFormat="false" ht="18" hidden="false" customHeight="true" outlineLevel="0" collapsed="false">
      <c r="H53" s="37"/>
      <c r="I53" s="43"/>
      <c r="K53" s="39" t="s">
        <v>265</v>
      </c>
      <c r="L53" s="44" t="str">
        <f aca="false">IF(L51=0,"",L52/L51)</f>
        <v/>
      </c>
    </row>
    <row r="56" customFormat="false" ht="15" hidden="false" customHeight="true" outlineLevel="0" collapsed="false">
      <c r="B56" s="45" t="s">
        <v>266</v>
      </c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</row>
    <row r="57" customFormat="false" ht="15" hidden="false" customHeight="true" outlineLevel="0" collapsed="false">
      <c r="B57" s="17" t="s">
        <v>267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customFormat="false" ht="15" hidden="false" customHeight="true" outlineLevel="0" collapsed="false">
      <c r="B58" s="17" t="s">
        <v>268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customFormat="false" ht="15" hidden="false" customHeight="true" outlineLevel="0" collapsed="false">
      <c r="B59" s="17" t="s">
        <v>269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customFormat="false" ht="15" hidden="false" customHeight="true" outlineLevel="0" collapsed="false">
      <c r="B60" s="17" t="s">
        <v>270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customFormat="false" ht="15" hidden="false" customHeight="true" outlineLevel="0" collapsed="false">
      <c r="B61" s="17" t="s">
        <v>271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customFormat="false" ht="15" hidden="false" customHeight="true" outlineLevel="0" collapsed="false">
      <c r="B62" s="17" t="s">
        <v>272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</sheetData>
  <mergeCells count="17">
    <mergeCell ref="A1:P1"/>
    <mergeCell ref="B2:P2"/>
    <mergeCell ref="C3:H3"/>
    <mergeCell ref="C4:H4"/>
    <mergeCell ref="C5:H5"/>
    <mergeCell ref="C6:H6"/>
    <mergeCell ref="C7:H7"/>
    <mergeCell ref="C8:H8"/>
    <mergeCell ref="C9:H9"/>
    <mergeCell ref="B11:P11"/>
    <mergeCell ref="B56:N56"/>
    <mergeCell ref="B57:N57"/>
    <mergeCell ref="B58:N58"/>
    <mergeCell ref="B59:N59"/>
    <mergeCell ref="B60:N60"/>
    <mergeCell ref="B61:N61"/>
    <mergeCell ref="B62:N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20"/>
    <col collapsed="false" customWidth="true" hidden="false" outlineLevel="0" max="5" min="5" style="1" width="9"/>
    <col collapsed="false" customWidth="true" hidden="false" outlineLevel="0" max="7" min="6" style="1" width="7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9"/>
    <col collapsed="false" customWidth="true" hidden="false" outlineLevel="0" max="13" min="13" style="1" width="25"/>
  </cols>
  <sheetData>
    <row r="1" customFormat="false" ht="24" hidden="false" customHeight="true" outlineLevel="0" collapsed="false">
      <c r="A1" s="46" t="s">
        <v>273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customFormat="false" ht="15" hidden="false" customHeight="true" outlineLevel="0" collapsed="false">
      <c r="A2" s="47" t="s">
        <v>274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4" customFormat="false" ht="27.75" hidden="false" customHeight="true" outlineLevel="0" collapsed="false">
      <c r="A4" s="48" t="s">
        <v>250</v>
      </c>
      <c r="B4" s="48" t="s">
        <v>3</v>
      </c>
      <c r="C4" s="48" t="s">
        <v>275</v>
      </c>
      <c r="D4" s="48" t="s">
        <v>276</v>
      </c>
      <c r="E4" s="48" t="s">
        <v>251</v>
      </c>
      <c r="F4" s="48" t="s">
        <v>252</v>
      </c>
      <c r="G4" s="48" t="s">
        <v>253</v>
      </c>
      <c r="H4" s="48" t="s">
        <v>277</v>
      </c>
      <c r="I4" s="48" t="s">
        <v>258</v>
      </c>
      <c r="J4" s="48" t="s">
        <v>278</v>
      </c>
      <c r="K4" s="48" t="s">
        <v>279</v>
      </c>
      <c r="L4" s="48" t="s">
        <v>280</v>
      </c>
      <c r="M4" s="48" t="s">
        <v>13</v>
      </c>
    </row>
    <row r="5" customFormat="false" ht="15.75" hidden="false" customHeight="true" outlineLevel="0" collapsed="false">
      <c r="A5" s="49" t="n">
        <v>1</v>
      </c>
      <c r="B5" s="50" t="s">
        <v>281</v>
      </c>
      <c r="C5" s="50" t="s">
        <v>20</v>
      </c>
      <c r="D5" s="50" t="s">
        <v>282</v>
      </c>
      <c r="E5" s="50" t="s">
        <v>22</v>
      </c>
      <c r="F5" s="49" t="n">
        <v>1</v>
      </c>
      <c r="G5" s="49" t="n">
        <v>1</v>
      </c>
      <c r="H5" s="51" t="n">
        <v>10000000</v>
      </c>
      <c r="I5" s="52" t="n">
        <v>10000000</v>
      </c>
      <c r="J5" s="51" t="n">
        <v>25000000</v>
      </c>
      <c r="K5" s="52" t="n">
        <v>25000000</v>
      </c>
      <c r="L5" s="50" t="s">
        <v>283</v>
      </c>
      <c r="M5" s="50"/>
    </row>
    <row r="6" customFormat="false" ht="15.75" hidden="false" customHeight="true" outlineLevel="0" collapsed="false">
      <c r="A6" s="6" t="n">
        <v>2</v>
      </c>
      <c r="B6" s="7" t="s">
        <v>281</v>
      </c>
      <c r="C6" s="7" t="s">
        <v>284</v>
      </c>
      <c r="D6" s="7" t="s">
        <v>285</v>
      </c>
      <c r="E6" s="7" t="s">
        <v>22</v>
      </c>
      <c r="F6" s="6" t="n">
        <v>1</v>
      </c>
      <c r="G6" s="6" t="n">
        <v>1</v>
      </c>
      <c r="H6" s="53" t="n">
        <v>10000000</v>
      </c>
      <c r="I6" s="54" t="n">
        <v>10000000</v>
      </c>
      <c r="J6" s="53" t="n">
        <v>15000000</v>
      </c>
      <c r="K6" s="54" t="n">
        <v>15000000</v>
      </c>
      <c r="L6" s="7" t="s">
        <v>286</v>
      </c>
      <c r="M6" s="7"/>
    </row>
    <row r="7" customFormat="false" ht="15.75" hidden="false" customHeight="true" outlineLevel="0" collapsed="false">
      <c r="A7" s="49" t="n">
        <v>3</v>
      </c>
      <c r="B7" s="50" t="s">
        <v>281</v>
      </c>
      <c r="C7" s="50" t="s">
        <v>29</v>
      </c>
      <c r="D7" s="50" t="s">
        <v>287</v>
      </c>
      <c r="E7" s="50" t="s">
        <v>22</v>
      </c>
      <c r="F7" s="49" t="n">
        <v>1</v>
      </c>
      <c r="G7" s="49" t="n">
        <v>1</v>
      </c>
      <c r="H7" s="51" t="n">
        <v>5000000</v>
      </c>
      <c r="I7" s="52" t="n">
        <v>5000000</v>
      </c>
      <c r="J7" s="51" t="n">
        <v>10000000</v>
      </c>
      <c r="K7" s="52" t="n">
        <v>10000000</v>
      </c>
      <c r="L7" s="50" t="s">
        <v>288</v>
      </c>
      <c r="M7" s="50"/>
    </row>
    <row r="8" customFormat="false" ht="15.75" hidden="false" customHeight="true" outlineLevel="0" collapsed="false">
      <c r="A8" s="6" t="n">
        <v>4</v>
      </c>
      <c r="B8" s="7" t="s">
        <v>289</v>
      </c>
      <c r="C8" s="7" t="s">
        <v>35</v>
      </c>
      <c r="D8" s="7" t="s">
        <v>290</v>
      </c>
      <c r="E8" s="7" t="s">
        <v>22</v>
      </c>
      <c r="F8" s="6" t="n">
        <v>1</v>
      </c>
      <c r="G8" s="6" t="n">
        <v>1</v>
      </c>
      <c r="H8" s="53" t="n">
        <v>30000000</v>
      </c>
      <c r="I8" s="54" t="n">
        <v>30000000</v>
      </c>
      <c r="J8" s="53" t="n">
        <v>75000000</v>
      </c>
      <c r="K8" s="54" t="n">
        <v>75000000</v>
      </c>
      <c r="L8" s="7" t="s">
        <v>283</v>
      </c>
      <c r="M8" s="7"/>
    </row>
    <row r="9" customFormat="false" ht="15.75" hidden="false" customHeight="true" outlineLevel="0" collapsed="false">
      <c r="A9" s="49" t="n">
        <v>5</v>
      </c>
      <c r="B9" s="50" t="s">
        <v>289</v>
      </c>
      <c r="C9" s="50" t="s">
        <v>291</v>
      </c>
      <c r="D9" s="50" t="s">
        <v>39</v>
      </c>
      <c r="E9" s="50" t="s">
        <v>292</v>
      </c>
      <c r="F9" s="49" t="n">
        <v>50</v>
      </c>
      <c r="G9" s="49" t="n">
        <v>1</v>
      </c>
      <c r="H9" s="51" t="n">
        <v>200000</v>
      </c>
      <c r="I9" s="52" t="n">
        <v>10000000</v>
      </c>
      <c r="J9" s="51" t="n">
        <v>250000</v>
      </c>
      <c r="K9" s="52" t="n">
        <v>12500000</v>
      </c>
      <c r="L9" s="50" t="s">
        <v>293</v>
      </c>
      <c r="M9" s="50"/>
    </row>
    <row r="10" customFormat="false" ht="15.75" hidden="false" customHeight="true" outlineLevel="0" collapsed="false">
      <c r="A10" s="6" t="n">
        <v>6</v>
      </c>
      <c r="B10" s="7" t="s">
        <v>289</v>
      </c>
      <c r="C10" s="7" t="s">
        <v>41</v>
      </c>
      <c r="D10" s="7" t="s">
        <v>42</v>
      </c>
      <c r="E10" s="7" t="s">
        <v>43</v>
      </c>
      <c r="F10" s="6" t="n">
        <v>2</v>
      </c>
      <c r="G10" s="6" t="n">
        <v>1</v>
      </c>
      <c r="H10" s="53" t="n">
        <v>2000000</v>
      </c>
      <c r="I10" s="54" t="n">
        <v>4000000</v>
      </c>
      <c r="J10" s="53" t="n">
        <v>3000000</v>
      </c>
      <c r="K10" s="54" t="n">
        <v>6000000</v>
      </c>
      <c r="L10" s="7" t="s">
        <v>286</v>
      </c>
      <c r="M10" s="7"/>
    </row>
    <row r="11" customFormat="false" ht="15.75" hidden="false" customHeight="true" outlineLevel="0" collapsed="false">
      <c r="A11" s="49" t="n">
        <v>7</v>
      </c>
      <c r="B11" s="50" t="s">
        <v>294</v>
      </c>
      <c r="C11" s="50" t="s">
        <v>295</v>
      </c>
      <c r="D11" s="50"/>
      <c r="E11" s="50" t="s">
        <v>296</v>
      </c>
      <c r="F11" s="49" t="n">
        <v>1500</v>
      </c>
      <c r="G11" s="49" t="n">
        <v>1</v>
      </c>
      <c r="H11" s="51" t="n">
        <v>15000</v>
      </c>
      <c r="I11" s="52" t="n">
        <v>22500000</v>
      </c>
      <c r="J11" s="51" t="n">
        <v>25000</v>
      </c>
      <c r="K11" s="52" t="n">
        <v>37500000</v>
      </c>
      <c r="L11" s="50" t="s">
        <v>297</v>
      </c>
      <c r="M11" s="50"/>
    </row>
    <row r="12" customFormat="false" ht="15.75" hidden="false" customHeight="true" outlineLevel="0" collapsed="false">
      <c r="A12" s="6" t="n">
        <v>8</v>
      </c>
      <c r="B12" s="7" t="s">
        <v>294</v>
      </c>
      <c r="C12" s="7" t="s">
        <v>298</v>
      </c>
      <c r="D12" s="7"/>
      <c r="E12" s="7" t="s">
        <v>299</v>
      </c>
      <c r="F12" s="6" t="n">
        <v>1</v>
      </c>
      <c r="G12" s="6" t="n">
        <v>1.5</v>
      </c>
      <c r="H12" s="53" t="n">
        <v>30000000</v>
      </c>
      <c r="I12" s="54" t="n">
        <v>45000000</v>
      </c>
      <c r="J12" s="53" t="n">
        <v>45000000</v>
      </c>
      <c r="K12" s="54" t="n">
        <v>67500000</v>
      </c>
      <c r="L12" s="7" t="s">
        <v>286</v>
      </c>
      <c r="M12" s="7"/>
    </row>
    <row r="13" customFormat="false" ht="15.75" hidden="false" customHeight="true" outlineLevel="0" collapsed="false">
      <c r="A13" s="49" t="n">
        <v>9</v>
      </c>
      <c r="B13" s="50" t="s">
        <v>294</v>
      </c>
      <c r="C13" s="50" t="s">
        <v>65</v>
      </c>
      <c r="D13" s="50" t="s">
        <v>300</v>
      </c>
      <c r="E13" s="50" t="s">
        <v>301</v>
      </c>
      <c r="F13" s="49" t="n">
        <v>40</v>
      </c>
      <c r="G13" s="49" t="n">
        <v>1.5</v>
      </c>
      <c r="H13" s="51" t="n">
        <v>900000</v>
      </c>
      <c r="I13" s="52" t="n">
        <v>54000000</v>
      </c>
      <c r="J13" s="51" t="n">
        <v>1000000</v>
      </c>
      <c r="K13" s="52" t="n">
        <v>60000000</v>
      </c>
      <c r="L13" s="50" t="s">
        <v>302</v>
      </c>
      <c r="M13" s="50"/>
    </row>
    <row r="14" customFormat="false" ht="15.75" hidden="false" customHeight="true" outlineLevel="0" collapsed="false">
      <c r="A14" s="6" t="n">
        <v>10</v>
      </c>
      <c r="B14" s="7" t="s">
        <v>303</v>
      </c>
      <c r="C14" s="7" t="s">
        <v>304</v>
      </c>
      <c r="D14" s="7" t="s">
        <v>305</v>
      </c>
      <c r="E14" s="7" t="s">
        <v>299</v>
      </c>
      <c r="F14" s="6" t="n">
        <v>1</v>
      </c>
      <c r="G14" s="6" t="n">
        <v>1</v>
      </c>
      <c r="H14" s="53" t="n">
        <v>15000000</v>
      </c>
      <c r="I14" s="54" t="n">
        <v>15000000</v>
      </c>
      <c r="J14" s="53" t="n">
        <v>30000000</v>
      </c>
      <c r="K14" s="54" t="n">
        <v>30000000</v>
      </c>
      <c r="L14" s="7" t="s">
        <v>288</v>
      </c>
      <c r="M14" s="7"/>
    </row>
    <row r="15" customFormat="false" ht="15.75" hidden="false" customHeight="true" outlineLevel="0" collapsed="false">
      <c r="A15" s="49" t="n">
        <v>11</v>
      </c>
      <c r="B15" s="50" t="s">
        <v>306</v>
      </c>
      <c r="C15" s="50" t="s">
        <v>130</v>
      </c>
      <c r="D15" s="50" t="s">
        <v>128</v>
      </c>
      <c r="E15" s="50" t="s">
        <v>129</v>
      </c>
      <c r="F15" s="49" t="n">
        <v>1500</v>
      </c>
      <c r="G15" s="49" t="n">
        <v>2</v>
      </c>
      <c r="H15" s="51" t="n">
        <v>185000</v>
      </c>
      <c r="I15" s="52" t="n">
        <v>555000000</v>
      </c>
      <c r="J15" s="51" t="n">
        <v>215000</v>
      </c>
      <c r="K15" s="52" t="n">
        <v>645000000</v>
      </c>
      <c r="L15" s="50" t="s">
        <v>307</v>
      </c>
      <c r="M15" s="50"/>
    </row>
    <row r="16" customFormat="false" ht="15.75" hidden="false" customHeight="true" outlineLevel="0" collapsed="false">
      <c r="A16" s="6" t="n">
        <v>12</v>
      </c>
      <c r="B16" s="7" t="s">
        <v>306</v>
      </c>
      <c r="C16" s="7" t="s">
        <v>137</v>
      </c>
      <c r="D16" s="7" t="s">
        <v>308</v>
      </c>
      <c r="E16" s="7" t="s">
        <v>139</v>
      </c>
      <c r="F16" s="6" t="n">
        <v>1500</v>
      </c>
      <c r="G16" s="6" t="n">
        <v>1</v>
      </c>
      <c r="H16" s="53" t="n">
        <v>50000</v>
      </c>
      <c r="I16" s="54" t="n">
        <v>75000000</v>
      </c>
      <c r="J16" s="53" t="n">
        <v>85000</v>
      </c>
      <c r="K16" s="54" t="n">
        <v>127500000</v>
      </c>
      <c r="L16" s="7" t="s">
        <v>309</v>
      </c>
      <c r="M16" s="7"/>
    </row>
    <row r="17" customFormat="false" ht="15.75" hidden="false" customHeight="true" outlineLevel="0" collapsed="false">
      <c r="A17" s="49" t="n">
        <v>13</v>
      </c>
      <c r="B17" s="50" t="s">
        <v>310</v>
      </c>
      <c r="C17" s="50" t="s">
        <v>158</v>
      </c>
      <c r="D17" s="50"/>
      <c r="E17" s="50" t="s">
        <v>159</v>
      </c>
      <c r="F17" s="49" t="n">
        <v>1</v>
      </c>
      <c r="G17" s="49" t="n">
        <v>1</v>
      </c>
      <c r="H17" s="51" t="n">
        <v>25000000</v>
      </c>
      <c r="I17" s="52" t="n">
        <v>25000000</v>
      </c>
      <c r="J17" s="51" t="n">
        <v>40000000</v>
      </c>
      <c r="K17" s="52" t="n">
        <v>40000000</v>
      </c>
      <c r="L17" s="50" t="s">
        <v>311</v>
      </c>
      <c r="M17" s="50"/>
    </row>
    <row r="18" customFormat="false" ht="15.75" hidden="false" customHeight="true" outlineLevel="0" collapsed="false">
      <c r="A18" s="6" t="n">
        <v>14</v>
      </c>
      <c r="B18" s="7" t="s">
        <v>312</v>
      </c>
      <c r="C18" s="7" t="s">
        <v>198</v>
      </c>
      <c r="D18" s="7" t="s">
        <v>45</v>
      </c>
      <c r="E18" s="7" t="s">
        <v>296</v>
      </c>
      <c r="F18" s="6" t="n">
        <v>35</v>
      </c>
      <c r="G18" s="6" t="n">
        <v>2</v>
      </c>
      <c r="H18" s="53" t="n">
        <v>35000</v>
      </c>
      <c r="I18" s="54" t="n">
        <v>2450000</v>
      </c>
      <c r="J18" s="53" t="n">
        <v>65000</v>
      </c>
      <c r="K18" s="54" t="n">
        <v>4550000</v>
      </c>
      <c r="L18" s="7" t="s">
        <v>313</v>
      </c>
      <c r="M18" s="7"/>
    </row>
    <row r="19" customFormat="false" ht="15.75" hidden="false" customHeight="true" outlineLevel="0" collapsed="false">
      <c r="A19" s="49" t="n">
        <v>15</v>
      </c>
      <c r="B19" s="50" t="s">
        <v>314</v>
      </c>
      <c r="C19" s="50" t="s">
        <v>315</v>
      </c>
      <c r="D19" s="50" t="s">
        <v>316</v>
      </c>
      <c r="E19" s="50" t="s">
        <v>204</v>
      </c>
      <c r="F19" s="49" t="n">
        <v>1</v>
      </c>
      <c r="G19" s="49" t="n">
        <v>1</v>
      </c>
      <c r="H19" s="51" t="n">
        <v>20000000</v>
      </c>
      <c r="I19" s="52" t="n">
        <v>20000000</v>
      </c>
      <c r="J19" s="51" t="n">
        <v>30000000</v>
      </c>
      <c r="K19" s="52" t="n">
        <v>30000000</v>
      </c>
      <c r="L19" s="50" t="s">
        <v>286</v>
      </c>
      <c r="M19" s="50"/>
    </row>
    <row r="20" customFormat="false" ht="15" hidden="false" customHeight="true" outlineLevel="0" collapsed="false">
      <c r="A20" s="55" t="s">
        <v>317</v>
      </c>
      <c r="B20" s="55"/>
      <c r="C20" s="55"/>
      <c r="D20" s="55"/>
      <c r="E20" s="55"/>
      <c r="F20" s="55"/>
      <c r="G20" s="55"/>
      <c r="H20" s="55"/>
      <c r="I20" s="56" t="n">
        <v>882950000</v>
      </c>
      <c r="J20" s="57"/>
      <c r="K20" s="56" t="n">
        <v>1185550000</v>
      </c>
      <c r="L20" s="57"/>
      <c r="M20" s="57"/>
    </row>
  </sheetData>
  <mergeCells count="3">
    <mergeCell ref="A1:P1"/>
    <mergeCell ref="A2:P2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2026-04-22T13:59:39Z</dcterms:created>
  <dc:creator>openpyxl</dc:creator>
  <dc:description/>
  <dc:language>en-US</dc:language>
  <cp:lastModifiedBy/>
  <dcterms:modified xsi:type="dcterms:W3CDTF">2026-04-22T14:00:25Z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